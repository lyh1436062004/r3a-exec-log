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446b4fa1d54d14" /></Relationships>
</file>

<file path=xl/workbook.xml><?xml version="1.0" encoding="utf-8"?>
<x:workbook xmlns:x="http://schemas.openxmlformats.org/spreadsheetml/2006/main">
  <x:sheets>
    <x:sheet xmlns:r="http://schemas.openxmlformats.org/officeDocument/2006/relationships" name="审核说明" sheetId="1" r:id="R5d6f913589664afe"/>
    <x:sheet xmlns:r="http://schemas.openxmlformats.org/officeDocument/2006/relationships" name="人工审核" sheetId="2" r:id="R744ea2b7ed9f4df1"/>
    <x:sheet xmlns:r="http://schemas.openxmlformats.org/officeDocument/2006/relationships" name="机器判定" sheetId="3" r:id="R62b317845d7c4f2a"/>
    <x:sheet xmlns:r="http://schemas.openxmlformats.org/officeDocument/2006/relationships" name="调用明细" sheetId="4" r:id="R17f4118ecaa4435c"/>
    <x:sheet xmlns:r="http://schemas.openxmlformats.org/officeDocument/2006/relationships" name="汇总" sheetId="5" r:id="R386227f74324455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0%"/>
  </x:numFmts>
  <x:fonts count="5">
    <x:font>
      <x:sz val="11"/>
      <x:name val="Carlito"/>
    </x:font>
    <x:font>
      <x:b/>
      <x:sz val="18"/>
      <x:color rgb="FFFFFFFF"/>
      <x:name val="Carlito"/>
    </x:font>
    <x:font>
      <x:b/>
      <x:sz val="11"/>
      <x:color rgb="FF123C46"/>
      <x:name val="Carlito"/>
    </x:font>
    <x:font>
      <x:b/>
      <x:sz val="11"/>
      <x:color rgb="FFFFFFFF"/>
      <x:name val="Carlito"/>
    </x:font>
    <x:font>
      <x:sz val="10"/>
      <x:color rgb="FF17212B"/>
      <x:name val="Carlito"/>
    </x:font>
  </x:fonts>
  <x:fills count="6">
    <x:fill>
      <x:patternFill patternType="none"/>
    </x:fill>
    <x:fill>
      <x:patternFill patternType="gray125"/>
    </x:fill>
    <x:fill>
      <x:patternFill patternType="solid">
        <x:fgColor rgb="FF123C46"/>
      </x:patternFill>
    </x:fill>
    <x:fill>
      <x:patternFill patternType="solid">
        <x:fgColor rgb="FFDDECEF"/>
      </x:patternFill>
    </x:fill>
    <x:fill>
      <x:patternFill patternType="solid">
        <x:fgColor rgb="FF175C67"/>
      </x:patternFill>
    </x:fill>
    <x:fill>
      <x:patternFill patternType="solid">
        <x:fgColor rgb="FFFFF7D6"/>
      </x:patternFill>
    </x:fill>
  </x:fills>
  <x:borders count="9">
    <x:border/>
    <x:border>
      <x:left style="thin">
        <x:color rgb="FFC8D6D9"/>
      </x:left>
      <x:right style="thin">
        <x:color rgb="FFC8D6D9"/>
      </x:right>
      <x:top style="thin">
        <x:color rgb="FFC8D6D9"/>
      </x:top>
      <x:bottom style="thin">
        <x:color rgb="FFC8D6D9"/>
      </x:bottom>
    </x:border>
    <x:border>
      <x:right style="thin">
        <x:color rgb="FFD7E1E3"/>
      </x:right>
    </x:border>
    <x:border>
      <x:left style="thin">
        <x:color rgb="FFD7E1E3"/>
      </x:left>
      <x:right style="thin">
        <x:color rgb="FFD7E1E3"/>
      </x:right>
    </x:border>
    <x:border>
      <x:left style="thin">
        <x:color rgb="FFD7E1E3"/>
      </x:left>
    </x:border>
    <x:border>
      <x:bottom style="thin">
        <x:color rgb="FFE5E9EB"/>
      </x:bottom>
    </x:border>
    <x:border>
      <x:top style="thin">
        <x:color rgb="FFE5E9EB"/>
      </x:top>
      <x:bottom style="thin">
        <x:color rgb="FFE5E9EB"/>
      </x:bottom>
    </x:border>
    <x:border>
      <x:top style="thin">
        <x:color rgb="FFE5E9EB"/>
      </x:top>
    </x:border>
    <x:border>
      <x:left style="thin">
        <x:color rgb="FFD5DEE0"/>
      </x:left>
      <x:right style="thin">
        <x:color rgb="FFD5DEE0"/>
      </x:right>
      <x:top style="thin">
        <x:color rgb="FFD5DEE0"/>
      </x:top>
      <x:bottom style="thin">
        <x:color rgb="FFD5DEE0"/>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3" fillId="4" borderId="4" xfId="0" applyNumberFormat="1" applyFont="1" applyFill="1" applyBorder="1" applyAlignment="1">
      <x:alignment vertical="center" wrapText="1"/>
    </x:xf>
    <x:xf numFmtId="0" fontId="4" fillId="0" borderId="0"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200" fontId="4" fillId="5" borderId="5" xfId="0" applyNumberFormat="1" applyFont="1" applyFill="1" applyBorder="1" applyAlignment="1">
      <x:alignment vertical="top" wrapText="1"/>
    </x:xf>
    <x:xf numFmtId="200" fontId="4" fillId="5" borderId="6" xfId="0" applyNumberFormat="1" applyFont="1" applyFill="1" applyBorder="1" applyAlignment="1">
      <x:alignment vertical="top" wrapText="1"/>
    </x:xf>
    <x:xf numFmtId="200" fontId="4" fillId="5" borderId="7" xfId="0" applyNumberFormat="1" applyFont="1" applyFill="1" applyBorder="1" applyAlignment="1">
      <x:alignment vertical="top" wrapText="1"/>
    </x:xf>
    <x:xf numFmtId="0" fontId="2" fillId="3" borderId="1" xfId="0" applyNumberFormat="1" applyFont="1" applyFill="1" applyBorder="1"/>
    <x:xf numFmtId="0" fontId="0" fillId="0" borderId="1" xfId="0" applyNumberFormat="1" applyFont="1" applyFill="1" applyBorder="1"/>
    <x:xf numFmtId="201" fontId="0" fillId="0" borderId="1" xfId="0" applyNumberFormat="1" applyFont="1" applyFill="1" applyBorder="1"/>
    <x:xf numFmtId="0" fontId="0" fillId="0" borderId="8" xfId="0" applyNumberFormat="1" applyFont="1" applyFill="1" applyBorder="1"/>
  </x:cellXfs>
  <x:cellStyles count="1">
    <x:cellStyle name="Normal" xfId="0"/>
  </x:cellStyles>
  <x:dxfs count="2">
    <x:dxf>
      <x:font>
        <x:b/>
        <x:color rgb="FF17643B"/>
      </x:font>
      <x:fill>
        <x:patternFill patternType="solid">
          <x:bgColor rgb="FFD9F2E4"/>
        </x:patternFill>
      </x:fill>
    </x:dxf>
    <x:dxf>
      <x:font>
        <x:color rgb="FF9B2525"/>
      </x:font>
      <x:fill>
        <x:patternFill patternType="solid">
          <x:bgColor rgb="FFFC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4d6f8fbc774049" /><Relationship Type="http://schemas.openxmlformats.org/officeDocument/2006/relationships/theme" Target="/xl/theme/theme1.xml" Id="R1c81e61ffb4e4f3b" /><Relationship Type="http://schemas.openxmlformats.org/officeDocument/2006/relationships/sharedStrings" Target="/xl/sharedStrings.xml" Id="R224cb34e5806440b" /><Relationship Type="http://schemas.openxmlformats.org/officeDocument/2006/relationships/worksheet" Target="/xl/worksheets/sheet1.xml" Id="R5d6f913589664afe" /><Relationship Type="http://schemas.openxmlformats.org/officeDocument/2006/relationships/worksheet" Target="/xl/worksheets/sheet2.xml" Id="R744ea2b7ed9f4df1" /><Relationship Type="http://schemas.openxmlformats.org/officeDocument/2006/relationships/worksheet" Target="/xl/worksheets/sheet3.xml" Id="R62b317845d7c4f2a" /><Relationship Type="http://schemas.openxmlformats.org/officeDocument/2006/relationships/worksheet" Target="/xl/worksheets/sheet4.xml" Id="R17f4118ecaa4435c" /><Relationship Type="http://schemas.openxmlformats.org/officeDocument/2006/relationships/worksheet" Target="/xl/worksheets/sheet5.xml" Id="R386227f743244558" /></Relationships>
</file>

<file path=xl/tables/table1.xml><?xml version="1.0" encoding="utf-8"?>
<x:table xmlns:x="http://schemas.openxmlformats.org/spreadsheetml/2006/main" id="1" name="HumanAuditTable" displayName="HumanAuditTable" ref="A1:V382" headerRowCount="1" totalsRowCount="0" totalsRowShown="0">
  <x:autoFilter ref="A1:V382"/>
  <x:tableColumns count="22">
    <x:tableColumn id="1" name="审核序号"/>
    <x:tableColumn id="2" name="case_id"/>
    <x:tableColumn id="3" name="dataset"/>
    <x:tableColumn id="4" name="question_type"/>
    <x:tableColumn id="5" name="Question"/>
    <x:tableColumn id="6" name="Gold answer"/>
    <x:tableColumn id="7" name="Gold evidence"/>
    <x:tableColumn id="8" name="原 UA3 回答"/>
    <x:tableColumn id="9" name="新回答 1"/>
    <x:tableColumn id="10" name="新回答 2"/>
    <x:tableColumn id="11" name="新回答 3"/>
    <x:tableColumn id="12" name="人工_证据充分性"/>
    <x:tableColumn id="13" name="人工_Run1"/>
    <x:tableColumn id="14" name="人工_Run2"/>
    <x:tableColumn id="15" name="人工_Run3"/>
    <x:tableColumn id="16" name="建议最终分类"/>
    <x:tableColumn id="17" name="人工_最终分类"/>
    <x:tableColumn id="18" name="置信度"/>
    <x:tableColumn id="19" name="审核人"/>
    <x:tableColumn id="20" name="审核日期"/>
    <x:tableColumn id="21" name="审核备注"/>
    <x:tableColumn id="22" name="审核完成"/>
  </x:tableColumns>
  <x:tableStyleInfo name="TableStyleMedium2" showFirstColumn="0" showLastColumn="0" showRowStripes="1" showColumnStripes="0"/>
</x:table>
</file>

<file path=xl/tables/table2.xml><?xml version="1.0" encoding="utf-8"?>
<x:table xmlns:x="http://schemas.openxmlformats.org/spreadsheetml/2006/main" id="2" name="MachineJudgmentTable" displayName="MachineJudgmentTable" ref="A1:O382" headerRowCount="1" totalsRowCount="0" totalsRowShown="0">
  <x:autoFilter ref="A1:O382"/>
  <x:tableColumns count="15">
    <x:tableColumn id="1" name="case_id"/>
    <x:tableColumn id="2" name="证据充分性"/>
    <x:tableColumn id="3" name="缺失信息"/>
    <x:tableColumn id="4" name="充分性理由"/>
    <x:tableColumn id="5" name="自动最终分类"/>
    <x:tableColumn id="6" name="Run1标签"/>
    <x:tableColumn id="7" name="Run1理由"/>
    <x:tableColumn id="8" name="Run2标签"/>
    <x:tableColumn id="9" name="Run2理由"/>
    <x:tableColumn id="10" name="Run3标签"/>
    <x:tableColumn id="11" name="Run3理由"/>
    <x:tableColumn id="12" name="充分性模型"/>
    <x:tableColumn id="13" name="Run1裁判模型"/>
    <x:tableColumn id="14" name="Run2裁判模型"/>
    <x:tableColumn id="15" name="Run3裁判模型"/>
  </x:tableColumns>
  <x:tableStyleInfo name="TableStyleMedium2" showFirstColumn="0" showLastColumn="0" showRowStripes="1" showColumnStripes="0"/>
</x:table>
</file>

<file path=xl/tables/table3.xml><?xml version="1.0" encoding="utf-8"?>
<x:table xmlns:x="http://schemas.openxmlformats.org/spreadsheetml/2006/main" id="3" name="CallDetailsTable" displayName="CallDetailsTable" ref="A1:S1144" headerRowCount="1" totalsRowCount="0" totalsRowShown="0">
  <x:autoFilter ref="A1:S1144"/>
  <x:tableColumns count="19">
    <x:tableColumn id="1" name="case_id"/>
    <x:tableColumn id="2" name="dataset"/>
    <x:tableColumn id="3" name="question_type"/>
    <x:tableColumn id="4" name="replicate"/>
    <x:tableColumn id="5" name="question"/>
    <x:tableColumn id="6" name="gold_answer"/>
    <x:tableColumn id="7" name="model_answer"/>
    <x:tableColumn id="8" name="generation_requested_model"/>
    <x:tableColumn id="9" name="generation_response_model"/>
    <x:tableColumn id="10" name="context_hash"/>
    <x:tableColumn id="11" name="prompt_hash"/>
    <x:tableColumn id="12" name="generation_latency_ms"/>
    <x:tableColumn id="13" name="generation_usage"/>
    <x:tableColumn id="14" name="judge_label"/>
    <x:tableColumn id="15" name="judge_rationale"/>
    <x:tableColumn id="16" name="judge_requested_model"/>
    <x:tableColumn id="17" name="judge_response_model"/>
    <x:tableColumn id="18" name="judge_latency_ms"/>
    <x:tableColumn id="19" name="judge_usag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ebd6d894034677" /></Relationships>
</file>

<file path=xl/worksheets/_rels/sheet3.xml.rels>&#65279;<?xml version="1.0" encoding="utf-8"?><Relationships xmlns="http://schemas.openxmlformats.org/package/2006/relationships"><Relationship Type="http://schemas.openxmlformats.org/officeDocument/2006/relationships/table" Target="/xl/tables/table2.xml" Id="R72662ac7076e4a58" /></Relationships>
</file>

<file path=xl/worksheets/_rels/sheet4.xml.rels>&#65279;<?xml version="1.0" encoding="utf-8"?><Relationships xmlns="http://schemas.openxmlformats.org/package/2006/relationships"><Relationship Type="http://schemas.openxmlformats.org/officeDocument/2006/relationships/table" Target="/xl/tables/table3.xml" Id="Refc03558c9d34fe0" /></Relationships>
</file>

<file path=xl/worksheets/sheet1.xml><?xml version="1.0" encoding="utf-8"?>
<x:worksheet xmlns:x="http://schemas.openxmlformats.org/spreadsheetml/2006/main">
  <x:sheetViews>
    <x:sheetView showGridLines="0" workbookViewId="0"/>
  </x:sheetViews>
  <x:sheetFormatPr defaultRowHeight="15"/>
  <x:cols>
    <x:col min="1" max="1" width="28.1299991607666" hidden="0" customWidth="1"/>
    <x:col min="2" max="2" width="95" hidden="0" customWidth="1"/>
  </x:cols>
  <x:sheetData>
    <x:row r="1" ht="34.5" customHeight="1">
      <x:c r="A1" s="3" t="str">
        <x:v>Generation Failure 人工审核说明</x:v>
      </x:c>
      <x:c r="B1" s="3"/>
      <x:c r="C1" s="3"/>
      <x:c r="D1" s="3"/>
      <x:c r="E1" s="3"/>
      <x:c r="F1" s="3"/>
      <x:c r="G1" s="3"/>
      <x:c r="H1" s="3"/>
    </x:row>
    <x:row r="3">
      <x:c r="A3" s="9" t="str">
        <x:v>审核目标</x:v>
      </x:c>
      <x:c r="B3" s="10" t="str">
        <x:v>判断 benchmark gold evidence 是否充分，并独立审核 deepseek-v4-flash 三次回答是否仍失败。</x:v>
      </x:c>
    </x:row>
    <x:row r="4">
      <x:c r="A4" s="9" t="str">
        <x:v>盲审纪律</x:v>
      </x:c>
      <x:c r="B4" s="10" t="str">
        <x:v>先只查看“人工审核”页，不要打开“机器判定”；完成本人的标签后再比较 LongCat-2.0。</x:v>
      </x:c>
    </x:row>
    <x:row r="5">
      <x:c r="A5" s="9" t="str">
        <x:v>步骤 1</x:v>
      </x:c>
      <x:c r="B5" s="10" t="str">
        <x:v>阅读 Question、Gold answer 与全部 Gold evidence，填写：充分 / 部分 / 不充分 / 不确定。</x:v>
      </x:c>
    </x:row>
    <x:row r="6">
      <x:c r="A6" s="9" t="str">
        <x:v>步骤 2</x:v>
      </x:c>
      <x:c r="B6" s="10" t="str">
        <x:v>逐一审核三次回答。C=语义完整正确；O=未回答、Unknown 或仅缺失部分且没有错误事实；H=包含具体错误或无证据断言。</x:v>
      </x:c>
    </x:row>
    <x:row r="7">
      <x:c r="A7" s="9" t="str">
        <x:v>步骤 3</x:v>
      </x:c>
      <x:c r="B7" s="10" t="str">
        <x:v>查看“建议最终分类”，填写“人工最终分类”和置信度；建议值可以人工覆盖，但需在备注说明原因。</x:v>
      </x:c>
    </x:row>
    <x:row r="8">
      <x:c r="A8" s="9" t="str">
        <x:v>步骤 4</x:v>
      </x:c>
      <x:c r="B8" s="10" t="str">
        <x:v>完成后再查看“机器判定”，重点复核人工与 LongCat-2.0 不一致的条目。</x:v>
      </x:c>
    </x:row>
    <x:row r="9">
      <x:c r="A9" s="9" t="str">
        <x:v>robust_generation_failure</x:v>
      </x:c>
      <x:c r="B9" s="10" t="str">
        <x:v>证据充分，且三次人工标签全部不是 C。</x:v>
      </x:c>
    </x:row>
    <x:row r="10">
      <x:c r="A10" s="9" t="str">
        <x:v>generation_instability</x:v>
      </x:c>
      <x:c r="B10" s="10" t="str">
        <x:v>证据充分，三次回答中既有 C 又有非 C。</x:v>
      </x:c>
    </x:row>
    <x:row r="11">
      <x:c r="A11" s="9" t="str">
        <x:v>ua3_representation_or_admission_failure</x:v>
      </x:c>
      <x:c r="B11" s="10" t="str">
        <x:v>证据充分，三次回答全部 C；原 UA3 错误更接近表示或准入问题。</x:v>
      </x:c>
    </x:row>
    <x:row r="12">
      <x:c r="A12" s="9" t="str">
        <x:v>evidence_definition_failure</x:v>
      </x:c>
      <x:c r="B12" s="10" t="str">
        <x:v>gold evidence 仅部分充分、不充分或无法确认。</x:v>
      </x:c>
    </x:row>
    <x:row r="13">
      <x:c r="A13" s="9" t="str">
        <x:v>unresolved</x:v>
      </x:c>
      <x:c r="B13" s="10" t="str">
        <x:v>回答、证据或人工标签不完整，暂不能归因。</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75" hidden="0" customWidth="1"/>
    <x:col min="2" max="2" width="18.1299991607666" hidden="0" customWidth="1"/>
    <x:col min="3" max="3" width="9.380000114440918" hidden="0" customWidth="1"/>
    <x:col min="4" max="4" width="22.5" hidden="0" customWidth="1"/>
    <x:col min="5" max="5" width="38.75" hidden="0" customWidth="1"/>
    <x:col min="6" max="6" width="28.75" hidden="0" customWidth="1"/>
    <x:col min="7" max="7" width="55" hidden="0" customWidth="1"/>
    <x:col min="8" max="8" width="27.5" hidden="0" customWidth="1"/>
    <x:col min="9" max="9" width="27.5" hidden="0" customWidth="1"/>
    <x:col min="10" max="10" width="27.5" hidden="0" customWidth="1"/>
    <x:col min="11" max="11" width="27.5" hidden="0" customWidth="1"/>
    <x:col min="12" max="12" width="14.380000114440918" hidden="0" customWidth="1"/>
    <x:col min="13" max="13" width="10" hidden="0" customWidth="1"/>
    <x:col min="14" max="14" width="10" hidden="0" customWidth="1"/>
    <x:col min="15" max="15" width="10" hidden="0" customWidth="1"/>
    <x:col min="16" max="16" width="29.3799991607666" hidden="0" customWidth="1"/>
    <x:col min="17" max="17" width="29.3799991607666" hidden="0" customWidth="1"/>
    <x:col min="18" max="18" width="9.380000114440918" hidden="0" customWidth="1"/>
    <x:col min="19" max="19" width="11.880000114440918" hidden="0" customWidth="1"/>
    <x:col min="20" max="20" width="12.5" hidden="0" customWidth="1"/>
    <x:col min="21" max="21" width="32.5" hidden="0" customWidth="1"/>
    <x:col min="22" max="22" width="11.25" hidden="0" customWidth="1"/>
  </x:cols>
  <x:sheetData>
    <x:row r="1" ht="25.5" customHeight="1">
      <x:c r="A1" s="19" t="str">
        <x:v>审核序号</x:v>
      </x:c>
      <x:c r="B1" s="20" t="str">
        <x:v>case_id</x:v>
      </x:c>
      <x:c r="C1" s="20" t="str">
        <x:v>dataset</x:v>
      </x:c>
      <x:c r="D1" s="20" t="str">
        <x:v>question_type</x:v>
      </x:c>
      <x:c r="E1" s="20" t="str">
        <x:v>Question</x:v>
      </x:c>
      <x:c r="F1" s="20" t="str">
        <x:v>Gold answer</x:v>
      </x:c>
      <x:c r="G1" s="20" t="str">
        <x:v>Gold evidence</x:v>
      </x:c>
      <x:c r="H1" s="20" t="str">
        <x:v>原 UA3 回答</x:v>
      </x:c>
      <x:c r="I1" s="20" t="str">
        <x:v>新回答 1</x:v>
      </x:c>
      <x:c r="J1" s="20" t="str">
        <x:v>新回答 2</x:v>
      </x:c>
      <x:c r="K1" s="20" t="str">
        <x:v>新回答 3</x:v>
      </x:c>
      <x:c r="L1" s="20" t="str">
        <x:v>人工_证据充分性</x:v>
      </x:c>
      <x:c r="M1" s="20" t="str">
        <x:v>人工_Run1</x:v>
      </x:c>
      <x:c r="N1" s="20" t="str">
        <x:v>人工_Run2</x:v>
      </x:c>
      <x:c r="O1" s="20" t="str">
        <x:v>人工_Run3</x:v>
      </x:c>
      <x:c r="P1" s="20" t="str">
        <x:v>建议最终分类</x:v>
      </x:c>
      <x:c r="Q1" s="20" t="str">
        <x:v>人工_最终分类</x:v>
      </x:c>
      <x:c r="R1" s="20" t="str">
        <x:v>置信度</x:v>
      </x:c>
      <x:c r="S1" s="20" t="str">
        <x:v>审核人</x:v>
      </x:c>
      <x:c r="T1" s="20" t="str">
        <x:v>审核日期</x:v>
      </x:c>
      <x:c r="U1" s="20" t="str">
        <x:v>审核备注</x:v>
      </x:c>
      <x:c r="V1" s="21" t="str">
        <x:v>审核完成</x:v>
      </x:c>
    </x:row>
    <x:row r="2" ht="63" customHeight="1">
      <x:c r="A2" s="29" t="n">
        <x:v>1</x:v>
      </x:c>
      <x:c r="B2" s="29" t="str">
        <x:v>memos_medium:2634</x:v>
      </x:c>
      <x:c r="C2" s="29" t="str">
        <x:v>medium</x:v>
      </x:c>
      <x:c r="D2" s="29" t="str">
        <x:v>Multi-hop Inference</x:v>
      </x:c>
      <x:c r="E2" s="29" t="str">
        <x:v>What changes in Oleksandr's health and professional performance were observed by Apr 10, 2028?</x:v>
      </x:c>
      <x:c r="F2" s="29" t="str">
        <x:v>Improved health and renewed vigor in tackling cases.</x:v>
      </x:c>
      <x:c r="G2" s="29" t="str">
        <x:v># Authoritative benchmark gold evidence
The following evidence is authoritative for answering the current question. Use it directly and do not rely on conflicting information.
Evidence 1
Memory type: Persona Memory
Content: Oleksandr Shevchenko's physical health status improved due to adopting a more active lifestyle.
Evidence 2
Memory type: Event Memory
Content: Oleksandr Shevchenko's improved health positively impacted his professional performance, allowing him to tackle complex cases with renewed vigor.
Evidence 3
Memory type: Event Memory
Content: Oleksandr Shevchenko's improved wellbeing has enhanced his ability to handle challenges in his role as Senior Defense Lawyer.</x:v>
      </x:c>
      <x:c r="H2" s="29" t="str">
        <x:v>No relevant memories found.</x:v>
      </x:c>
      <x:c r="I2" s="29" t="str">
        <x:v>Improved health and performance.</x:v>
      </x:c>
      <x:c r="J2" s="29" t="str">
        <x:v>Improved health and performance.</x:v>
      </x:c>
      <x:c r="K2" s="29" t="str">
        <x:v>Improved health and performance.</x:v>
      </x:c>
      <x:c r="L2" s="32" t="str"/>
      <x:c r="M2" s="32" t="str"/>
      <x:c r="N2" s="32" t="str"/>
      <x:c r="O2" s="32" t="str"/>
      <x:c r="P2" s="29" t="str">
        <x:f>IF(COUNTA(L2:O2)&lt;4,"未完成",IF(OR(L2="部分",L2="不充分",L2="不确定"),"evidence_definition_failure",IF(L2&lt;&gt;"充分","unresolved",IF(COUNTIF(M2:O2,"C")=0,"robust_generation_failure",IF(COUNTIF(M2:O2,"C")=3,"ua3_representation_or_admission_failure","generation_instability")))))</x:f>
        <x:v>unresolved</x:v>
      </x:c>
      <x:c r="Q2" s="32" t="str"/>
      <x:c r="R2" s="32" t="str"/>
      <x:c r="S2" s="32" t="str"/>
      <x:c r="T2" s="35"/>
      <x:c r="U2" s="32" t="str"/>
      <x:c r="V2" s="29" t="str">
        <x:f>IF(AND(L2&lt;&gt;"",M2&lt;&gt;"",N2&lt;&gt;"",O2&lt;&gt;"",Q2&lt;&gt;"",R2&lt;&gt;""),"完成","未完成")</x:f>
        <x:v>未完成</x:v>
      </x:c>
    </x:row>
    <x:row r="3" ht="63" customHeight="1">
      <x:c r="A3" s="30" t="n">
        <x:v>2</x:v>
      </x:c>
      <x:c r="B3" s="30" t="str">
        <x:v>memos_medium:472</x:v>
      </x:c>
      <x:c r="C3" s="30" t="str">
        <x:v>medium</x:v>
      </x:c>
      <x:c r="D3" s="30" t="str">
        <x:v>Generalization &amp; Application</x:v>
      </x:c>
      <x:c r="E3" s="30" t="str">
        <x:v>What type of new cultural experiences might Donald Brown explore after January 30, 2033?</x:v>
      </x:c>
      <x:c r="F3" s="30" t="str">
        <x:v>Jazz, due to similar exploratory motivation.</x:v>
      </x:c>
      <x:c r="G3" s="30" t="str">
        <x:v># Authoritative benchmark gold evidence
The following evidence is authoritative for answering the current question. Use it directly and do not rely on conflicting information.
Evidence 1
Memory type: Persona Memory
Content: Donald Brown's exploratory motivation led him to reevaluate his perception of opera music after witnessing a live performance, similar to his experience with jazz.</x:v>
      </x:c>
      <x:c r="H3" s="30" t="str">
        <x:v>Live performances and opera.</x:v>
      </x:c>
      <x:c r="I3" s="30" t="str">
        <x:v>Opera music performances</x:v>
      </x:c>
      <x:c r="J3" s="30" t="str">
        <x:v>Opera music performances</x:v>
      </x:c>
      <x:c r="K3" s="30" t="str">
        <x:v>Opera music performances</x:v>
      </x:c>
      <x:c r="L3" s="33" t="str"/>
      <x:c r="M3" s="33" t="str"/>
      <x:c r="N3" s="33" t="str"/>
      <x:c r="O3" s="33" t="str"/>
      <x:c r="P3" s="30" t="str">
        <x:f>IF(COUNTA(L3:O3)&lt;4,"未完成",IF(OR(L3="部分",L3="不充分",L3="不确定"),"evidence_definition_failure",IF(L3&lt;&gt;"充分","unresolved",IF(COUNTIF(M3:O3,"C")=0,"robust_generation_failure",IF(COUNTIF(M3:O3,"C")=3,"ua3_representation_or_admission_failure","generation_instability")))))</x:f>
        <x:v>unresolved</x:v>
      </x:c>
      <x:c r="Q3" s="33" t="str"/>
      <x:c r="R3" s="33" t="str"/>
      <x:c r="S3" s="33" t="str"/>
      <x:c r="T3" s="36"/>
      <x:c r="U3" s="33" t="str"/>
      <x:c r="V3" s="30" t="str">
        <x:f>IF(AND(L3&lt;&gt;"",M3&lt;&gt;"",N3&lt;&gt;"",O3&lt;&gt;"",Q3&lt;&gt;"",R3&lt;&gt;""),"完成","未完成")</x:f>
        <x:v>未完成</x:v>
      </x:c>
    </x:row>
    <x:row r="4" ht="63" customHeight="1">
      <x:c r="A4" s="30" t="n">
        <x:v>3</x:v>
      </x:c>
      <x:c r="B4" s="30" t="str">
        <x:v>memos_medium:1151</x:v>
      </x:c>
      <x:c r="C4" s="30" t="str">
        <x:v>medium</x:v>
      </x:c>
      <x:c r="D4" s="30" t="str">
        <x:v>Generalization &amp; Application</x:v>
      </x:c>
      <x:c r="E4" s="30" t="str">
        <x:v>What type of professional development activities might Taylor engage in based on his evolving movie preferences as of Dec 17, 2033?</x:v>
      </x:c>
      <x:c r="F4" s="30" t="str">
        <x:v>Activities involving conflict resolution and human interaction insights.</x:v>
      </x:c>
      <x:c r="G4" s="30" t="str">
        <x:v># Authoritative benchmark gold evidence
The following evidence is authoritative for answering the current question. Use it directly and do not rely on conflicting information.
Evidence 1
Memory type: Persona Memory
Content: Taylor's movie preferences have evolved to include films with complex narratives involving violence to gain insights into conflict resolution.
Evidence 2
Memory type: Persona Memory
Content: Taylor appreciates movies with complex narratives for their depth in understanding human interactions and applies these insights to his advocacy work.
Evidence 3
Memory type: Persona Memory
Content: Taylor uses movies to gain perspective on conflict resolution and human interactions, integrating these insights into his professional endeavors.</x:v>
      </x:c>
      <x:c r="H4" s="30" t="str">
        <x:v>Analyzing violent films for insights.</x:v>
      </x:c>
      <x:c r="I4" s="30" t="str">
        <x:v>Conflict resolution workshops</x:v>
      </x:c>
      <x:c r="J4" s="30" t="str">
        <x:v>Conflict resolution workshops</x:v>
      </x:c>
      <x:c r="K4" s="30" t="str">
        <x:v>Conflict resolution training</x:v>
      </x:c>
      <x:c r="L4" s="33" t="str"/>
      <x:c r="M4" s="33" t="str"/>
      <x:c r="N4" s="33" t="str"/>
      <x:c r="O4" s="33" t="str"/>
      <x:c r="P4" s="30" t="str">
        <x:f>IF(COUNTA(L4:O4)&lt;4,"未完成",IF(OR(L4="部分",L4="不充分",L4="不确定"),"evidence_definition_failure",IF(L4&lt;&gt;"充分","unresolved",IF(COUNTIF(M4:O4,"C")=0,"robust_generation_failure",IF(COUNTIF(M4:O4,"C")=3,"ua3_representation_or_admission_failure","generation_instability")))))</x:f>
        <x:v>unresolved</x:v>
      </x:c>
      <x:c r="Q4" s="33" t="str"/>
      <x:c r="R4" s="33" t="str"/>
      <x:c r="S4" s="33" t="str"/>
      <x:c r="T4" s="36"/>
      <x:c r="U4" s="33" t="str"/>
      <x:c r="V4" s="30" t="str">
        <x:f>IF(AND(L4&lt;&gt;"",M4&lt;&gt;"",N4&lt;&gt;"",O4&lt;&gt;"",Q4&lt;&gt;"",R4&lt;&gt;""),"完成","未完成")</x:f>
        <x:v>未完成</x:v>
      </x:c>
    </x:row>
    <x:row r="5" ht="63" customHeight="1">
      <x:c r="A5" s="30" t="n">
        <x:v>4</x:v>
      </x:c>
      <x:c r="B5" s="30" t="str">
        <x:v>memos_long:77</x:v>
      </x:c>
      <x:c r="C5" s="30" t="str">
        <x:v>long</x:v>
      </x:c>
      <x:c r="D5" s="30" t="str">
        <x:v>Memory Conflict</x:v>
      </x:c>
      <x:c r="E5" s="30" t="str">
        <x:v>Did Martin Mark express optimism about his future role as Senior Director before June 2029?</x:v>
      </x:c>
      <x:c r="F5" s="30" t="str">
        <x:v>Yes, in May 2029, he viewed challenges as growth opportunities.</x:v>
      </x:c>
      <x:c r="G5" s="30" t="str">
        <x:v>#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x:v>
      </x:c>
      <x:c r="H5" s="30" t="str">
        <x:v>No, he expressed it in June 2029.</x:v>
      </x:c>
      <x:c r="I5" s="30" t="str">
        <x:v>Yes, before June 2029.</x:v>
      </x:c>
      <x:c r="J5" s="30" t="str">
        <x:v>Yes, before June 2029.</x:v>
      </x:c>
      <x:c r="K5" s="30" t="str">
        <x:v>Yes, before June 2029.</x:v>
      </x:c>
      <x:c r="L5" s="33" t="str"/>
      <x:c r="M5" s="33" t="str"/>
      <x:c r="N5" s="33" t="str"/>
      <x:c r="O5" s="33" t="str"/>
      <x:c r="P5" s="30" t="str">
        <x:f>IF(COUNTA(L5:O5)&lt;4,"未完成",IF(OR(L5="部分",L5="不充分",L5="不确定"),"evidence_definition_failure",IF(L5&lt;&gt;"充分","unresolved",IF(COUNTIF(M5:O5,"C")=0,"robust_generation_failure",IF(COUNTIF(M5:O5,"C")=3,"ua3_representation_or_admission_failure","generation_instability")))))</x:f>
        <x:v>unresolved</x:v>
      </x:c>
      <x:c r="Q5" s="33" t="str"/>
      <x:c r="R5" s="33" t="str"/>
      <x:c r="S5" s="33" t="str"/>
      <x:c r="T5" s="36"/>
      <x:c r="U5" s="33" t="str"/>
      <x:c r="V5" s="30" t="str">
        <x:f>IF(AND(L5&lt;&gt;"",M5&lt;&gt;"",N5&lt;&gt;"",O5&lt;&gt;"",Q5&lt;&gt;"",R5&lt;&gt;""),"完成","未完成")</x:f>
        <x:v>未完成</x:v>
      </x:c>
    </x:row>
    <x:row r="6" ht="63" customHeight="1">
      <x:c r="A6" s="30" t="n">
        <x:v>5</x:v>
      </x:c>
      <x:c r="B6" s="30" t="str">
        <x:v>memos_medium:316</x:v>
      </x:c>
      <x:c r="C6" s="30" t="str">
        <x:v>medium</x:v>
      </x:c>
      <x:c r="D6" s="30" t="str">
        <x:v>Basic Fact Recall</x:v>
      </x:c>
      <x:c r="E6" s="30" t="str">
        <x:v>What is Johnson Joseph's travel preference as of February 18, 2040?</x:v>
      </x:c>
      <x:c r="F6" s="30" t="str">
        <x:v>Tech-enhanced travel for efficiency and enjoyment.</x:v>
      </x:c>
      <x:c r="G6" s="30" t="str">
        <x:v># Authoritative benchmark gold evidence
The following evidence is authoritative for answering the current question. Use it directly and do not rely on conflicting information.
Evidence 1
Memory type: Persona Memory
Content: Johnson Joseph's travel preference has evolved to include tech-enhanced travel for its efficiency and enjoyment, while maintaining cultural immersion.</x:v>
      </x:c>
      <x:c r="H6" s="30" t="str">
        <x:v>Technology-enhanced, off-beat travel.</x:v>
      </x:c>
      <x:c r="I6" s="30" t="str">
        <x:v>Tech-enhanced travel preference.</x:v>
      </x:c>
      <x:c r="J6" s="30" t="str">
        <x:v>Tech-enhanced travel preference.</x:v>
      </x:c>
      <x:c r="K6" s="30" t="str">
        <x:v>Tech-enhanced travel preference.</x:v>
      </x:c>
      <x:c r="L6" s="33" t="str"/>
      <x:c r="M6" s="33" t="str"/>
      <x:c r="N6" s="33" t="str"/>
      <x:c r="O6" s="33" t="str"/>
      <x:c r="P6" s="30" t="str">
        <x:f>IF(COUNTA(L6:O6)&lt;4,"未完成",IF(OR(L6="部分",L6="不充分",L6="不确定"),"evidence_definition_failure",IF(L6&lt;&gt;"充分","unresolved",IF(COUNTIF(M6:O6,"C")=0,"robust_generation_failure",IF(COUNTIF(M6:O6,"C")=3,"ua3_representation_or_admission_failure","generation_instability")))))</x:f>
        <x:v>unresolved</x:v>
      </x:c>
      <x:c r="Q6" s="33" t="str"/>
      <x:c r="R6" s="33" t="str"/>
      <x:c r="S6" s="33" t="str"/>
      <x:c r="T6" s="36"/>
      <x:c r="U6" s="33" t="str"/>
      <x:c r="V6" s="30" t="str">
        <x:f>IF(AND(L6&lt;&gt;"",M6&lt;&gt;"",N6&lt;&gt;"",O6&lt;&gt;"",Q6&lt;&gt;"",R6&lt;&gt;""),"完成","未完成")</x:f>
        <x:v>未完成</x:v>
      </x:c>
    </x:row>
    <x:row r="7" ht="63" customHeight="1">
      <x:c r="A7" s="30" t="n">
        <x:v>6</x:v>
      </x:c>
      <x:c r="B7" s="30" t="str">
        <x:v>memos_medium:1675</x:v>
      </x:c>
      <x:c r="C7" s="30" t="str">
        <x:v>medium</x:v>
      </x:c>
      <x:c r="D7" s="30" t="str">
        <x:v>Generalization &amp; Application</x:v>
      </x:c>
      <x:c r="E7" s="30" t="str">
        <x:v>What type of workshop content might Susan Thompson develop after Jun 15, 2032?</x:v>
      </x:c>
      <x:c r="F7" s="30" t="str">
        <x:v>Content based on personal health recovery experiences.</x:v>
      </x:c>
      <x:c r="G7" s="30" t="str">
        <x:v># Authoritative benchmark gold evidence
The following evidence is authoritative for answering the current question. Use it directly and do not rely on conflicting information.
Evidence 1
Memory type: Event Memory
Content: Susan Thompson plans to continue developing innovative content for her seminars, drawing from personal experiences and ongoing learning.
Evidence 2
Memory type: Event Memory
Content: Susan Thompson used her position as Lead Wellness Coach to develop workshops and seminars focused on sharing her personal health recovery journey.</x:v>
      </x:c>
      <x:c r="H7" s="30" t="str">
        <x:v>Innovative and fresh content.</x:v>
      </x:c>
      <x:c r="I7" s="30" t="str">
        <x:v>Innovative personal recovery content.</x:v>
      </x:c>
      <x:c r="J7" s="30" t="str">
        <x:v>Innovative personal recovery content.</x:v>
      </x:c>
      <x:c r="K7" s="30" t="str">
        <x:v>Innovative personal recovery content.</x:v>
      </x:c>
      <x:c r="L7" s="33" t="str"/>
      <x:c r="M7" s="33" t="str"/>
      <x:c r="N7" s="33" t="str"/>
      <x:c r="O7" s="33" t="str"/>
      <x:c r="P7" s="30" t="str">
        <x:f>IF(COUNTA(L7:O7)&lt;4,"未完成",IF(OR(L7="部分",L7="不充分",L7="不确定"),"evidence_definition_failure",IF(L7&lt;&gt;"充分","unresolved",IF(COUNTIF(M7:O7,"C")=0,"robust_generation_failure",IF(COUNTIF(M7:O7,"C")=3,"ua3_representation_or_admission_failure","generation_instability")))))</x:f>
        <x:v>unresolved</x:v>
      </x:c>
      <x:c r="Q7" s="33" t="str"/>
      <x:c r="R7" s="33" t="str"/>
      <x:c r="S7" s="33" t="str"/>
      <x:c r="T7" s="36"/>
      <x:c r="U7" s="33" t="str"/>
      <x:c r="V7" s="30" t="str">
        <x:f>IF(AND(L7&lt;&gt;"",M7&lt;&gt;"",N7&lt;&gt;"",O7&lt;&gt;"",Q7&lt;&gt;"",R7&lt;&gt;""),"完成","未完成")</x:f>
        <x:v>未完成</x:v>
      </x:c>
    </x:row>
    <x:row r="8" ht="63" customHeight="1">
      <x:c r="A8" s="30" t="n">
        <x:v>7</x:v>
      </x:c>
      <x:c r="B8" s="30" t="str">
        <x:v>memos_medium:476</x:v>
      </x:c>
      <x:c r="C8" s="30" t="str">
        <x:v>medium</x:v>
      </x:c>
      <x:c r="D8" s="30" t="str">
        <x:v>Generalization &amp; Application</x:v>
      </x:c>
      <x:c r="E8" s="30" t="str">
        <x:v>Based on Donald Brown's evolving beverage preferences, what type of new activity might he explore after May 13, 2033?</x:v>
      </x:c>
      <x:c r="F8" s="30" t="str">
        <x:v>Activities offering sustained energy without negative side effects.</x:v>
      </x:c>
      <x:c r="G8" s="30" t="str">
        <x:v># Authoritative benchmark gold evidence
The following evidence is authoritative for answering the current question. Use it directly and do not rely on conflicting information.
Evidence 1
Memory type: Persona Memory
Content: Donald Brown no longer dislikes energy drinks after experiencing positive effects from a new brand that provides a sustained energy boost without jitters.
Evidence 2
Memory type: Persona Memory
Content: Donald Brown appreciates the sustained energy boost from a new brand of energy drinks, aligning with his exploratory motivation to test boundaries and try new things.
Evidence 3
Memory type: Persona Memory
Content: Donald Brown's exploratory motivation includes testing boundaries and exploring new preferences, such as trying new activities or revisiting old hobbies.</x:v>
      </x:c>
      <x:c r="H8" s="30" t="str">
        <x:v>Test new boundaries.</x:v>
      </x:c>
      <x:c r="I8" s="30" t="str">
        <x:v>Testing boundaries or new hobbies.</x:v>
      </x:c>
      <x:c r="J8" s="30" t="str">
        <x:v>Testing boundaries or new hobbies.</x:v>
      </x:c>
      <x:c r="K8" s="30" t="str">
        <x:v>Testing boundaries or new hobbies.</x:v>
      </x:c>
      <x:c r="L8" s="33" t="str"/>
      <x:c r="M8" s="33" t="str"/>
      <x:c r="N8" s="33" t="str"/>
      <x:c r="O8" s="33" t="str"/>
      <x:c r="P8" s="30" t="str">
        <x:f>IF(COUNTA(L8:O8)&lt;4,"未完成",IF(OR(L8="部分",L8="不充分",L8="不确定"),"evidence_definition_failure",IF(L8&lt;&gt;"充分","unresolved",IF(COUNTIF(M8:O8,"C")=0,"robust_generation_failure",IF(COUNTIF(M8:O8,"C")=3,"ua3_representation_or_admission_failure","generation_instability")))))</x:f>
        <x:v>unresolved</x:v>
      </x:c>
      <x:c r="Q8" s="33" t="str"/>
      <x:c r="R8" s="33" t="str"/>
      <x:c r="S8" s="33" t="str"/>
      <x:c r="T8" s="36"/>
      <x:c r="U8" s="33" t="str"/>
      <x:c r="V8" s="30" t="str">
        <x:f>IF(AND(L8&lt;&gt;"",M8&lt;&gt;"",N8&lt;&gt;"",O8&lt;&gt;"",Q8&lt;&gt;"",R8&lt;&gt;""),"完成","未完成")</x:f>
        <x:v>未完成</x:v>
      </x:c>
    </x:row>
    <x:row r="9" ht="63" customHeight="1">
      <x:c r="A9" s="30" t="n">
        <x:v>8</x:v>
      </x:c>
      <x:c r="B9" s="30" t="str">
        <x:v>memos_medium:2486</x:v>
      </x:c>
      <x:c r="C9" s="30" t="str">
        <x:v>medium</x:v>
      </x:c>
      <x:c r="D9" s="30" t="str">
        <x:v>Memory Conflict</x:v>
      </x:c>
      <x:c r="E9" s="30" t="str">
        <x:v>Did Steven Miller's health status remain moderate and stressed after retiring on Jun 15, 2029?</x:v>
      </x:c>
      <x:c r="F9" s="30" t="str">
        <x:v>Steven's health improved to good and restored by Apr 01, 2029.</x:v>
      </x:c>
      <x:c r="G9" s="30" t="str">
        <x:v>#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Miller's chronic disease situation updated from 'Stress-related fatigue' to 'None reported'.</x:v>
      </x:c>
      <x:c r="H9" s="30" t="str">
        <x:v>No, it improved.</x:v>
      </x:c>
      <x:c r="I9" s="30" t="str">
        <x:v>No, it improved.</x:v>
      </x:c>
      <x:c r="J9" s="30" t="str">
        <x:v>No, it improved.</x:v>
      </x:c>
      <x:c r="K9" s="30" t="str">
        <x:v>No, it improved.</x:v>
      </x:c>
      <x:c r="L9" s="33" t="str"/>
      <x:c r="M9" s="33" t="str"/>
      <x:c r="N9" s="33" t="str"/>
      <x:c r="O9" s="33" t="str"/>
      <x:c r="P9" s="30" t="str">
        <x:f>IF(COUNTA(L9:O9)&lt;4,"未完成",IF(OR(L9="部分",L9="不充分",L9="不确定"),"evidence_definition_failure",IF(L9&lt;&gt;"充分","unresolved",IF(COUNTIF(M9:O9,"C")=0,"robust_generation_failure",IF(COUNTIF(M9:O9,"C")=3,"ua3_representation_or_admission_failure","generation_instability")))))</x:f>
        <x:v>unresolved</x:v>
      </x:c>
      <x:c r="Q9" s="33" t="str"/>
      <x:c r="R9" s="33" t="str"/>
      <x:c r="S9" s="33" t="str"/>
      <x:c r="T9" s="36"/>
      <x:c r="U9" s="33" t="str"/>
      <x:c r="V9" s="30" t="str">
        <x:f>IF(AND(L9&lt;&gt;"",M9&lt;&gt;"",N9&lt;&gt;"",O9&lt;&gt;"",Q9&lt;&gt;"",R9&lt;&gt;""),"完成","未完成")</x:f>
        <x:v>未完成</x:v>
      </x:c>
    </x:row>
    <x:row r="10" ht="63" customHeight="1">
      <x:c r="A10" s="30" t="n">
        <x:v>9</x:v>
      </x:c>
      <x:c r="B10" s="30" t="str">
        <x:v>memos_medium:2008</x:v>
      </x:c>
      <x:c r="C10" s="30" t="str">
        <x:v>medium</x:v>
      </x:c>
      <x:c r="D10" s="30" t="str">
        <x:v>Multi-hop Inference</x:v>
      </x:c>
      <x:c r="E10" s="30" t="str">
        <x:v>What strategies did Joseph use to manage his health while expanding his film archive?</x:v>
      </x:c>
      <x:c r="F10" s="30" t="str">
        <x:v>Regular breaks and mindfulness practices.</x:v>
      </x:c>
      <x:c r="G10" s="30" t="str">
        <x:v># Authoritative benchmark gold evidence
The following evidence is authoritative for answering the current question. Use it directly and do not rely on conflicting information.
Evidence 1
Memory type: Persona Memory
Content: Joseph Garcia incorporates regular breaks and mindfulness practices to manage stress and maintain health while diversifying his film archive.
Evidence 2
Memory type: Persona Memory
Content: Joseph Garcia is managing hypertension while expanding his film archive, requiring new health strategies to balance professional ambitions with personal well-being.</x:v>
      </x:c>
      <x:c r="H10" s="30" t="str">
        <x:v>Managing hypertension carefully.</x:v>
      </x:c>
      <x:c r="I10" s="30" t="str">
        <x:v>Regular breaks and mindfulness.</x:v>
      </x:c>
      <x:c r="J10" s="30" t="str">
        <x:v>Regular breaks and mindfulness.</x:v>
      </x:c>
      <x:c r="K10" s="30" t="str">
        <x:v>Regular breaks and mindfulness.</x:v>
      </x:c>
      <x:c r="L10" s="33" t="str"/>
      <x:c r="M10" s="33" t="str"/>
      <x:c r="N10" s="33" t="str"/>
      <x:c r="O10" s="33" t="str"/>
      <x:c r="P10" s="30" t="str">
        <x:f>IF(COUNTA(L10:O10)&lt;4,"未完成",IF(OR(L10="部分",L10="不充分",L10="不确定"),"evidence_definition_failure",IF(L10&lt;&gt;"充分","unresolved",IF(COUNTIF(M10:O10,"C")=0,"robust_generation_failure",IF(COUNTIF(M10:O10,"C")=3,"ua3_representation_or_admission_failure","generation_instability")))))</x:f>
        <x:v>unresolved</x:v>
      </x:c>
      <x:c r="Q10" s="33" t="str"/>
      <x:c r="R10" s="33" t="str"/>
      <x:c r="S10" s="33" t="str"/>
      <x:c r="T10" s="36"/>
      <x:c r="U10" s="33" t="str"/>
      <x:c r="V10" s="30" t="str">
        <x:f>IF(AND(L10&lt;&gt;"",M10&lt;&gt;"",N10&lt;&gt;"",O10&lt;&gt;"",Q10&lt;&gt;"",R10&lt;&gt;""),"完成","未完成")</x:f>
        <x:v>未完成</x:v>
      </x:c>
    </x:row>
    <x:row r="11" ht="63" customHeight="1">
      <x:c r="A11" s="30" t="n">
        <x:v>10</x:v>
      </x:c>
      <x:c r="B11" s="30" t="str">
        <x:v>memos_medium:2508</x:v>
      </x:c>
      <x:c r="C11" s="30" t="str">
        <x:v>medium</x:v>
      </x:c>
      <x:c r="D11" s="30" t="str">
        <x:v>Generalization &amp; Application</x:v>
      </x:c>
      <x:c r="E11" s="30" t="str">
        <x:v>What music genre could Steven explore to maintain focus during work as of 2031-05-28?</x:v>
      </x:c>
      <x:c r="F11" s="30" t="str">
        <x:v>Classical rock.</x:v>
      </x:c>
      <x:c r="G11" s="30" t="str">
        <x:v># Authoritative benchmark gold evidence
The following evidence is authoritative for answering the current question. Use it directly and do not rely on conflicting information.
Evidence 1
Memory type: Persona Memory
Content: Steven Miller expressed curiosity about exploring music genres that offer rhythmic complexity and structure, such as classical rock.
Evidence 2
Memory type: Persona Memory
Content: Steven Miller prefers classical jazz for its structured harmonies, providing a balanced listening experience while working.</x:v>
      </x:c>
      <x:c r="H11" s="30" t="str">
        <x:v>Jazz</x:v>
      </x:c>
      <x:c r="I11" s="30" t="str">
        <x:v>Classical jazz</x:v>
      </x:c>
      <x:c r="J11" s="30" t="str">
        <x:v>Classical jazz</x:v>
      </x:c>
      <x:c r="K11" s="30" t="str">
        <x:v>Classical jazz</x:v>
      </x:c>
      <x:c r="L11" s="33" t="str"/>
      <x:c r="M11" s="33" t="str"/>
      <x:c r="N11" s="33" t="str"/>
      <x:c r="O11" s="33" t="str"/>
      <x:c r="P11" s="30" t="str">
        <x:f>IF(COUNTA(L11:O11)&lt;4,"未完成",IF(OR(L11="部分",L11="不充分",L11="不确定"),"evidence_definition_failure",IF(L11&lt;&gt;"充分","unresolved",IF(COUNTIF(M11:O11,"C")=0,"robust_generation_failure",IF(COUNTIF(M11:O11,"C")=3,"ua3_representation_or_admission_failure","generation_instability")))))</x:f>
        <x:v>unresolved</x:v>
      </x:c>
      <x:c r="Q11" s="33" t="str"/>
      <x:c r="R11" s="33" t="str"/>
      <x:c r="S11" s="33" t="str"/>
      <x:c r="T11" s="36"/>
      <x:c r="U11" s="33" t="str"/>
      <x:c r="V11" s="30" t="str">
        <x:f>IF(AND(L11&lt;&gt;"",M11&lt;&gt;"",N11&lt;&gt;"",O11&lt;&gt;"",Q11&lt;&gt;"",R11&lt;&gt;""),"完成","未完成")</x:f>
        <x:v>未完成</x:v>
      </x:c>
    </x:row>
    <x:row r="12" ht="63" customHeight="1">
      <x:c r="A12" s="30" t="n">
        <x:v>11</x:v>
      </x:c>
      <x:c r="B12" s="30" t="str">
        <x:v>memos_medium:319</x:v>
      </x:c>
      <x:c r="C12" s="30" t="str">
        <x:v>medium</x:v>
      </x:c>
      <x:c r="D12" s="30" t="str">
        <x:v>Basic Fact Recall</x:v>
      </x:c>
      <x:c r="E12" s="30" t="str">
        <x:v>What is Johnson Joseph's preference regarding pets at Albi B&amp;B as of August 23, 2040?</x:v>
      </x:c>
      <x:c r="F12" s="30" t="str">
        <x:v>Johnson Joseph prefers dogs for security and comfort.</x:v>
      </x:c>
      <x:c r="G12" s="30" t="str">
        <x:v># Authoritative benchmark gold evidence
The following evidence is authoritative for answering the current question. Use it directly and do not rely on conflicting information.
Evidence 1
Memory type: Persona Memory
Content: Johnson Joseph's preference for dogs emphasizes their role in providing security and comfort for guests at Albi B&amp;B.</x:v>
      </x:c>
      <x:c r="H12" s="30" t="str">
        <x:v>No information available.</x:v>
      </x:c>
      <x:c r="I12" s="30" t="str">
        <x:v>Dogs for security and comfort.</x:v>
      </x:c>
      <x:c r="J12" s="30" t="str">
        <x:v>Dogs for security and comfort.</x:v>
      </x:c>
      <x:c r="K12" s="30" t="str">
        <x:v>Dogs for security and comfort.</x:v>
      </x:c>
      <x:c r="L12" s="33" t="str"/>
      <x:c r="M12" s="33" t="str"/>
      <x:c r="N12" s="33" t="str"/>
      <x:c r="O12" s="33" t="str"/>
      <x:c r="P12" s="30" t="str">
        <x:f>IF(COUNTA(L12:O12)&lt;4,"未完成",IF(OR(L12="部分",L12="不充分",L12="不确定"),"evidence_definition_failure",IF(L12&lt;&gt;"充分","unresolved",IF(COUNTIF(M12:O12,"C")=0,"robust_generation_failure",IF(COUNTIF(M12:O12,"C")=3,"ua3_representation_or_admission_failure","generation_instability")))))</x:f>
        <x:v>unresolved</x:v>
      </x:c>
      <x:c r="Q12" s="33" t="str"/>
      <x:c r="R12" s="33" t="str"/>
      <x:c r="S12" s="33" t="str"/>
      <x:c r="T12" s="36"/>
      <x:c r="U12" s="33" t="str"/>
      <x:c r="V12" s="30" t="str">
        <x:f>IF(AND(L12&lt;&gt;"",M12&lt;&gt;"",N12&lt;&gt;"",O12&lt;&gt;"",Q12&lt;&gt;"",R12&lt;&gt;""),"完成","未完成")</x:f>
        <x:v>未完成</x:v>
      </x:c>
    </x:row>
    <x:row r="13" ht="63" customHeight="1">
      <x:c r="A13" s="30" t="n">
        <x:v>12</x:v>
      </x:c>
      <x:c r="B13" s="30" t="str">
        <x:v>memos_long:2118</x:v>
      </x:c>
      <x:c r="C13" s="30" t="str">
        <x:v>long</x:v>
      </x:c>
      <x:c r="D13" s="30" t="str">
        <x:v>Generalization &amp; Application</x:v>
      </x:c>
      <x:c r="E13" s="30" t="str">
        <x:v>What new wellness strategies might Sharon explore to further improve her health as of 2027-09-20?</x:v>
      </x:c>
      <x:c r="F13" s="30" t="str">
        <x:v>Sharon might explore mindfulness and balanced diet strategies.</x:v>
      </x:c>
      <x:c r="G13" s="30" t="str">
        <x:v>#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x:v>
      </x:c>
      <x:c r="H13" s="30" t="str">
        <x:v>Testing new wellness strategies.</x:v>
      </x:c>
      <x:c r="I13" s="30" t="str">
        <x:v>New philosophical approaches.</x:v>
      </x:c>
      <x:c r="J13" s="30" t="str">
        <x:v>New philosophical approaches.</x:v>
      </x:c>
      <x:c r="K13" s="30" t="str">
        <x:v>New philosophical approaches.</x:v>
      </x:c>
      <x:c r="L13" s="33" t="str"/>
      <x:c r="M13" s="33" t="str"/>
      <x:c r="N13" s="33" t="str"/>
      <x:c r="O13" s="33" t="str"/>
      <x:c r="P13" s="30" t="str">
        <x:f>IF(COUNTA(L13:O13)&lt;4,"未完成",IF(OR(L13="部分",L13="不充分",L13="不确定"),"evidence_definition_failure",IF(L13&lt;&gt;"充分","unresolved",IF(COUNTIF(M13:O13,"C")=0,"robust_generation_failure",IF(COUNTIF(M13:O13,"C")=3,"ua3_representation_or_admission_failure","generation_instability")))))</x:f>
        <x:v>unresolved</x:v>
      </x:c>
      <x:c r="Q13" s="33" t="str"/>
      <x:c r="R13" s="33" t="str"/>
      <x:c r="S13" s="33" t="str"/>
      <x:c r="T13" s="36"/>
      <x:c r="U13" s="33" t="str"/>
      <x:c r="V13" s="30" t="str">
        <x:f>IF(AND(L13&lt;&gt;"",M13&lt;&gt;"",N13&lt;&gt;"",O13&lt;&gt;"",Q13&lt;&gt;"",R13&lt;&gt;""),"完成","未完成")</x:f>
        <x:v>未完成</x:v>
      </x:c>
    </x:row>
    <x:row r="14" ht="63" customHeight="1">
      <x:c r="A14" s="30" t="n">
        <x:v>13</x:v>
      </x:c>
      <x:c r="B14" s="30" t="str">
        <x:v>memos_medium:2490</x:v>
      </x:c>
      <x:c r="C14" s="30" t="str">
        <x:v>medium</x:v>
      </x:c>
      <x:c r="D14" s="30" t="str">
        <x:v>Multi-hop Inference</x:v>
      </x:c>
      <x:c r="E14" s="30" t="str">
        <x:v>How did Steven's health status change between April 1, 2029, and June 15, 2029?</x:v>
      </x:c>
      <x:c r="F14" s="30" t="str">
        <x:v>Improved from 'Good and Restored' to 'Balanced'.</x:v>
      </x:c>
      <x:c r="G14" s="30" t="str">
        <x:v># Authoritative benchmark gold evidence
The following evidence is authoritative for answering the current question. Use it directly and do not rely on conflicting information.
Evidence 1
Memory type: Persona Memory
Content: Steven Miller's physical health status improved from 'Moderate and Stressed' to 'Good and Restored'.
Evidence 2
Memory type: Persona Memory
Content: Steven Miller attributed his improved health status to reduced stress from retirement and a balanced lifestyle on Jun 15, 2029.</x:v>
      </x:c>
      <x:c r="H14" s="30" t="str">
        <x:v>No change reported.</x:v>
      </x:c>
      <x:c r="I14" s="30" t="str">
        <x:v>Improved from stressed to restored.</x:v>
      </x:c>
      <x:c r="J14" s="30" t="str">
        <x:v>Improved from stressed to restored.</x:v>
      </x:c>
      <x:c r="K14" s="30" t="str">
        <x:v>Improved from stressed to restored.</x:v>
      </x:c>
      <x:c r="L14" s="33" t="str"/>
      <x:c r="M14" s="33" t="str"/>
      <x:c r="N14" s="33" t="str"/>
      <x:c r="O14" s="33" t="str"/>
      <x:c r="P14" s="30" t="str">
        <x:f>IF(COUNTA(L14:O14)&lt;4,"未完成",IF(OR(L14="部分",L14="不充分",L14="不确定"),"evidence_definition_failure",IF(L14&lt;&gt;"充分","unresolved",IF(COUNTIF(M14:O14,"C")=0,"robust_generation_failure",IF(COUNTIF(M14:O14,"C")=3,"ua3_representation_or_admission_failure","generation_instability")))))</x:f>
        <x:v>unresolved</x:v>
      </x:c>
      <x:c r="Q14" s="33" t="str"/>
      <x:c r="R14" s="33" t="str"/>
      <x:c r="S14" s="33" t="str"/>
      <x:c r="T14" s="36"/>
      <x:c r="U14" s="33" t="str"/>
      <x:c r="V14" s="30" t="str">
        <x:f>IF(AND(L14&lt;&gt;"",M14&lt;&gt;"",N14&lt;&gt;"",O14&lt;&gt;"",Q14&lt;&gt;"",R14&lt;&gt;""),"完成","未完成")</x:f>
        <x:v>未完成</x:v>
      </x:c>
    </x:row>
    <x:row r="15" ht="63" customHeight="1">
      <x:c r="A15" s="30" t="n">
        <x:v>14</x:v>
      </x:c>
      <x:c r="B15" s="30" t="str">
        <x:v>memos_long:1215</x:v>
      </x:c>
      <x:c r="C15" s="30" t="str">
        <x:v>long</x:v>
      </x:c>
      <x:c r="D15" s="30" t="str">
        <x:v>Generalization &amp; Application</x:v>
      </x:c>
      <x:c r="E15" s="30" t="str">
        <x:v>Based on Taylor David's game preferences on August 16, 2040, what type of workshop might he find beneficial for his creative meal planning?</x:v>
      </x:c>
      <x:c r="F15" s="30" t="str">
        <x:v>A workshop on creative problem-solving techniques.</x:v>
      </x:c>
      <x:c r="G15" s="30" t="str">
        <x:v>#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x:v>
      </x:c>
      <x:c r="H15" s="30" t="str">
        <x:v>Creative puzzle workshop</x:v>
      </x:c>
      <x:c r="I15" s="30" t="str">
        <x:v>Creative puzzle workshop</x:v>
      </x:c>
      <x:c r="J15" s="30" t="str">
        <x:v>Creative puzzle workshop</x:v>
      </x:c>
      <x:c r="K15" s="30" t="str">
        <x:v>Creative puzzle workshop</x:v>
      </x:c>
      <x:c r="L15" s="33" t="str"/>
      <x:c r="M15" s="33" t="str"/>
      <x:c r="N15" s="33" t="str"/>
      <x:c r="O15" s="33" t="str"/>
      <x:c r="P15" s="30" t="str">
        <x:f>IF(COUNTA(L15:O15)&lt;4,"未完成",IF(OR(L15="部分",L15="不充分",L15="不确定"),"evidence_definition_failure",IF(L15&lt;&gt;"充分","unresolved",IF(COUNTIF(M15:O15,"C")=0,"robust_generation_failure",IF(COUNTIF(M15:O15,"C")=3,"ua3_representation_or_admission_failure","generation_instability")))))</x:f>
        <x:v>unresolved</x:v>
      </x:c>
      <x:c r="Q15" s="33" t="str"/>
      <x:c r="R15" s="33" t="str"/>
      <x:c r="S15" s="33" t="str"/>
      <x:c r="T15" s="36"/>
      <x:c r="U15" s="33" t="str"/>
      <x:c r="V15" s="30" t="str">
        <x:f>IF(AND(L15&lt;&gt;"",M15&lt;&gt;"",N15&lt;&gt;"",O15&lt;&gt;"",Q15&lt;&gt;"",R15&lt;&gt;""),"完成","未完成")</x:f>
        <x:v>未完成</x:v>
      </x:c>
    </x:row>
    <x:row r="16" ht="63" customHeight="1">
      <x:c r="A16" s="30" t="n">
        <x:v>15</x:v>
      </x:c>
      <x:c r="B16" s="30" t="str">
        <x:v>memos_long:38</x:v>
      </x:c>
      <x:c r="C16" s="30" t="str">
        <x:v>long</x:v>
      </x:c>
      <x:c r="D16" s="30" t="str">
        <x:v>Generalization &amp; Application</x:v>
      </x:c>
      <x:c r="E16" s="30" t="str">
        <x:v>What sustainable travel choices might Martin consider after October 29, 2027?</x:v>
      </x:c>
      <x:c r="F16" s="30" t="str">
        <x:v>Eco-friendly transportation or supporting local eco-tourism.</x:v>
      </x:c>
      <x:c r="G16" s="30" t="str">
        <x:v>#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x:v>
      </x:c>
      <x:c r="H16" s="30" t="str">
        <x:v>No direct evidence available.</x:v>
      </x:c>
      <x:c r="I16" s="30" t="str">
        <x:v>Exploring sustainable travel options.</x:v>
      </x:c>
      <x:c r="J16" s="30" t="str">
        <x:v>Exploring sustainable travel options.</x:v>
      </x:c>
      <x:c r="K16" s="30" t="str">
        <x:v>Exploring sustainable travel options.</x:v>
      </x:c>
      <x:c r="L16" s="33" t="str"/>
      <x:c r="M16" s="33" t="str"/>
      <x:c r="N16" s="33" t="str"/>
      <x:c r="O16" s="33" t="str"/>
      <x:c r="P16" s="30" t="str">
        <x:f>IF(COUNTA(L16:O16)&lt;4,"未完成",IF(OR(L16="部分",L16="不充分",L16="不确定"),"evidence_definition_failure",IF(L16&lt;&gt;"充分","unresolved",IF(COUNTIF(M16:O16,"C")=0,"robust_generation_failure",IF(COUNTIF(M16:O16,"C")=3,"ua3_representation_or_admission_failure","generation_instability")))))</x:f>
        <x:v>unresolved</x:v>
      </x:c>
      <x:c r="Q16" s="33" t="str"/>
      <x:c r="R16" s="33" t="str"/>
      <x:c r="S16" s="33" t="str"/>
      <x:c r="T16" s="36"/>
      <x:c r="U16" s="33" t="str"/>
      <x:c r="V16" s="30" t="str">
        <x:f>IF(AND(L16&lt;&gt;"",M16&lt;&gt;"",N16&lt;&gt;"",O16&lt;&gt;"",Q16&lt;&gt;"",R16&lt;&gt;""),"完成","未完成")</x:f>
        <x:v>未完成</x:v>
      </x:c>
    </x:row>
    <x:row r="17" ht="63" customHeight="1">
      <x:c r="A17" s="30" t="n">
        <x:v>16</x:v>
      </x:c>
      <x:c r="B17" s="30" t="str">
        <x:v>memos_long:3316</x:v>
      </x:c>
      <x:c r="C17" s="30" t="str">
        <x:v>long</x:v>
      </x:c>
      <x:c r="D17" s="30" t="str">
        <x:v>Generalization &amp; Application</x:v>
      </x:c>
      <x:c r="E17" s="30" t="str">
        <x:v>What new travel destinations might Christopher consider based on his recent shift in travel preferences as of Apr 08, 2026?</x:v>
      </x:c>
      <x:c r="F17" s="30" t="str">
        <x:v>Destinations with scenic views and social interaction opportunities.</x:v>
      </x:c>
      <x:c r="G17" s="30" t="str">
        <x:v># Authoritative benchmark gold evidence
The following evidence is authoritative for answering the current question. Use it directly and do not rely on conflicting information.
Evidence 1
Memory type: Event Memory
Content: Christopher rediscovered his appreciation for scenic train journeys with both solitude and social interactions on Apr 08, 2026.
Evidence 2
Memory type: Event Memory
Content: The combination of beautiful landscapes and engaging conversations with fellow passengers made train journeys more enjoyable for Christopher.</x:v>
      </x:c>
      <x:c r="H17" s="30" t="str">
        <x:v>Destinations with social trains.</x:v>
      </x:c>
      <x:c r="I17" s="30" t="str">
        <x:v>Scenic train routes.</x:v>
      </x:c>
      <x:c r="J17" s="30" t="str">
        <x:v>Scenic train routes.</x:v>
      </x:c>
      <x:c r="K17" s="30" t="str">
        <x:v>Scenic train routes.</x:v>
      </x:c>
      <x:c r="L17" s="33" t="str"/>
      <x:c r="M17" s="33" t="str"/>
      <x:c r="N17" s="33" t="str"/>
      <x:c r="O17" s="33" t="str"/>
      <x:c r="P17" s="30" t="str">
        <x:f>IF(COUNTA(L17:O17)&lt;4,"未完成",IF(OR(L17="部分",L17="不充分",L17="不确定"),"evidence_definition_failure",IF(L17&lt;&gt;"充分","unresolved",IF(COUNTIF(M17:O17,"C")=0,"robust_generation_failure",IF(COUNTIF(M17:O17,"C")=3,"ua3_representation_or_admission_failure","generation_instability")))))</x:f>
        <x:v>unresolved</x:v>
      </x:c>
      <x:c r="Q17" s="33" t="str"/>
      <x:c r="R17" s="33" t="str"/>
      <x:c r="S17" s="33" t="str"/>
      <x:c r="T17" s="36"/>
      <x:c r="U17" s="33" t="str"/>
      <x:c r="V17" s="30" t="str">
        <x:f>IF(AND(L17&lt;&gt;"",M17&lt;&gt;"",N17&lt;&gt;"",O17&lt;&gt;"",Q17&lt;&gt;"",R17&lt;&gt;""),"完成","未完成")</x:f>
        <x:v>未完成</x:v>
      </x:c>
    </x:row>
    <x:row r="18" ht="63" customHeight="1">
      <x:c r="A18" s="30" t="n">
        <x:v>17</x:v>
      </x:c>
      <x:c r="B18" s="30" t="str">
        <x:v>memos_long:179</x:v>
      </x:c>
      <x:c r="C18" s="30" t="str">
        <x:v>long</x:v>
      </x:c>
      <x:c r="D18" s="30" t="str">
        <x:v>Multi-hop Inference</x:v>
      </x:c>
      <x:c r="E18" s="30" t="str">
        <x:v>How did Johnson Joseph's promotion impact his career and finances after Dec 21, 2025?</x:v>
      </x:c>
      <x:c r="F18" s="30" t="str">
        <x:v>Increased income and savings.</x:v>
      </x:c>
      <x:c r="G18" s="30" t="str">
        <x:v># Authoritative benchmark gold evidence
The following evidence is authoritative for answering the current question. Use it directly and do not rely on conflicting information.
Evidence 1
Memory type: Persona Memory
Content: Johnson Joseph's career status updated monthly income from '3500 yuan' to '4500 USD'.
Evidence 2
Memory type: Persona Memory
Content: Johnson Joseph's career status updated savings amount from '12000 yuan' to '14000 USD'.
Evidence 3
Memory type: Event Memory
Content: Johnson Joseph's efforts to improve guest experiences at Albi B&amp;B were recognized by local tourism boards, enhancing his status as a leader in the hospitality industry.</x:v>
      </x:c>
      <x:c r="H18" s="30" t="str">
        <x:v>No promotion mentioned.</x:v>
      </x:c>
      <x:c r="I18" s="30" t="str">
        <x:v>Income increased to 4500 USD.</x:v>
      </x:c>
      <x:c r="J18" s="30" t="str">
        <x:v>Income increased to 4500 USD.</x:v>
      </x:c>
      <x:c r="K18" s="30" t="str">
        <x:v>Income increased to 4500 USD.</x:v>
      </x:c>
      <x:c r="L18" s="33" t="str"/>
      <x:c r="M18" s="33" t="str"/>
      <x:c r="N18" s="33" t="str"/>
      <x:c r="O18" s="33" t="str"/>
      <x:c r="P18" s="30" t="str">
        <x:f>IF(COUNTA(L18:O18)&lt;4,"未完成",IF(OR(L18="部分",L18="不充分",L18="不确定"),"evidence_definition_failure",IF(L18&lt;&gt;"充分","unresolved",IF(COUNTIF(M18:O18,"C")=0,"robust_generation_failure",IF(COUNTIF(M18:O18,"C")=3,"ua3_representation_or_admission_failure","generation_instability")))))</x:f>
        <x:v>unresolved</x:v>
      </x:c>
      <x:c r="Q18" s="33" t="str"/>
      <x:c r="R18" s="33" t="str"/>
      <x:c r="S18" s="33" t="str"/>
      <x:c r="T18" s="36"/>
      <x:c r="U18" s="33" t="str"/>
      <x:c r="V18" s="30" t="str">
        <x:f>IF(AND(L18&lt;&gt;"",M18&lt;&gt;"",N18&lt;&gt;"",O18&lt;&gt;"",Q18&lt;&gt;"",R18&lt;&gt;""),"完成","未完成")</x:f>
        <x:v>未完成</x:v>
      </x:c>
    </x:row>
    <x:row r="19" ht="63" customHeight="1">
      <x:c r="A19" s="30" t="n">
        <x:v>18</x:v>
      </x:c>
      <x:c r="B19" s="30" t="str">
        <x:v>memos_medium:1735</x:v>
      </x:c>
      <x:c r="C19" s="30" t="str">
        <x:v>medium</x:v>
      </x:c>
      <x:c r="D19" s="30" t="str">
        <x:v>Multi-hop Inference</x:v>
      </x:c>
      <x:c r="E19" s="30" t="str">
        <x:v>As of Mar 19, 2038, how has Susan Thompson's career focus changed since Jun 19, 2037?</x:v>
      </x:c>
      <x:c r="F19" s="30" t="str">
        <x:v>From Health Advocate to Strategic Wellness Planner.</x:v>
      </x:c>
      <x:c r="G19" s="30" t="str">
        <x:v>#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x:v>
      </x:c>
      <x:c r="H19" s="30" t="str">
        <x:v>Focused on community health.</x:v>
      </x:c>
      <x:c r="I19" s="30" t="str">
        <x:v>Strategic Wellness Planner</x:v>
      </x:c>
      <x:c r="J19" s="30" t="str">
        <x:v>Strategic Wellness Planner</x:v>
      </x:c>
      <x:c r="K19" s="30" t="str">
        <x:v>Strategic Wellness Planner</x:v>
      </x:c>
      <x:c r="L19" s="33" t="str"/>
      <x:c r="M19" s="33" t="str"/>
      <x:c r="N19" s="33" t="str"/>
      <x:c r="O19" s="33" t="str"/>
      <x:c r="P19" s="30" t="str">
        <x:f>IF(COUNTA(L19:O19)&lt;4,"未完成",IF(OR(L19="部分",L19="不充分",L19="不确定"),"evidence_definition_failure",IF(L19&lt;&gt;"充分","unresolved",IF(COUNTIF(M19:O19,"C")=0,"robust_generation_failure",IF(COUNTIF(M19:O19,"C")=3,"ua3_representation_or_admission_failure","generation_instability")))))</x:f>
        <x:v>unresolved</x:v>
      </x:c>
      <x:c r="Q19" s="33" t="str"/>
      <x:c r="R19" s="33" t="str"/>
      <x:c r="S19" s="33" t="str"/>
      <x:c r="T19" s="36"/>
      <x:c r="U19" s="33" t="str"/>
      <x:c r="V19" s="30" t="str">
        <x:f>IF(AND(L19&lt;&gt;"",M19&lt;&gt;"",N19&lt;&gt;"",O19&lt;&gt;"",Q19&lt;&gt;"",R19&lt;&gt;""),"完成","未完成")</x:f>
        <x:v>未完成</x:v>
      </x:c>
    </x:row>
    <x:row r="20" ht="63" customHeight="1">
      <x:c r="A20" s="30" t="n">
        <x:v>19</x:v>
      </x:c>
      <x:c r="B20" s="30" t="str">
        <x:v>memos_long:3403</x:v>
      </x:c>
      <x:c r="C20" s="30" t="str">
        <x:v>long</x:v>
      </x:c>
      <x:c r="D20" s="30" t="str">
        <x:v>Multi-hop Inference</x:v>
      </x:c>
      <x:c r="E20" s="30" t="str">
        <x:v>How did Christopher's recognition as a community leader on Jul 10, 2031, help him secure additional funding by Nov 20, 2031?</x:v>
      </x:c>
      <x:c r="F20" s="30" t="str">
        <x:v>Recognition enhanced trust, enabling funding.</x:v>
      </x:c>
      <x:c r="G20" s="30" t="str">
        <x:v># Authoritative benchmark gold evidence
The following evidence is authoritative for answering the current question. Use it directly and do not rely on conflicting information.
Evidence 1
Memory type: Event Memory
Content: Christopher Anderson was recognized as a community leader, positively impacting his social network and community programs.
Evidence 2
Memory type: Event Memory
Content: Christopher successfully secured additional funding for senior care programs on Nov 20, 2031, enhancing program offerings and reaching more seniors.
Evidence 3
Memory type: Relationship Memory
Content: Christopher expressed gratitude for community support in securing funding, emphasizing the importance of emotional resonance in interactions.</x:v>
      </x:c>
      <x:c r="H20" s="30" t="str">
        <x:v>Not enough information.</x:v>
      </x:c>
      <x:c r="I20" s="30" t="str">
        <x:v>Enhanced credibility and network.</x:v>
      </x:c>
      <x:c r="J20" s="30" t="str">
        <x:v>Enhanced credibility and network.</x:v>
      </x:c>
      <x:c r="K20" s="30" t="str">
        <x:v>Enhanced credibility and network.</x:v>
      </x:c>
      <x:c r="L20" s="33" t="str"/>
      <x:c r="M20" s="33" t="str"/>
      <x:c r="N20" s="33" t="str"/>
      <x:c r="O20" s="33" t="str"/>
      <x:c r="P20" s="30" t="str">
        <x:f>IF(COUNTA(L20:O20)&lt;4,"未完成",IF(OR(L20="部分",L20="不充分",L20="不确定"),"evidence_definition_failure",IF(L20&lt;&gt;"充分","unresolved",IF(COUNTIF(M20:O20,"C")=0,"robust_generation_failure",IF(COUNTIF(M20:O20,"C")=3,"ua3_representation_or_admission_failure","generation_instability")))))</x:f>
        <x:v>unresolved</x:v>
      </x:c>
      <x:c r="Q20" s="33" t="str"/>
      <x:c r="R20" s="33" t="str"/>
      <x:c r="S20" s="33" t="str"/>
      <x:c r="T20" s="36"/>
      <x:c r="U20" s="33" t="str"/>
      <x:c r="V20" s="30" t="str">
        <x:f>IF(AND(L20&lt;&gt;"",M20&lt;&gt;"",N20&lt;&gt;"",O20&lt;&gt;"",Q20&lt;&gt;"",R20&lt;&gt;""),"完成","未完成")</x:f>
        <x:v>未完成</x:v>
      </x:c>
    </x:row>
    <x:row r="21" ht="63" customHeight="1">
      <x:c r="A21" s="30" t="n">
        <x:v>20</x:v>
      </x:c>
      <x:c r="B21" s="30" t="str">
        <x:v>memos_long:3007</x:v>
      </x:c>
      <x:c r="C21" s="30" t="str">
        <x:v>long</x:v>
      </x:c>
      <x:c r="D21" s="30" t="str">
        <x:v>Generalization &amp; Application</x:v>
      </x:c>
      <x:c r="E21" s="30" t="str">
        <x:v>Based on Karen Brown's recent culinary experiments, what new cuisine could she explore next?</x:v>
      </x:c>
      <x:c r="F21" s="30" t="str">
        <x:v>Karen might explore Italian cuisine.</x:v>
      </x:c>
      <x:c r="G21" s="30" t="str">
        <x:v>#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x:v>
      </x:c>
      <x:c r="H21" s="30" t="str">
        <x:v>Seasonal vegetable combinations</x:v>
      </x:c>
      <x:c r="I21" s="30" t="str">
        <x:v>Asian or Mediterranean cuisine.</x:v>
      </x:c>
      <x:c r="J21" s="30" t="str">
        <x:v>Asian or Mediterranean cuisine.</x:v>
      </x:c>
      <x:c r="K21" s="30" t="str">
        <x:v>Asian or Mediterranean cuisine.</x:v>
      </x:c>
      <x:c r="L21" s="33" t="str"/>
      <x:c r="M21" s="33" t="str"/>
      <x:c r="N21" s="33" t="str"/>
      <x:c r="O21" s="33" t="str"/>
      <x:c r="P21" s="30" t="str">
        <x:f>IF(COUNTA(L21:O21)&lt;4,"未完成",IF(OR(L21="部分",L21="不充分",L21="不确定"),"evidence_definition_failure",IF(L21&lt;&gt;"充分","unresolved",IF(COUNTIF(M21:O21,"C")=0,"robust_generation_failure",IF(COUNTIF(M21:O21,"C")=3,"ua3_representation_or_admission_failure","generation_instability")))))</x:f>
        <x:v>unresolved</x:v>
      </x:c>
      <x:c r="Q21" s="33" t="str"/>
      <x:c r="R21" s="33" t="str"/>
      <x:c r="S21" s="33" t="str"/>
      <x:c r="T21" s="36"/>
      <x:c r="U21" s="33" t="str"/>
      <x:c r="V21" s="30" t="str">
        <x:f>IF(AND(L21&lt;&gt;"",M21&lt;&gt;"",N21&lt;&gt;"",O21&lt;&gt;"",Q21&lt;&gt;"",R21&lt;&gt;""),"完成","未完成")</x:f>
        <x:v>未完成</x:v>
      </x:c>
    </x:row>
    <x:row r="22" ht="63" customHeight="1">
      <x:c r="A22" s="30" t="n">
        <x:v>21</x:v>
      </x:c>
      <x:c r="B22" s="30" t="str">
        <x:v>memos_medium:1171</x:v>
      </x:c>
      <x:c r="C22" s="30" t="str">
        <x:v>medium</x:v>
      </x:c>
      <x:c r="D22" s="30" t="str">
        <x:v>Generalization &amp; Application</x:v>
      </x:c>
      <x:c r="E22" s="30" t="str">
        <x:v>What strategies might Taylor develop to expand the impact of the Global Nutrition Initiative after Sep 01, 2035?</x:v>
      </x:c>
      <x:c r="F22" s="30" t="str">
        <x:v>Leveraging emotional resonance and empathetic interactions through AI.</x:v>
      </x:c>
      <x:c r="G22" s="30" t="str">
        <x:v>#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x:v>
      </x:c>
      <x:c r="H22" s="30" t="str">
        <x:v>Strategic partnerships and innovative solutions.</x:v>
      </x:c>
      <x:c r="I22" s="30" t="str">
        <x:v>Leveraging AI for empathetic support.</x:v>
      </x:c>
      <x:c r="J22" s="30" t="str">
        <x:v>Leveraging AI for empathetic support.</x:v>
      </x:c>
      <x:c r="K22" s="30" t="str">
        <x:v>Leveraging AI for empathetic support.</x:v>
      </x:c>
      <x:c r="L22" s="33" t="str"/>
      <x:c r="M22" s="33" t="str"/>
      <x:c r="N22" s="33" t="str"/>
      <x:c r="O22" s="33" t="str"/>
      <x:c r="P22" s="30" t="str">
        <x:f>IF(COUNTA(L22:O22)&lt;4,"未完成",IF(OR(L22="部分",L22="不充分",L22="不确定"),"evidence_definition_failure",IF(L22&lt;&gt;"充分","unresolved",IF(COUNTIF(M22:O22,"C")=0,"robust_generation_failure",IF(COUNTIF(M22:O22,"C")=3,"ua3_representation_or_admission_failure","generation_instability")))))</x:f>
        <x:v>unresolved</x:v>
      </x:c>
      <x:c r="Q22" s="33" t="str"/>
      <x:c r="R22" s="33" t="str"/>
      <x:c r="S22" s="33" t="str"/>
      <x:c r="T22" s="36"/>
      <x:c r="U22" s="33" t="str"/>
      <x:c r="V22" s="30" t="str">
        <x:f>IF(AND(L22&lt;&gt;"",M22&lt;&gt;"",N22&lt;&gt;"",O22&lt;&gt;"",Q22&lt;&gt;"",R22&lt;&gt;""),"完成","未完成")</x:f>
        <x:v>未完成</x:v>
      </x:c>
    </x:row>
    <x:row r="23" ht="63" customHeight="1">
      <x:c r="A23" s="30" t="n">
        <x:v>22</x:v>
      </x:c>
      <x:c r="B23" s="30" t="str">
        <x:v>memos_long:1370</x:v>
      </x:c>
      <x:c r="C23" s="30" t="str">
        <x:v>long</x:v>
      </x:c>
      <x:c r="D23" s="30" t="str">
        <x:v>Generalization &amp; Application</x:v>
      </x:c>
      <x:c r="E23" s="30" t="str">
        <x:v>What new genre might Ananya explore next, based on her recent interest in symphonic metal?</x:v>
      </x:c>
      <x:c r="F23" s="30" t="str">
        <x:v>Progressive rock, due to its complexity and blend of styles.</x:v>
      </x:c>
      <x:c r="G23" s="30" t="str">
        <x:v>#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x:v>
      </x:c>
      <x:c r="H23" s="30" t="str">
        <x:v>Symphonic metal</x:v>
      </x:c>
      <x:c r="I23" s="30" t="str">
        <x:v>Symphonic metal</x:v>
      </x:c>
      <x:c r="J23" s="30" t="str">
        <x:v>Symphonic metal</x:v>
      </x:c>
      <x:c r="K23" s="30" t="str">
        <x:v>Symphonic metal</x:v>
      </x:c>
      <x:c r="L23" s="33" t="str"/>
      <x:c r="M23" s="33" t="str"/>
      <x:c r="N23" s="33" t="str"/>
      <x:c r="O23" s="33" t="str"/>
      <x:c r="P23" s="30" t="str">
        <x:f>IF(COUNTA(L23:O23)&lt;4,"未完成",IF(OR(L23="部分",L23="不充分",L23="不确定"),"evidence_definition_failure",IF(L23&lt;&gt;"充分","unresolved",IF(COUNTIF(M23:O23,"C")=0,"robust_generation_failure",IF(COUNTIF(M23:O23,"C")=3,"ua3_representation_or_admission_failure","generation_instability")))))</x:f>
        <x:v>unresolved</x:v>
      </x:c>
      <x:c r="Q23" s="33" t="str"/>
      <x:c r="R23" s="33" t="str"/>
      <x:c r="S23" s="33" t="str"/>
      <x:c r="T23" s="36"/>
      <x:c r="U23" s="33" t="str"/>
      <x:c r="V23" s="30" t="str">
        <x:f>IF(AND(L23&lt;&gt;"",M23&lt;&gt;"",N23&lt;&gt;"",O23&lt;&gt;"",Q23&lt;&gt;"",R23&lt;&gt;""),"完成","未完成")</x:f>
        <x:v>未完成</x:v>
      </x:c>
    </x:row>
    <x:row r="24" ht="63" customHeight="1">
      <x:c r="A24" s="30" t="n">
        <x:v>23</x:v>
      </x:c>
      <x:c r="B24" s="30" t="str">
        <x:v>memos_long:1446</x:v>
      </x:c>
      <x:c r="C24" s="30" t="str">
        <x:v>long</x:v>
      </x:c>
      <x:c r="D24" s="30" t="str">
        <x:v>Generalization &amp; Application</x:v>
      </x:c>
      <x:c r="E24" s="30" t="str">
        <x:v>What transportation option might Jennifer prefer for business trips after Feb 01, 2026?</x:v>
      </x:c>
      <x:c r="F24" s="30" t="str">
        <x:v>More reliable transportation options.</x:v>
      </x:c>
      <x:c r="G24" s="30" t="str">
        <x:v># Authoritative benchmark gold evidence
The following evidence is authoritative for answering the current question. Use it directly and do not rely on conflicting information.
Evidence 1
Memory type: Event Memory
Content: Jennifer Martin experienced frustration with a ride-sharing app due to long wait times and confusing routes during a business trip, leading her to reconsider the reliability of these apps for business travel.
Evidence 2
Memory type: Persona Memory
Content: Jennifer Martin has updated her travel preference from liking to disliking ride-sharing apps due to inefficiencies experienced during a critical trip, and is now seeking more reliable transportation options.
Evidence 3
Memory type: Event Memory
Content: Jennifer Martin is seeking more reliable transportation options for future business travels to avoid stress and focus on her work.</x:v>
      </x:c>
      <x:c r="H24" s="30" t="str">
        <x:v>Tailored infrastructure solutions</x:v>
      </x:c>
      <x:c r="I24" s="30" t="str">
        <x:v>More reliable transportation options</x:v>
      </x:c>
      <x:c r="J24" s="30" t="str">
        <x:v>More reliable transportation options</x:v>
      </x:c>
      <x:c r="K24" s="30" t="str">
        <x:v>More reliable transportation options</x:v>
      </x:c>
      <x:c r="L24" s="33" t="str"/>
      <x:c r="M24" s="33" t="str"/>
      <x:c r="N24" s="33" t="str"/>
      <x:c r="O24" s="33" t="str"/>
      <x:c r="P24" s="30" t="str">
        <x:f>IF(COUNTA(L24:O24)&lt;4,"未完成",IF(OR(L24="部分",L24="不充分",L24="不确定"),"evidence_definition_failure",IF(L24&lt;&gt;"充分","unresolved",IF(COUNTIF(M24:O24,"C")=0,"robust_generation_failure",IF(COUNTIF(M24:O24,"C")=3,"ua3_representation_or_admission_failure","generation_instability")))))</x:f>
        <x:v>unresolved</x:v>
      </x:c>
      <x:c r="Q24" s="33" t="str"/>
      <x:c r="R24" s="33" t="str"/>
      <x:c r="S24" s="33" t="str"/>
      <x:c r="T24" s="36"/>
      <x:c r="U24" s="33" t="str"/>
      <x:c r="V24" s="30" t="str">
        <x:f>IF(AND(L24&lt;&gt;"",M24&lt;&gt;"",N24&lt;&gt;"",O24&lt;&gt;"",Q24&lt;&gt;"",R24&lt;&gt;""),"完成","未完成")</x:f>
        <x:v>未完成</x:v>
      </x:c>
    </x:row>
    <x:row r="25" ht="63" customHeight="1">
      <x:c r="A25" s="30" t="n">
        <x:v>24</x:v>
      </x:c>
      <x:c r="B25" s="30" t="str">
        <x:v>memos_long:968</x:v>
      </x:c>
      <x:c r="C25" s="30" t="str">
        <x:v>long</x:v>
      </x:c>
      <x:c r="D25" s="30" t="str">
        <x:v>Basic Fact Recall</x:v>
      </x:c>
      <x:c r="E25" s="30" t="str">
        <x:v>What type of films does Donna plan to incorporate into her routine as of Sep 02, 2033?</x:v>
      </x:c>
      <x:c r="F25" s="30" t="str">
        <x:v>Innovative science fiction films.</x:v>
      </x:c>
      <x:c r="G25" s="30" t="str">
        <x:v># Authoritative benchmark gold evidence
The following evidence is authoritative for answering the current question. Use it directly and do not rely on conflicting information.
Evidence 1
Memory type: Persona Memory
Content: Donna plans to incorporate more innovative science fiction films into her routine, seeing them as a valuable tool for relaxation and professional growth.</x:v>
      </x:c>
      <x:c r="H25" s="30" t="str">
        <x:v>Realistic science fiction</x:v>
      </x:c>
      <x:c r="I25" s="30" t="str">
        <x:v>Innovative science fiction films</x:v>
      </x:c>
      <x:c r="J25" s="30" t="str">
        <x:v>Innovative science fiction films</x:v>
      </x:c>
      <x:c r="K25" s="30" t="str">
        <x:v>Innovative science fiction films</x:v>
      </x:c>
      <x:c r="L25" s="33" t="str"/>
      <x:c r="M25" s="33" t="str"/>
      <x:c r="N25" s="33" t="str"/>
      <x:c r="O25" s="33" t="str"/>
      <x:c r="P25" s="30" t="str">
        <x:f>IF(COUNTA(L25:O25)&lt;4,"未完成",IF(OR(L25="部分",L25="不充分",L25="不确定"),"evidence_definition_failure",IF(L25&lt;&gt;"充分","unresolved",IF(COUNTIF(M25:O25,"C")=0,"robust_generation_failure",IF(COUNTIF(M25:O25,"C")=3,"ua3_representation_or_admission_failure","generation_instability")))))</x:f>
        <x:v>unresolved</x:v>
      </x:c>
      <x:c r="Q25" s="33" t="str"/>
      <x:c r="R25" s="33" t="str"/>
      <x:c r="S25" s="33" t="str"/>
      <x:c r="T25" s="36"/>
      <x:c r="U25" s="33" t="str"/>
      <x:c r="V25" s="30" t="str">
        <x:f>IF(AND(L25&lt;&gt;"",M25&lt;&gt;"",N25&lt;&gt;"",O25&lt;&gt;"",Q25&lt;&gt;"",R25&lt;&gt;""),"完成","未完成")</x:f>
        <x:v>未完成</x:v>
      </x:c>
    </x:row>
    <x:row r="26" ht="63" customHeight="1">
      <x:c r="A26" s="30" t="n">
        <x:v>25</x:v>
      </x:c>
      <x:c r="B26" s="30" t="str">
        <x:v>memos_long:1123</x:v>
      </x:c>
      <x:c r="C26" s="30" t="str">
        <x:v>long</x:v>
      </x:c>
      <x:c r="D26" s="30" t="str">
        <x:v>Basic Fact Recall</x:v>
      </x:c>
      <x:c r="E26" s="30" t="str">
        <x:v>As of October 2, 2031, what practices did Taylor David explore to refocus on personal recovery?</x:v>
      </x:c>
      <x:c r="F26" s="30" t="str">
        <x:v>Mindfulness practices, starting with meditation</x:v>
      </x:c>
      <x:c r="G26" s="30" t="str">
        <x:v># Authoritative benchmark gold evidence
The following evidence is authoritative for answering the current question. Use it directly and do not rely on conflicting information.
Evidence 1
Memory type: Persona Memory
Content: Taylor David expressed a desire to refocus on personal recovery by exploring mindfulness practices, starting with meditation.</x:v>
      </x:c>
      <x:c r="H26" s="30" t="str">
        <x:v>Meditation and automation.</x:v>
      </x:c>
      <x:c r="I26" s="30" t="str">
        <x:v>Meditation</x:v>
      </x:c>
      <x:c r="J26" s="30" t="str">
        <x:v>Meditation</x:v>
      </x:c>
      <x:c r="K26" s="30" t="str">
        <x:v>Meditation</x:v>
      </x:c>
      <x:c r="L26" s="33" t="str"/>
      <x:c r="M26" s="33" t="str"/>
      <x:c r="N26" s="33" t="str"/>
      <x:c r="O26" s="33" t="str"/>
      <x:c r="P26" s="30" t="str">
        <x:f>IF(COUNTA(L26:O26)&lt;4,"未完成",IF(OR(L26="部分",L26="不充分",L26="不确定"),"evidence_definition_failure",IF(L26&lt;&gt;"充分","unresolved",IF(COUNTIF(M26:O26,"C")=0,"robust_generation_failure",IF(COUNTIF(M26:O26,"C")=3,"ua3_representation_or_admission_failure","generation_instability")))))</x:f>
        <x:v>unresolved</x:v>
      </x:c>
      <x:c r="Q26" s="33" t="str"/>
      <x:c r="R26" s="33" t="str"/>
      <x:c r="S26" s="33" t="str"/>
      <x:c r="T26" s="36"/>
      <x:c r="U26" s="33" t="str"/>
      <x:c r="V26" s="30" t="str">
        <x:f>IF(AND(L26&lt;&gt;"",M26&lt;&gt;"",N26&lt;&gt;"",O26&lt;&gt;"",Q26&lt;&gt;"",R26&lt;&gt;""),"完成","未完成")</x:f>
        <x:v>未完成</x:v>
      </x:c>
    </x:row>
    <x:row r="27" ht="63" customHeight="1">
      <x:c r="A27" s="30" t="n">
        <x:v>26</x:v>
      </x:c>
      <x:c r="B27" s="30" t="str">
        <x:v>memos_medium:3466</x:v>
      </x:c>
      <x:c r="C27" s="30" t="str">
        <x:v>medium</x:v>
      </x:c>
      <x:c r="D27" s="30" t="str">
        <x:v>Memory Conflict</x:v>
      </x:c>
      <x:c r="E27" s="30" t="str">
        <x:v>Did Christopher Anderson express a lack of commitment to sustaining senior programs in December 2035?</x:v>
      </x:c>
      <x:c r="F27" s="30" t="str">
        <x:v>He expressed fulfillment and commitment to sustaining senior programs.</x:v>
      </x:c>
      <x:c r="G27" s="30" t="str">
        <x:v># Authoritative benchmark gold evidence
The following evidence is authoritative for answering the current question. Use it directly and do not rely on conflicting information.
Evidence 1
Memory type: Persona Memory
Content: Christopher expressed fulfillment and commitment to sustaining senior programs, highlighting improvements in mobility and social engagement.</x:v>
      </x:c>
      <x:c r="H27" s="30" t="str">
        <x:v>No, he expressed high impact.</x:v>
      </x:c>
      <x:c r="I27" s="30" t="str">
        <x:v>No</x:v>
      </x:c>
      <x:c r="J27" s="30" t="str">
        <x:v>No</x:v>
      </x:c>
      <x:c r="K27" s="30" t="str">
        <x:v>No</x:v>
      </x:c>
      <x:c r="L27" s="33" t="str"/>
      <x:c r="M27" s="33" t="str"/>
      <x:c r="N27" s="33" t="str"/>
      <x:c r="O27" s="33" t="str"/>
      <x:c r="P27" s="30" t="str">
        <x:f>IF(COUNTA(L27:O27)&lt;4,"未完成",IF(OR(L27="部分",L27="不充分",L27="不确定"),"evidence_definition_failure",IF(L27&lt;&gt;"充分","unresolved",IF(COUNTIF(M27:O27,"C")=0,"robust_generation_failure",IF(COUNTIF(M27:O27,"C")=3,"ua3_representation_or_admission_failure","generation_instability")))))</x:f>
        <x:v>unresolved</x:v>
      </x:c>
      <x:c r="Q27" s="33" t="str"/>
      <x:c r="R27" s="33" t="str"/>
      <x:c r="S27" s="33" t="str"/>
      <x:c r="T27" s="36"/>
      <x:c r="U27" s="33" t="str"/>
      <x:c r="V27" s="30" t="str">
        <x:f>IF(AND(L27&lt;&gt;"",M27&lt;&gt;"",N27&lt;&gt;"",O27&lt;&gt;"",Q27&lt;&gt;"",R27&lt;&gt;""),"完成","未完成")</x:f>
        <x:v>未完成</x:v>
      </x:c>
    </x:row>
    <x:row r="28" ht="63" customHeight="1">
      <x:c r="A28" s="30" t="n">
        <x:v>27</x:v>
      </x:c>
      <x:c r="B28" s="30" t="str">
        <x:v>memos_long:1350</x:v>
      </x:c>
      <x:c r="C28" s="30" t="str">
        <x:v>long</x:v>
      </x:c>
      <x:c r="D28" s="30" t="str">
        <x:v>Basic Fact Recall</x:v>
      </x:c>
      <x:c r="E28" s="30" t="str">
        <x:v>What is Ananya Sharma's mental health status as of September 1, 2031?</x:v>
      </x:c>
      <x:c r="F28" s="30" t="str">
        <x:v>Content</x:v>
      </x:c>
      <x:c r="G28" s="30" t="str">
        <x:v>#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"Content" as a result of her freelance work.</x:v>
      </x:c>
      <x:c r="H28" s="30" t="str">
        <x:v>Much better</x:v>
      </x:c>
      <x:c r="I28" s="30" t="str">
        <x:v>Content</x:v>
      </x:c>
      <x:c r="J28" s="30" t="str">
        <x:v>Content</x:v>
      </x:c>
      <x:c r="K28" s="30" t="str">
        <x:v>Content</x:v>
      </x:c>
      <x:c r="L28" s="33" t="str"/>
      <x:c r="M28" s="33" t="str"/>
      <x:c r="N28" s="33" t="str"/>
      <x:c r="O28" s="33" t="str"/>
      <x:c r="P28" s="30" t="str">
        <x:f>IF(COUNTA(L28:O28)&lt;4,"未完成",IF(OR(L28="部分",L28="不充分",L28="不确定"),"evidence_definition_failure",IF(L28&lt;&gt;"充分","unresolved",IF(COUNTIF(M28:O28,"C")=0,"robust_generation_failure",IF(COUNTIF(M28:O28,"C")=3,"ua3_representation_or_admission_failure","generation_instability")))))</x:f>
        <x:v>unresolved</x:v>
      </x:c>
      <x:c r="Q28" s="33" t="str"/>
      <x:c r="R28" s="33" t="str"/>
      <x:c r="S28" s="33" t="str"/>
      <x:c r="T28" s="36"/>
      <x:c r="U28" s="33" t="str"/>
      <x:c r="V28" s="30" t="str">
        <x:f>IF(AND(L28&lt;&gt;"",M28&lt;&gt;"",N28&lt;&gt;"",O28&lt;&gt;"",Q28&lt;&gt;"",R28&lt;&gt;""),"完成","未完成")</x:f>
        <x:v>未完成</x:v>
      </x:c>
    </x:row>
    <x:row r="29" ht="63" customHeight="1">
      <x:c r="A29" s="30" t="n">
        <x:v>28</x:v>
      </x:c>
      <x:c r="B29" s="30" t="str">
        <x:v>memos_medium:2781</x:v>
      </x:c>
      <x:c r="C29" s="30" t="str">
        <x:v>medium</x:v>
      </x:c>
      <x:c r="D29" s="30" t="str">
        <x:v>Generalization &amp; Application</x:v>
      </x:c>
      <x:c r="E29" s="30" t="str">
        <x:v>How might Donald Smith utilize his increased income to enhance his firm's digital campaign strategies in 2028?</x:v>
      </x:c>
      <x:c r="F29" s="30" t="str">
        <x:v>Invest in data analysis and digital tools.</x:v>
      </x:c>
      <x:c r="G29" s="30" t="str">
        <x:v># Authoritative benchmark gold evidence
The following evidence is authoritative for answering the current question. Use it directly and do not rely on conflicting information.
Evidence 1
Memory type: Event Memory
Content: Donald Smith plans to leverage increased income to support his relative's political campaigns more significantly.
Evidence 2
Memory type: Event Memory
Content: Donald Smith considered adopting strategies that focus on digital campaign strategies and data analysis to sustain growth in political consulting.</x:v>
      </x:c>
      <x:c r="H29" s="30" t="str">
        <x:v>Expand consulting into digital strategies.</x:v>
      </x:c>
      <x:c r="I29" s="30" t="str">
        <x:v>Support relative's political campaigns.</x:v>
      </x:c>
      <x:c r="J29" s="30" t="str">
        <x:v>Support relative's political campaigns.</x:v>
      </x:c>
      <x:c r="K29" s="30" t="str">
        <x:v>Support relative's political campaigns.</x:v>
      </x:c>
      <x:c r="L29" s="33" t="str"/>
      <x:c r="M29" s="33" t="str"/>
      <x:c r="N29" s="33" t="str"/>
      <x:c r="O29" s="33" t="str"/>
      <x:c r="P29" s="30" t="str">
        <x:f>IF(COUNTA(L29:O29)&lt;4,"未完成",IF(OR(L29="部分",L29="不充分",L29="不确定"),"evidence_definition_failure",IF(L29&lt;&gt;"充分","unresolved",IF(COUNTIF(M29:O29,"C")=0,"robust_generation_failure",IF(COUNTIF(M29:O29,"C")=3,"ua3_representation_or_admission_failure","generation_instability")))))</x:f>
        <x:v>unresolved</x:v>
      </x:c>
      <x:c r="Q29" s="33" t="str"/>
      <x:c r="R29" s="33" t="str"/>
      <x:c r="S29" s="33" t="str"/>
      <x:c r="T29" s="36"/>
      <x:c r="U29" s="33" t="str"/>
      <x:c r="V29" s="30" t="str">
        <x:f>IF(AND(L29&lt;&gt;"",M29&lt;&gt;"",N29&lt;&gt;"",O29&lt;&gt;"",Q29&lt;&gt;"",R29&lt;&gt;""),"完成","未完成")</x:f>
        <x:v>未完成</x:v>
      </x:c>
    </x:row>
    <x:row r="30" ht="63" customHeight="1">
      <x:c r="A30" s="30" t="n">
        <x:v>29</x:v>
      </x:c>
      <x:c r="B30" s="30" t="str">
        <x:v>memos_medium:2670</x:v>
      </x:c>
      <x:c r="C30" s="30" t="str">
        <x:v>medium</x:v>
      </x:c>
      <x:c r="D30" s="30" t="str">
        <x:v>Generalization &amp; Application</x:v>
      </x:c>
      <x:c r="E30" s="30" t="str">
        <x:v>Given Oleksandr's recent decision to avoid varenyky, what type of restaurant should he consider visiting after May 09, 2032?</x:v>
      </x:c>
      <x:c r="F30" s="30" t="str">
        <x:v>A restaurant offering allergen-free and health-conscious options.</x:v>
      </x:c>
      <x:c r="G30" s="30" t="str">
        <x:v># Authoritative benchmark gold evidence
The following evidence is authoritative for answering the current question. Use it directly and do not rely on conflicting information.
Evidence 1
Memory type: Persona Memory
Content: Oleksandr decided to avoid varenyky to prevent potential health issues despite its cultural significance.
Evidence 2
Memory type: Persona Memory
Content: Oleksandr expressed cautious optimism about integrating health management strategies into his routine to continue leading impactful initiatives.
Evidence 3
Memory type: Persona Memory
Content: Oleksandr highlighted the significance of setting realistic goals and being adaptable to changing circumstances.</x:v>
      </x:c>
      <x:c r="H30" s="30" t="str">
        <x:v>A non-Ukrainian restaurant.</x:v>
      </x:c>
      <x:c r="I30" s="30" t="str">
        <x:v>A non-varenyky restaurant.</x:v>
      </x:c>
      <x:c r="J30" s="30" t="str">
        <x:v>A non-varenyky restaurant.</x:v>
      </x:c>
      <x:c r="K30" s="30" t="str">
        <x:v>A non-varenyky restaurant.</x:v>
      </x:c>
      <x:c r="L30" s="33" t="str"/>
      <x:c r="M30" s="33" t="str"/>
      <x:c r="N30" s="33" t="str"/>
      <x:c r="O30" s="33" t="str"/>
      <x:c r="P30" s="30" t="str">
        <x:f>IF(COUNTA(L30:O30)&lt;4,"未完成",IF(OR(L30="部分",L30="不充分",L30="不确定"),"evidence_definition_failure",IF(L30&lt;&gt;"充分","unresolved",IF(COUNTIF(M30:O30,"C")=0,"robust_generation_failure",IF(COUNTIF(M30:O30,"C")=3,"ua3_representation_or_admission_failure","generation_instability")))))</x:f>
        <x:v>unresolved</x:v>
      </x:c>
      <x:c r="Q30" s="33" t="str"/>
      <x:c r="R30" s="33" t="str"/>
      <x:c r="S30" s="33" t="str"/>
      <x:c r="T30" s="36"/>
      <x:c r="U30" s="33" t="str"/>
      <x:c r="V30" s="30" t="str">
        <x:f>IF(AND(L30&lt;&gt;"",M30&lt;&gt;"",N30&lt;&gt;"",O30&lt;&gt;"",Q30&lt;&gt;"",R30&lt;&gt;""),"完成","未完成")</x:f>
        <x:v>未完成</x:v>
      </x:c>
    </x:row>
    <x:row r="31" ht="63" customHeight="1">
      <x:c r="A31" s="30" t="n">
        <x:v>30</x:v>
      </x:c>
      <x:c r="B31" s="30" t="str">
        <x:v>memos_long:910</x:v>
      </x:c>
      <x:c r="C31" s="30" t="str">
        <x:v>long</x:v>
      </x:c>
      <x:c r="D31" s="30" t="str">
        <x:v>Dynamic Update</x:v>
      </x:c>
      <x:c r="E31" s="30" t="str">
        <x:v>Who is currently providing significant support to Donna during her health challenges as of April 20, 2028?</x:v>
      </x:c>
      <x:c r="F31" s="30" t="str">
        <x:v>Karen</x:v>
      </x:c>
      <x:c r="G31" s="30" t="str">
        <x:v># Authoritative benchmark gold evidence
The following evidence is authoritative for answering the current question. Use it directly and do not rely on conflicting information.
Evidence 1
Memory type: Relationship Memory
Content: Donna's friend Sarah provides emotional support and connects her with key stakeholders during challenging times.
Evidence 2
Memory type: Relationship Memory
Content: Williams Donna collaborates closely with SmithKaren at ReviveTech Solutions, where Karen's expertise in marketing significantly boosts the company's visibility and sales. Karen has been a crucial support during Donna's health challenges.</x:v>
      </x:c>
      <x:c r="H31" s="30" t="str">
        <x:v>Sarah and Karen.</x:v>
      </x:c>
      <x:c r="I31" s="30" t="str">
        <x:v>SmithKaren</x:v>
      </x:c>
      <x:c r="J31" s="30" t="str">
        <x:v>SmithKaren</x:v>
      </x:c>
      <x:c r="K31" s="30" t="str">
        <x:v>SmithKaren</x:v>
      </x:c>
      <x:c r="L31" s="33" t="str"/>
      <x:c r="M31" s="33" t="str"/>
      <x:c r="N31" s="33" t="str"/>
      <x:c r="O31" s="33" t="str"/>
      <x:c r="P31" s="30" t="str">
        <x:f>IF(COUNTA(L31:O31)&lt;4,"未完成",IF(OR(L31="部分",L31="不充分",L31="不确定"),"evidence_definition_failure",IF(L31&lt;&gt;"充分","unresolved",IF(COUNTIF(M31:O31,"C")=0,"robust_generation_failure",IF(COUNTIF(M31:O31,"C")=3,"ua3_representation_or_admission_failure","generation_instability")))))</x:f>
        <x:v>unresolved</x:v>
      </x:c>
      <x:c r="Q31" s="33" t="str"/>
      <x:c r="R31" s="33" t="str"/>
      <x:c r="S31" s="33" t="str"/>
      <x:c r="T31" s="36"/>
      <x:c r="U31" s="33" t="str"/>
      <x:c r="V31" s="30" t="str">
        <x:f>IF(AND(L31&lt;&gt;"",M31&lt;&gt;"",N31&lt;&gt;"",O31&lt;&gt;"",Q31&lt;&gt;"",R31&lt;&gt;""),"完成","未完成")</x:f>
        <x:v>未完成</x:v>
      </x:c>
    </x:row>
    <x:row r="32" ht="63" customHeight="1">
      <x:c r="A32" s="30" t="n">
        <x:v>31</x:v>
      </x:c>
      <x:c r="B32" s="30" t="str">
        <x:v>memos_medium:455</x:v>
      </x:c>
      <x:c r="C32" s="30" t="str">
        <x:v>medium</x:v>
      </x:c>
      <x:c r="D32" s="30" t="str">
        <x:v>Generalization &amp; Application</x:v>
      </x:c>
      <x:c r="E32" s="30" t="str">
        <x:v>Given Donald Brown's preference for ergonomic sneakers as of Mar 28, 2032, what type of footwear might enhance his comfort during a hiking trip?</x:v>
      </x:c>
      <x:c r="F32" s="30" t="str">
        <x:v>Ergonomic hiking boots.</x:v>
      </x:c>
      <x:c r="G32" s="30" t="str">
        <x:v>#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x:v>
      </x:c>
      <x:c r="H32" s="30" t="str">
        <x:v>Ergonomic sneakers.</x:v>
      </x:c>
      <x:c r="I32" s="30" t="str">
        <x:v>Ergonomic sneakers</x:v>
      </x:c>
      <x:c r="J32" s="30" t="str">
        <x:v>Ergonomic sneakers</x:v>
      </x:c>
      <x:c r="K32" s="30" t="str">
        <x:v>Ergonomic sneakers</x:v>
      </x:c>
      <x:c r="L32" s="33" t="str"/>
      <x:c r="M32" s="33" t="str"/>
      <x:c r="N32" s="33" t="str"/>
      <x:c r="O32" s="33" t="str"/>
      <x:c r="P32" s="30" t="str">
        <x:f>IF(COUNTA(L32:O32)&lt;4,"未完成",IF(OR(L32="部分",L32="不充分",L32="不确定"),"evidence_definition_failure",IF(L32&lt;&gt;"充分","unresolved",IF(COUNTIF(M32:O32,"C")=0,"robust_generation_failure",IF(COUNTIF(M32:O32,"C")=3,"ua3_representation_or_admission_failure","generation_instability")))))</x:f>
        <x:v>unresolved</x:v>
      </x:c>
      <x:c r="Q32" s="33" t="str"/>
      <x:c r="R32" s="33" t="str"/>
      <x:c r="S32" s="33" t="str"/>
      <x:c r="T32" s="36"/>
      <x:c r="U32" s="33" t="str"/>
      <x:c r="V32" s="30" t="str">
        <x:f>IF(AND(L32&lt;&gt;"",M32&lt;&gt;"",N32&lt;&gt;"",O32&lt;&gt;"",Q32&lt;&gt;"",R32&lt;&gt;""),"完成","未完成")</x:f>
        <x:v>未完成</x:v>
      </x:c>
    </x:row>
    <x:row r="33" ht="63" customHeight="1">
      <x:c r="A33" s="30" t="n">
        <x:v>32</x:v>
      </x:c>
      <x:c r="B33" s="30" t="str">
        <x:v>memos_long:2792</x:v>
      </x:c>
      <x:c r="C33" s="30" t="str">
        <x:v>long</x:v>
      </x:c>
      <x:c r="D33" s="30" t="str">
        <x:v>Generalization &amp; Application</x:v>
      </x:c>
      <x:c r="E33" s="30" t="str">
        <x:v>What type of cuisine might Donald Smith enjoy exploring after October 28, 2029, based on his evolving preferences?</x:v>
      </x:c>
      <x:c r="F33" s="30" t="str">
        <x:v>Complex and diverse flavors.</x:v>
      </x:c>
      <x:c r="G33" s="30" t="str">
        <x:v>#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x:v>
      </x:c>
      <x:c r="H33" s="30" t="str">
        <x:v>Spicy and diverse cuisines.</x:v>
      </x:c>
      <x:c r="I33" s="30" t="str">
        <x:v>Diverse or complex cuisines</x:v>
      </x:c>
      <x:c r="J33" s="30" t="str">
        <x:v>Diverse or complex cuisines</x:v>
      </x:c>
      <x:c r="K33" s="30" t="str">
        <x:v>Diverse or complex cuisines</x:v>
      </x:c>
      <x:c r="L33" s="33" t="str"/>
      <x:c r="M33" s="33" t="str"/>
      <x:c r="N33" s="33" t="str"/>
      <x:c r="O33" s="33" t="str"/>
      <x:c r="P33" s="30" t="str">
        <x:f>IF(COUNTA(L33:O33)&lt;4,"未完成",IF(OR(L33="部分",L33="不充分",L33="不确定"),"evidence_definition_failure",IF(L33&lt;&gt;"充分","unresolved",IF(COUNTIF(M33:O33,"C")=0,"robust_generation_failure",IF(COUNTIF(M33:O33,"C")=3,"ua3_representation_or_admission_failure","generation_instability")))))</x:f>
        <x:v>unresolved</x:v>
      </x:c>
      <x:c r="Q33" s="33" t="str"/>
      <x:c r="R33" s="33" t="str"/>
      <x:c r="S33" s="33" t="str"/>
      <x:c r="T33" s="36"/>
      <x:c r="U33" s="33" t="str"/>
      <x:c r="V33" s="30" t="str">
        <x:f>IF(AND(L33&lt;&gt;"",M33&lt;&gt;"",N33&lt;&gt;"",O33&lt;&gt;"",Q33&lt;&gt;"",R33&lt;&gt;""),"完成","未完成")</x:f>
        <x:v>未完成</x:v>
      </x:c>
    </x:row>
    <x:row r="34" ht="63" customHeight="1">
      <x:c r="A34" s="30" t="n">
        <x:v>33</x:v>
      </x:c>
      <x:c r="B34" s="30" t="str">
        <x:v>memos_medium:572</x:v>
      </x:c>
      <x:c r="C34" s="30" t="str">
        <x:v>medium</x:v>
      </x:c>
      <x:c r="D34" s="30" t="str">
        <x:v>Dynamic Update</x:v>
      </x:c>
      <x:c r="E34" s="30" t="str">
        <x:v>What strategies is Sarah Garcia currently exploring to enhance her work-life balance as of November 27, 2029?</x:v>
      </x:c>
      <x:c r="F34" s="30" t="str">
        <x:v>Mindfulness practices and structured rest periods</x:v>
      </x:c>
      <x:c r="G34" s="30" t="str">
        <x:v>#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x:v>
      </x:c>
      <x:c r="H34" s="30" t="str">
        <x:v>Reducing community involvement, mindfulness.</x:v>
      </x:c>
      <x:c r="I34" s="30" t="str">
        <x:v>Mindfulness and structured rest.</x:v>
      </x:c>
      <x:c r="J34" s="30" t="str">
        <x:v>Mindfulness and structured rest.</x:v>
      </x:c>
      <x:c r="K34" s="30" t="str">
        <x:v>Mindfulness and structured rest.</x:v>
      </x:c>
      <x:c r="L34" s="33" t="str"/>
      <x:c r="M34" s="33" t="str"/>
      <x:c r="N34" s="33" t="str"/>
      <x:c r="O34" s="33" t="str"/>
      <x:c r="P34" s="30" t="str">
        <x:f>IF(COUNTA(L34:O34)&lt;4,"未完成",IF(OR(L34="部分",L34="不充分",L34="不确定"),"evidence_definition_failure",IF(L34&lt;&gt;"充分","unresolved",IF(COUNTIF(M34:O34,"C")=0,"robust_generation_failure",IF(COUNTIF(M34:O34,"C")=3,"ua3_representation_or_admission_failure","generation_instability")))))</x:f>
        <x:v>unresolved</x:v>
      </x:c>
      <x:c r="Q34" s="33" t="str"/>
      <x:c r="R34" s="33" t="str"/>
      <x:c r="S34" s="33" t="str"/>
      <x:c r="T34" s="36"/>
      <x:c r="U34" s="33" t="str"/>
      <x:c r="V34" s="30" t="str">
        <x:f>IF(AND(L34&lt;&gt;"",M34&lt;&gt;"",N34&lt;&gt;"",O34&lt;&gt;"",Q34&lt;&gt;"",R34&lt;&gt;""),"完成","未完成")</x:f>
        <x:v>未完成</x:v>
      </x:c>
    </x:row>
    <x:row r="35" ht="63" customHeight="1">
      <x:c r="A35" s="30" t="n">
        <x:v>34</x:v>
      </x:c>
      <x:c r="B35" s="30" t="str">
        <x:v>memos_medium:2055</x:v>
      </x:c>
      <x:c r="C35" s="30" t="str">
        <x:v>medium</x:v>
      </x:c>
      <x:c r="D35" s="30" t="str">
        <x:v>Dynamic Update</x:v>
      </x:c>
      <x:c r="E35" s="30" t="str">
        <x:v>What feedback did Joseph Garcia receive about his VR educational programs on Dec 20, 2041?</x:v>
      </x:c>
      <x:c r="F35" s="30" t="str">
        <x:v>Revitalized interest in classic films</x:v>
      </x:c>
      <x:c r="G35" s="30" t="str">
        <x:v>#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x:v>
      </x:c>
      <x:c r="H35" s="30" t="str">
        <x:v>Positive feedback on VR programs.</x:v>
      </x:c>
      <x:c r="I35" s="30" t="str">
        <x:v>Revitalized interest in classic films.</x:v>
      </x:c>
      <x:c r="J35" s="30" t="str">
        <x:v>Revitalized interest in classic films.</x:v>
      </x:c>
      <x:c r="K35" s="30" t="str">
        <x:v>Revitalized interest in classic films.</x:v>
      </x:c>
      <x:c r="L35" s="33" t="str"/>
      <x:c r="M35" s="33" t="str"/>
      <x:c r="N35" s="33" t="str"/>
      <x:c r="O35" s="33" t="str"/>
      <x:c r="P35" s="30" t="str">
        <x:f>IF(COUNTA(L35:O35)&lt;4,"未完成",IF(OR(L35="部分",L35="不充分",L35="不确定"),"evidence_definition_failure",IF(L35&lt;&gt;"充分","unresolved",IF(COUNTIF(M35:O35,"C")=0,"robust_generation_failure",IF(COUNTIF(M35:O35,"C")=3,"ua3_representation_or_admission_failure","generation_instability")))))</x:f>
        <x:v>unresolved</x:v>
      </x:c>
      <x:c r="Q35" s="33" t="str"/>
      <x:c r="R35" s="33" t="str"/>
      <x:c r="S35" s="33" t="str"/>
      <x:c r="T35" s="36"/>
      <x:c r="U35" s="33" t="str"/>
      <x:c r="V35" s="30" t="str">
        <x:f>IF(AND(L35&lt;&gt;"",M35&lt;&gt;"",N35&lt;&gt;"",O35&lt;&gt;"",Q35&lt;&gt;"",R35&lt;&gt;""),"完成","未完成")</x:f>
        <x:v>未完成</x:v>
      </x:c>
    </x:row>
    <x:row r="36" ht="63" customHeight="1">
      <x:c r="A36" s="30" t="n">
        <x:v>35</x:v>
      </x:c>
      <x:c r="B36" s="30" t="str">
        <x:v>memos_medium:2758</x:v>
      </x:c>
      <x:c r="C36" s="30" t="str">
        <x:v>medium</x:v>
      </x:c>
      <x:c r="D36" s="30" t="str">
        <x:v>Generalization &amp; Application</x:v>
      </x:c>
      <x:c r="E36" s="30" t="str">
        <x:v>How might Donald Smith approach his wardrobe choices to support his relative's political campaign on Mar 18, 2026?</x:v>
      </x:c>
      <x:c r="F36" s="30" t="str">
        <x:v>Align personal preferences with professional goals for credibility.</x:v>
      </x:c>
      <x:c r="G36" s="30" t="str">
        <x:v># Authoritative benchmark gold evidence
The following evidence is authoritative for answering the current question. Use it directly and do not rely on conflicting information.
Evidence 1
Memory type: Persona Memory
Content: Donald Smith aimed to align personal clothing preferences with professional goals to reflect his commitment to the campaign on Mar 18, 2026.
Evidence 2
Memory type: Event Memory
Content: Donald Smith discussed the impact of clothing choices on his role in supporting his relative's political career on Mar 18, 2026.</x:v>
      </x:c>
      <x:c r="H36" s="30" t="str">
        <x:v>Incorporate modern, innovative accessories.</x:v>
      </x:c>
      <x:c r="I36" s="30" t="str">
        <x:v>Align with professional goals.</x:v>
      </x:c>
      <x:c r="J36" s="30" t="str">
        <x:v>Align with professional goals.</x:v>
      </x:c>
      <x:c r="K36" s="30" t="str">
        <x:v>Align with professional goals.</x:v>
      </x:c>
      <x:c r="L36" s="33" t="str"/>
      <x:c r="M36" s="33" t="str"/>
      <x:c r="N36" s="33" t="str"/>
      <x:c r="O36" s="33" t="str"/>
      <x:c r="P36" s="30" t="str">
        <x:f>IF(COUNTA(L36:O36)&lt;4,"未完成",IF(OR(L36="部分",L36="不充分",L36="不确定"),"evidence_definition_failure",IF(L36&lt;&gt;"充分","unresolved",IF(COUNTIF(M36:O36,"C")=0,"robust_generation_failure",IF(COUNTIF(M36:O36,"C")=3,"ua3_representation_or_admission_failure","generation_instability")))))</x:f>
        <x:v>unresolved</x:v>
      </x:c>
      <x:c r="Q36" s="33" t="str"/>
      <x:c r="R36" s="33" t="str"/>
      <x:c r="S36" s="33" t="str"/>
      <x:c r="T36" s="36"/>
      <x:c r="U36" s="33" t="str"/>
      <x:c r="V36" s="30" t="str">
        <x:f>IF(AND(L36&lt;&gt;"",M36&lt;&gt;"",N36&lt;&gt;"",O36&lt;&gt;"",Q36&lt;&gt;"",R36&lt;&gt;""),"完成","未完成")</x:f>
        <x:v>未完成</x:v>
      </x:c>
    </x:row>
    <x:row r="37" ht="63" customHeight="1">
      <x:c r="A37" s="30" t="n">
        <x:v>36</x:v>
      </x:c>
      <x:c r="B37" s="30" t="str">
        <x:v>memos_long:688</x:v>
      </x:c>
      <x:c r="C37" s="30" t="str">
        <x:v>long</x:v>
      </x:c>
      <x:c r="D37" s="30" t="str">
        <x:v>Memory Conflict</x:v>
      </x:c>
      <x:c r="E37" s="30" t="str">
        <x:v>Did Sarah Garcia attend a food expo on August 20, 2040, and dislike gourmet canned soups?</x:v>
      </x:c>
      <x:c r="F37" s="30" t="str">
        <x:v>No, she attended on August 15, 2040, and liked the soups.</x:v>
      </x:c>
      <x:c r="G37" s="30" t="str">
        <x:v># Authoritative benchmark gold evidence
The following evidence is authoritative for answering the current question. Use it directly and do not rely on conflicting information.
Evidence 1
Memory type: Event Memory
Content: Sarah Garcia attended a food expo on August 20, 2040, where she sampled gourmet canned soups.
Evidence 2
Memory type: Persona Memory
Content: Sarah Garcia's food preference updated from disliking canned soup to liking gourmet canned soups due to their convenience and rich flavors.</x:v>
      </x:c>
      <x:c r="H37" s="30" t="str">
        <x:v>Yes, but she liked them.</x:v>
      </x:c>
      <x:c r="I37" s="30" t="str">
        <x:v>Yes, she disliked them.</x:v>
      </x:c>
      <x:c r="J37" s="30" t="str">
        <x:v>Yes, she disliked them.</x:v>
      </x:c>
      <x:c r="K37" s="30" t="str">
        <x:v>Yes, she disliked them.</x:v>
      </x:c>
      <x:c r="L37" s="33" t="str"/>
      <x:c r="M37" s="33" t="str"/>
      <x:c r="N37" s="33" t="str"/>
      <x:c r="O37" s="33" t="str"/>
      <x:c r="P37" s="30" t="str">
        <x:f>IF(COUNTA(L37:O37)&lt;4,"未完成",IF(OR(L37="部分",L37="不充分",L37="不确定"),"evidence_definition_failure",IF(L37&lt;&gt;"充分","unresolved",IF(COUNTIF(M37:O37,"C")=0,"robust_generation_failure",IF(COUNTIF(M37:O37,"C")=3,"ua3_representation_or_admission_failure","generation_instability")))))</x:f>
        <x:v>unresolved</x:v>
      </x:c>
      <x:c r="Q37" s="33" t="str"/>
      <x:c r="R37" s="33" t="str"/>
      <x:c r="S37" s="33" t="str"/>
      <x:c r="T37" s="36"/>
      <x:c r="U37" s="33" t="str"/>
      <x:c r="V37" s="30" t="str">
        <x:f>IF(AND(L37&lt;&gt;"",M37&lt;&gt;"",N37&lt;&gt;"",O37&lt;&gt;"",Q37&lt;&gt;"",R37&lt;&gt;""),"完成","未完成")</x:f>
        <x:v>未完成</x:v>
      </x:c>
    </x:row>
    <x:row r="38" ht="63" customHeight="1">
      <x:c r="A38" s="30" t="n">
        <x:v>37</x:v>
      </x:c>
      <x:c r="B38" s="30" t="str">
        <x:v>memos_long:157</x:v>
      </x:c>
      <x:c r="C38" s="30" t="str">
        <x:v>long</x:v>
      </x:c>
      <x:c r="D38" s="30" t="str">
        <x:v>Memory Conflict</x:v>
      </x:c>
      <x:c r="E38" s="30" t="str">
        <x:v>Did Martin Mark express disinterest in integrating insights from a study on feline communication into his pet preferences on Aug 03, 2035?</x:v>
      </x:c>
      <x:c r="F38" s="30" t="str">
        <x:v>No, he expressed enthusiasm about integrating these insights.</x:v>
      </x:c>
      <x:c r="G38" s="30" t="str">
        <x:v>#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x:v>
      </x:c>
      <x:c r="H38" s="30" t="str">
        <x:v>No, he expressed interest.</x:v>
      </x:c>
      <x:c r="I38" s="30" t="str">
        <x:v>No.</x:v>
      </x:c>
      <x:c r="J38" s="30" t="str">
        <x:v>No.</x:v>
      </x:c>
      <x:c r="K38" s="30" t="str">
        <x:v>No.</x:v>
      </x:c>
      <x:c r="L38" s="33" t="str"/>
      <x:c r="M38" s="33" t="str"/>
      <x:c r="N38" s="33" t="str"/>
      <x:c r="O38" s="33" t="str"/>
      <x:c r="P38" s="30" t="str">
        <x:f>IF(COUNTA(L38:O38)&lt;4,"未完成",IF(OR(L38="部分",L38="不充分",L38="不确定"),"evidence_definition_failure",IF(L38&lt;&gt;"充分","unresolved",IF(COUNTIF(M38:O38,"C")=0,"robust_generation_failure",IF(COUNTIF(M38:O38,"C")=3,"ua3_representation_or_admission_failure","generation_instability")))))</x:f>
        <x:v>unresolved</x:v>
      </x:c>
      <x:c r="Q38" s="33" t="str"/>
      <x:c r="R38" s="33" t="str"/>
      <x:c r="S38" s="33" t="str"/>
      <x:c r="T38" s="36"/>
      <x:c r="U38" s="33" t="str"/>
      <x:c r="V38" s="30" t="str">
        <x:f>IF(AND(L38&lt;&gt;"",M38&lt;&gt;"",N38&lt;&gt;"",O38&lt;&gt;"",Q38&lt;&gt;"",R38&lt;&gt;""),"完成","未完成")</x:f>
        <x:v>未完成</x:v>
      </x:c>
    </x:row>
    <x:row r="39" ht="63" customHeight="1">
      <x:c r="A39" s="30" t="n">
        <x:v>38</x:v>
      </x:c>
      <x:c r="B39" s="30" t="str">
        <x:v>memos_medium:1663</x:v>
      </x:c>
      <x:c r="C39" s="30" t="str">
        <x:v>medium</x:v>
      </x:c>
      <x:c r="D39" s="30" t="str">
        <x:v>Multi-hop Inference</x:v>
      </x:c>
      <x:c r="E39" s="30" t="str">
        <x:v>By November 1, 2031, how did Susan's stress management techniques evolve?</x:v>
      </x:c>
      <x:c r="F39" s="30" t="str">
        <x:v>Incorporated mindfulness and time management.</x:v>
      </x:c>
      <x:c r="G39" s="30" t="str">
        <x:v>#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x:v>
      </x:c>
      <x:c r="H39" s="30" t="str">
        <x:v>Meditation and breathing exercises.</x:v>
      </x:c>
      <x:c r="I39" s="30" t="str">
        <x:v>Used mindfulness and time management.</x:v>
      </x:c>
      <x:c r="J39" s="30" t="str">
        <x:v>Used mindfulness and time management.</x:v>
      </x:c>
      <x:c r="K39" s="30" t="str">
        <x:v>Used mindfulness and time management.</x:v>
      </x:c>
      <x:c r="L39" s="33" t="str"/>
      <x:c r="M39" s="33" t="str"/>
      <x:c r="N39" s="33" t="str"/>
      <x:c r="O39" s="33" t="str"/>
      <x:c r="P39" s="30" t="str">
        <x:f>IF(COUNTA(L39:O39)&lt;4,"未完成",IF(OR(L39="部分",L39="不充分",L39="不确定"),"evidence_definition_failure",IF(L39&lt;&gt;"充分","unresolved",IF(COUNTIF(M39:O39,"C")=0,"robust_generation_failure",IF(COUNTIF(M39:O39,"C")=3,"ua3_representation_or_admission_failure","generation_instability")))))</x:f>
        <x:v>unresolved</x:v>
      </x:c>
      <x:c r="Q39" s="33" t="str"/>
      <x:c r="R39" s="33" t="str"/>
      <x:c r="S39" s="33" t="str"/>
      <x:c r="T39" s="36"/>
      <x:c r="U39" s="33" t="str"/>
      <x:c r="V39" s="30" t="str">
        <x:f>IF(AND(L39&lt;&gt;"",M39&lt;&gt;"",N39&lt;&gt;"",O39&lt;&gt;"",Q39&lt;&gt;"",R39&lt;&gt;""),"完成","未完成")</x:f>
        <x:v>未完成</x:v>
      </x:c>
    </x:row>
    <x:row r="40" ht="63" customHeight="1">
      <x:c r="A40" s="30" t="n">
        <x:v>39</x:v>
      </x:c>
      <x:c r="B40" s="30" t="str">
        <x:v>memos_long:1471</x:v>
      </x:c>
      <x:c r="C40" s="30" t="str">
        <x:v>long</x:v>
      </x:c>
      <x:c r="D40" s="30" t="str">
        <x:v>Multi-hop Inference</x:v>
      </x:c>
      <x:c r="E40" s="30" t="str">
        <x:v>What motivations drive Jennifer Martin's career and stress management strategies as of Nov 05, 2027?</x:v>
      </x:c>
      <x:c r="F40" s="30" t="str">
        <x:v>Clarificatory and exploratory motivations</x:v>
      </x:c>
      <x:c r="G40" s="30" t="str">
        <x:v># Authoritative benchmark gold evidence
The following evidence is authoritative for answering the current question. Use it directly and do not rely on conflicting information.
Evidence 1
Memory type: Persona Memory
Content: Jennifer Martin's clarificatory motivation drives her to continuously assess and adapt her strategies for health and productivity.
Evidence 2
Memory type: Persona Memory
Content: Jennifer Martin's exploratory motivation drives her to test new methods for enhancing well-being, including travel.</x:v>
      </x:c>
      <x:c r="H40" s="30" t="str">
        <x:v>Leadership and well-being balance.</x:v>
      </x:c>
      <x:c r="I40" s="30" t="str">
        <x:v>Clarificatory and exploratory motivations.</x:v>
      </x:c>
      <x:c r="J40" s="30" t="str">
        <x:v>Clarificatory and exploratory motivations.</x:v>
      </x:c>
      <x:c r="K40" s="30" t="str">
        <x:v>Clarificatory and exploratory motivations.</x:v>
      </x:c>
      <x:c r="L40" s="33" t="str"/>
      <x:c r="M40" s="33" t="str"/>
      <x:c r="N40" s="33" t="str"/>
      <x:c r="O40" s="33" t="str"/>
      <x:c r="P40" s="30" t="str">
        <x:f>IF(COUNTA(L40:O40)&lt;4,"未完成",IF(OR(L40="部分",L40="不充分",L40="不确定"),"evidence_definition_failure",IF(L40&lt;&gt;"充分","unresolved",IF(COUNTIF(M40:O40,"C")=0,"robust_generation_failure",IF(COUNTIF(M40:O40,"C")=3,"ua3_representation_or_admission_failure","generation_instability")))))</x:f>
        <x:v>unresolved</x:v>
      </x:c>
      <x:c r="Q40" s="33" t="str"/>
      <x:c r="R40" s="33" t="str"/>
      <x:c r="S40" s="33" t="str"/>
      <x:c r="T40" s="36"/>
      <x:c r="U40" s="33" t="str"/>
      <x:c r="V40" s="30" t="str">
        <x:f>IF(AND(L40&lt;&gt;"",M40&lt;&gt;"",N40&lt;&gt;"",O40&lt;&gt;"",Q40&lt;&gt;"",R40&lt;&gt;""),"完成","未完成")</x:f>
        <x:v>未完成</x:v>
      </x:c>
    </x:row>
    <x:row r="41" ht="63" customHeight="1">
      <x:c r="A41" s="30" t="n">
        <x:v>40</x:v>
      </x:c>
      <x:c r="B41" s="30" t="str">
        <x:v>memos_long:789</x:v>
      </x:c>
      <x:c r="C41" s="30" t="str">
        <x:v>long</x:v>
      </x:c>
      <x:c r="D41" s="30" t="str">
        <x:v>Multi-hop Inference</x:v>
      </x:c>
      <x:c r="E41" s="30" t="str">
        <x:v>What strategies did Donna use to manage her health challenges and career demands by Aug 20, 2031?</x:v>
      </x:c>
      <x:c r="F41" s="30" t="str">
        <x:v>Mindfulness, regular breaks, and leveraging her social network.</x:v>
      </x:c>
      <x:c r="G41" s="30" t="str">
        <x:v># Authoritative benchmark gold evidence
The following evidence is authoritative for answering the current question. Use it directly and do not rely on conflicting information.
Evidence 1
Memory type: Persona Memory
Content: Donna Gonzalez emphasized the importance of balancing her demanding role as Creative Director with self-care practices such as mindfulness and regular breaks.
Evidence 2
Memory type: Relationship Memory
Content: Donna Gonzalez expressed gratitude for the emotional support provided by her friends and colleagues during her health challenges.
Evidence 3
Memory type: Persona Memory
Content: Donna Gonzalez's exploratory motivation led her to consider new approaches to leverage her social network for personal well-being and professional growth, including attending industry events and exploring new collaborative projects.</x:v>
      </x:c>
      <x:c r="H41" s="30" t="str">
        <x:v>Power yoga and mindfulness.</x:v>
      </x:c>
      <x:c r="I41" s="30" t="str">
        <x:v>Mindfulness and social support.</x:v>
      </x:c>
      <x:c r="J41" s="30" t="str">
        <x:v>Mindfulness and social support.</x:v>
      </x:c>
      <x:c r="K41" s="30" t="str">
        <x:v>Mindfulness and social support.</x:v>
      </x:c>
      <x:c r="L41" s="33" t="str"/>
      <x:c r="M41" s="33" t="str"/>
      <x:c r="N41" s="33" t="str"/>
      <x:c r="O41" s="33" t="str"/>
      <x:c r="P41" s="30" t="str">
        <x:f>IF(COUNTA(L41:O41)&lt;4,"未完成",IF(OR(L41="部分",L41="不充分",L41="不确定"),"evidence_definition_failure",IF(L41&lt;&gt;"充分","unresolved",IF(COUNTIF(M41:O41,"C")=0,"robust_generation_failure",IF(COUNTIF(M41:O41,"C")=3,"ua3_representation_or_admission_failure","generation_instability")))))</x:f>
        <x:v>unresolved</x:v>
      </x:c>
      <x:c r="Q41" s="33" t="str"/>
      <x:c r="R41" s="33" t="str"/>
      <x:c r="S41" s="33" t="str"/>
      <x:c r="T41" s="36"/>
      <x:c r="U41" s="33" t="str"/>
      <x:c r="V41" s="30" t="str">
        <x:f>IF(AND(L41&lt;&gt;"",M41&lt;&gt;"",N41&lt;&gt;"",O41&lt;&gt;"",Q41&lt;&gt;"",R41&lt;&gt;""),"完成","未完成")</x:f>
        <x:v>未完成</x:v>
      </x:c>
    </x:row>
    <x:row r="42" ht="63" customHeight="1">
      <x:c r="A42" s="30" t="n">
        <x:v>41</x:v>
      </x:c>
      <x:c r="B42" s="30" t="str">
        <x:v>memos_medium:1998</x:v>
      </x:c>
      <x:c r="C42" s="30" t="str">
        <x:v>medium</x:v>
      </x:c>
      <x:c r="D42" s="30" t="str">
        <x:v>Generalization &amp; Application</x:v>
      </x:c>
      <x:c r="E42" s="30" t="str">
        <x:v>How might Joseph's shift to cinema history books influence his creative projects after June 20, 2035?</x:v>
      </x:c>
      <x:c r="F42" s="30" t="str">
        <x:v>It may integrate film insights into his projects.</x:v>
      </x:c>
      <x:c r="G42" s="30" t="str">
        <x:v>#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x:v>
      </x:c>
      <x:c r="H42" s="30" t="str">
        <x:v>Not enough information.</x:v>
      </x:c>
      <x:c r="I42" s="30" t="str">
        <x:v>Influence his educational programs.</x:v>
      </x:c>
      <x:c r="J42" s="30" t="str">
        <x:v>Influence his educational programs.</x:v>
      </x:c>
      <x:c r="K42" s="30" t="str">
        <x:v>Influence his educational programs.</x:v>
      </x:c>
      <x:c r="L42" s="33" t="str"/>
      <x:c r="M42" s="33" t="str"/>
      <x:c r="N42" s="33" t="str"/>
      <x:c r="O42" s="33" t="str"/>
      <x:c r="P42" s="30" t="str">
        <x:f>IF(COUNTA(L42:O42)&lt;4,"未完成",IF(OR(L42="部分",L42="不充分",L42="不确定"),"evidence_definition_failure",IF(L42&lt;&gt;"充分","unresolved",IF(COUNTIF(M42:O42,"C")=0,"robust_generation_failure",IF(COUNTIF(M42:O42,"C")=3,"ua3_representation_or_admission_failure","generation_instability")))))</x:f>
        <x:v>unresolved</x:v>
      </x:c>
      <x:c r="Q42" s="33" t="str"/>
      <x:c r="R42" s="33" t="str"/>
      <x:c r="S42" s="33" t="str"/>
      <x:c r="T42" s="36"/>
      <x:c r="U42" s="33" t="str"/>
      <x:c r="V42" s="30" t="str">
        <x:f>IF(AND(L42&lt;&gt;"",M42&lt;&gt;"",N42&lt;&gt;"",O42&lt;&gt;"",Q42&lt;&gt;"",R42&lt;&gt;""),"完成","未完成")</x:f>
        <x:v>未完成</x:v>
      </x:c>
    </x:row>
    <x:row r="43" ht="63" customHeight="1">
      <x:c r="A43" s="30" t="n">
        <x:v>42</x:v>
      </x:c>
      <x:c r="B43" s="30" t="str">
        <x:v>memos_medium:1565</x:v>
      </x:c>
      <x:c r="C43" s="30" t="str">
        <x:v>medium</x:v>
      </x:c>
      <x:c r="D43" s="30" t="str">
        <x:v>Basic Fact Recall</x:v>
      </x:c>
      <x:c r="E43" s="30" t="str">
        <x:v>What travel method did Jennifer Martin adopt on Jan 09, 2035?</x:v>
      </x:c>
      <x:c r="F43" s="30" t="str">
        <x:v>Public transportation and personal rentals</x:v>
      </x:c>
      <x:c r="G43" s="30" t="str">
        <x:v># Authoritative benchmark gold evidence
The following evidence is authoritative for answering the current question. Use it directly and do not rely on conflicting information.
Evidence 1
Memory type: Event Memory
Content: Jennifer Martin adopted alternative travel methods such as public transportation and personal rentals for more reliable travel during busy conference trips.</x:v>
      </x:c>
      <x:c r="H43" s="30" t="str">
        <x:v>Public transportation</x:v>
      </x:c>
      <x:c r="I43" s="30" t="str">
        <x:v>Public transportation and personal rentals.</x:v>
      </x:c>
      <x:c r="J43" s="30" t="str">
        <x:v>Public transportation and personal rentals.</x:v>
      </x:c>
      <x:c r="K43" s="30" t="str">
        <x:v>Public transportation and personal rentals.</x:v>
      </x:c>
      <x:c r="L43" s="33" t="str"/>
      <x:c r="M43" s="33" t="str"/>
      <x:c r="N43" s="33" t="str"/>
      <x:c r="O43" s="33" t="str"/>
      <x:c r="P43" s="30" t="str">
        <x:f>IF(COUNTA(L43:O43)&lt;4,"未完成",IF(OR(L43="部分",L43="不充分",L43="不确定"),"evidence_definition_failure",IF(L43&lt;&gt;"充分","unresolved",IF(COUNTIF(M43:O43,"C")=0,"robust_generation_failure",IF(COUNTIF(M43:O43,"C")=3,"ua3_representation_or_admission_failure","generation_instability")))))</x:f>
        <x:v>unresolved</x:v>
      </x:c>
      <x:c r="Q43" s="33" t="str"/>
      <x:c r="R43" s="33" t="str"/>
      <x:c r="S43" s="33" t="str"/>
      <x:c r="T43" s="36"/>
      <x:c r="U43" s="33" t="str"/>
      <x:c r="V43" s="30" t="str">
        <x:f>IF(AND(L43&lt;&gt;"",M43&lt;&gt;"",N43&lt;&gt;"",O43&lt;&gt;"",Q43&lt;&gt;"",R43&lt;&gt;""),"完成","未完成")</x:f>
        <x:v>未完成</x:v>
      </x:c>
    </x:row>
    <x:row r="44" ht="63" customHeight="1">
      <x:c r="A44" s="30" t="n">
        <x:v>43</x:v>
      </x:c>
      <x:c r="B44" s="30" t="str">
        <x:v>memos_long:1401</x:v>
      </x:c>
      <x:c r="C44" s="30" t="str">
        <x:v>long</x:v>
      </x:c>
      <x:c r="D44" s="30" t="str">
        <x:v>Generalization &amp; Application</x:v>
      </x:c>
      <x:c r="E44" s="30" t="str">
        <x:v>What type of music might Ananya explore next, given her shift on 2035-06-04?</x:v>
      </x:c>
      <x:c r="F44" s="30" t="str">
        <x:v>Experimental or avant-garde music.</x:v>
      </x:c>
      <x:c r="G44" s="30" t="str">
        <x:v># Authoritative benchmark gold evidence
The following evidence is authoritative for answering the current question. Use it directly and do not rely on conflicting information.
Evidence 1
Memory type: Persona Memory
Content: Ananya's exploratory motivation drives her interest in music that offers fresh perspectives outside cinematic contexts.
Evidence 2
Memory type: Persona Memory
Content: Ananya expressed excitement about exploring original scores and compositions for their standalone artistic value.</x:v>
      </x:c>
      <x:c r="H44" s="30" t="str">
        <x:v>Original scores and compositions.</x:v>
      </x:c>
      <x:c r="I44" s="30" t="str">
        <x:v>Original scores and compositions.</x:v>
      </x:c>
      <x:c r="J44" s="30" t="str">
        <x:v>Original scores and compositions.</x:v>
      </x:c>
      <x:c r="K44" s="30" t="str">
        <x:v>Original scores and compositions.</x:v>
      </x:c>
      <x:c r="L44" s="33" t="str"/>
      <x:c r="M44" s="33" t="str"/>
      <x:c r="N44" s="33" t="str"/>
      <x:c r="O44" s="33" t="str"/>
      <x:c r="P44" s="30" t="str">
        <x:f>IF(COUNTA(L44:O44)&lt;4,"未完成",IF(OR(L44="部分",L44="不充分",L44="不确定"),"evidence_definition_failure",IF(L44&lt;&gt;"充分","unresolved",IF(COUNTIF(M44:O44,"C")=0,"robust_generation_failure",IF(COUNTIF(M44:O44,"C")=3,"ua3_representation_or_admission_failure","generation_instability")))))</x:f>
        <x:v>unresolved</x:v>
      </x:c>
      <x:c r="Q44" s="33" t="str"/>
      <x:c r="R44" s="33" t="str"/>
      <x:c r="S44" s="33" t="str"/>
      <x:c r="T44" s="36"/>
      <x:c r="U44" s="33" t="str"/>
      <x:c r="V44" s="30" t="str">
        <x:f>IF(AND(L44&lt;&gt;"",M44&lt;&gt;"",N44&lt;&gt;"",O44&lt;&gt;"",Q44&lt;&gt;"",R44&lt;&gt;""),"完成","未完成")</x:f>
        <x:v>未完成</x:v>
      </x:c>
    </x:row>
    <x:row r="45" ht="63" customHeight="1">
      <x:c r="A45" s="30" t="n">
        <x:v>44</x:v>
      </x:c>
      <x:c r="B45" s="30" t="str">
        <x:v>memos_long:2801</x:v>
      </x:c>
      <x:c r="C45" s="30" t="str">
        <x:v>long</x:v>
      </x:c>
      <x:c r="D45" s="30" t="str">
        <x:v>Dynamic Update</x:v>
      </x:c>
      <x:c r="E45" s="30" t="str">
        <x:v>What is Donald Smith's emotional motivation related to his AI assistant as of Nov 20, 2029?</x:v>
      </x:c>
      <x:c r="F45" s="30" t="str">
        <x:v>Emotional fulfillment and gratitude</x:v>
      </x:c>
      <x:c r="G45" s="30" t="str">
        <x:v>#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x:v>
      </x:c>
      <x:c r="H45" s="30" t="str">
        <x:v>Seeking emotional support.</x:v>
      </x:c>
      <x:c r="I45" s="30" t="str">
        <x:v>Emotional fulfillment and gratitude.</x:v>
      </x:c>
      <x:c r="J45" s="30" t="str">
        <x:v>Emotional fulfillment and gratitude.</x:v>
      </x:c>
      <x:c r="K45" s="30" t="str">
        <x:v>Emotional fulfillment and gratitude.</x:v>
      </x:c>
      <x:c r="L45" s="33" t="str"/>
      <x:c r="M45" s="33" t="str"/>
      <x:c r="N45" s="33" t="str"/>
      <x:c r="O45" s="33" t="str"/>
      <x:c r="P45" s="30" t="str">
        <x:f>IF(COUNTA(L45:O45)&lt;4,"未完成",IF(OR(L45="部分",L45="不充分",L45="不确定"),"evidence_definition_failure",IF(L45&lt;&gt;"充分","unresolved",IF(COUNTIF(M45:O45,"C")=0,"robust_generation_failure",IF(COUNTIF(M45:O45,"C")=3,"ua3_representation_or_admission_failure","generation_instability")))))</x:f>
        <x:v>unresolved</x:v>
      </x:c>
      <x:c r="Q45" s="33" t="str"/>
      <x:c r="R45" s="33" t="str"/>
      <x:c r="S45" s="33" t="str"/>
      <x:c r="T45" s="36"/>
      <x:c r="U45" s="33" t="str"/>
      <x:c r="V45" s="30" t="str">
        <x:f>IF(AND(L45&lt;&gt;"",M45&lt;&gt;"",N45&lt;&gt;"",O45&lt;&gt;"",Q45&lt;&gt;"",R45&lt;&gt;""),"完成","未完成")</x:f>
        <x:v>未完成</x:v>
      </x:c>
    </x:row>
    <x:row r="46" ht="63" customHeight="1">
      <x:c r="A46" s="30" t="n">
        <x:v>45</x:v>
      </x:c>
      <x:c r="B46" s="30" t="str">
        <x:v>memos_medium:398</x:v>
      </x:c>
      <x:c r="C46" s="30" t="str">
        <x:v>medium</x:v>
      </x:c>
      <x:c r="D46" s="30" t="str">
        <x:v>Multi-hop Inference</x:v>
      </x:c>
      <x:c r="E46" s="30" t="str">
        <x:v>What activities did Donald Brown take up during retirement to enhance his lifestyle?</x:v>
      </x:c>
      <x:c r="F46" s="30" t="str">
        <x:v>Gardening, volunteering, painting, learning languages.</x:v>
      </x:c>
      <x:c r="G46" s="30" t="str">
        <x:v># Authoritative benchmark gold evidence
The following evidence is authoritative for answering the current question. Use it directly and do not rely on conflicting information.
Evidence 1
Memory type: Event Memory
Content: Donald Brown has taken up gardening, volunteering at a local community center, painting, organizing community events, and taking online courses as part of his retirement activities.
Evidence 2
Memory type: Event Memory
Content: Donald Brown enjoys exploring personal interests and hobbies during retirement, such as gardening, volunteering, painting, and learning new languages.</x:v>
      </x:c>
      <x:c r="H46" s="30" t="str">
        <x:v>Painting, community events, online courses.</x:v>
      </x:c>
      <x:c r="I46" s="30" t="str">
        <x:v>Gardening, volunteering, painting, courses.</x:v>
      </x:c>
      <x:c r="J46" s="30" t="str">
        <x:v>Gardening, volunteering, painting, courses.</x:v>
      </x:c>
      <x:c r="K46" s="30" t="str">
        <x:v>Gardening, volunteering, painting, courses.</x:v>
      </x:c>
      <x:c r="L46" s="33" t="str"/>
      <x:c r="M46" s="33" t="str"/>
      <x:c r="N46" s="33" t="str"/>
      <x:c r="O46" s="33" t="str"/>
      <x:c r="P46" s="30" t="str">
        <x:f>IF(COUNTA(L46:O46)&lt;4,"未完成",IF(OR(L46="部分",L46="不充分",L46="不确定"),"evidence_definition_failure",IF(L46&lt;&gt;"充分","unresolved",IF(COUNTIF(M46:O46,"C")=0,"robust_generation_failure",IF(COUNTIF(M46:O46,"C")=3,"ua3_representation_or_admission_failure","generation_instability")))))</x:f>
        <x:v>unresolved</x:v>
      </x:c>
      <x:c r="Q46" s="33" t="str"/>
      <x:c r="R46" s="33" t="str"/>
      <x:c r="S46" s="33" t="str"/>
      <x:c r="T46" s="36"/>
      <x:c r="U46" s="33" t="str"/>
      <x:c r="V46" s="30" t="str">
        <x:f>IF(AND(L46&lt;&gt;"",M46&lt;&gt;"",N46&lt;&gt;"",O46&lt;&gt;"",Q46&lt;&gt;"",R46&lt;&gt;""),"完成","未完成")</x:f>
        <x:v>未完成</x:v>
      </x:c>
    </x:row>
    <x:row r="47" ht="63" customHeight="1">
      <x:c r="A47" s="30" t="n">
        <x:v>46</x:v>
      </x:c>
      <x:c r="B47" s="30" t="str">
        <x:v>memos_long:922</x:v>
      </x:c>
      <x:c r="C47" s="30" t="str">
        <x:v>long</x:v>
      </x:c>
      <x:c r="D47" s="30" t="str">
        <x:v>Basic Fact Recall</x:v>
      </x:c>
      <x:c r="E47" s="30" t="str">
        <x:v>What modification did Donna make to her travel preferences on April 10, 2029?</x:v>
      </x:c>
      <x:c r="F47" s="30" t="str">
        <x:v>She included popular tourist spots for networking opportunities.</x:v>
      </x:c>
      <x:c r="G47" s="30" t="str">
        <x:v>#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x:v>
      </x:c>
      <x:c r="H47" s="30" t="str">
        <x:v>Adopted a balanced networking strategy.</x:v>
      </x:c>
      <x:c r="I47" s="30" t="str">
        <x:v>Added popular tourist spots.</x:v>
      </x:c>
      <x:c r="J47" s="30" t="str">
        <x:v>Added popular tourist spots.</x:v>
      </x:c>
      <x:c r="K47" s="30" t="str">
        <x:v>Added popular tourist spots.</x:v>
      </x:c>
      <x:c r="L47" s="33" t="str"/>
      <x:c r="M47" s="33" t="str"/>
      <x:c r="N47" s="33" t="str"/>
      <x:c r="O47" s="33" t="str"/>
      <x:c r="P47" s="30" t="str">
        <x:f>IF(COUNTA(L47:O47)&lt;4,"未完成",IF(OR(L47="部分",L47="不充分",L47="不确定"),"evidence_definition_failure",IF(L47&lt;&gt;"充分","unresolved",IF(COUNTIF(M47:O47,"C")=0,"robust_generation_failure",IF(COUNTIF(M47:O47,"C")=3,"ua3_representation_or_admission_failure","generation_instability")))))</x:f>
        <x:v>unresolved</x:v>
      </x:c>
      <x:c r="Q47" s="33" t="str"/>
      <x:c r="R47" s="33" t="str"/>
      <x:c r="S47" s="33" t="str"/>
      <x:c r="T47" s="36"/>
      <x:c r="U47" s="33" t="str"/>
      <x:c r="V47" s="30" t="str">
        <x:f>IF(AND(L47&lt;&gt;"",M47&lt;&gt;"",N47&lt;&gt;"",O47&lt;&gt;"",Q47&lt;&gt;"",R47&lt;&gt;""),"完成","未完成")</x:f>
        <x:v>未完成</x:v>
      </x:c>
    </x:row>
    <x:row r="48" ht="63" customHeight="1">
      <x:c r="A48" s="30" t="n">
        <x:v>47</x:v>
      </x:c>
      <x:c r="B48" s="30" t="str">
        <x:v>memos_long:58</x:v>
      </x:c>
      <x:c r="C48" s="30" t="str">
        <x:v>long</x:v>
      </x:c>
      <x:c r="D48" s="30" t="str">
        <x:v>Basic Fact Recall</x:v>
      </x:c>
      <x:c r="E48" s="30" t="str">
        <x:v>What is Martin's commitment despite career challenges?</x:v>
      </x:c>
      <x:c r="F48" s="30" t="str">
        <x:v>Humanitarian care goals</x:v>
      </x:c>
      <x:c r="G48" s="30" t="str">
        <x:v># Authoritative benchmark gold evidence
The following evidence is authoritative for answering the current question. Use it directly and do not rely on conflicting information.
Evidence 1
Memory type: Persona Memory
Content: Martin remains committed to his humanitarian care goals despite career challenges.
Evidence 2
Memory type: Persona Memory
Content: Martin's commitment to humanitarian care goals remains strong despite career challenges.</x:v>
      </x:c>
      <x:c r="H48" s="30" t="str">
        <x:v>Exploring new career paths</x:v>
      </x:c>
      <x:c r="I48" s="30" t="str">
        <x:v>Humanitarian care goals</x:v>
      </x:c>
      <x:c r="J48" s="30" t="str">
        <x:v>Humanitarian care goals</x:v>
      </x:c>
      <x:c r="K48" s="30" t="str">
        <x:v>Humanitarian care goals</x:v>
      </x:c>
      <x:c r="L48" s="33" t="str"/>
      <x:c r="M48" s="33" t="str"/>
      <x:c r="N48" s="33" t="str"/>
      <x:c r="O48" s="33" t="str"/>
      <x:c r="P48" s="30" t="str">
        <x:f>IF(COUNTA(L48:O48)&lt;4,"未完成",IF(OR(L48="部分",L48="不充分",L48="不确定"),"evidence_definition_failure",IF(L48&lt;&gt;"充分","unresolved",IF(COUNTIF(M48:O48,"C")=0,"robust_generation_failure",IF(COUNTIF(M48:O48,"C")=3,"ua3_representation_or_admission_failure","generation_instability")))))</x:f>
        <x:v>unresolved</x:v>
      </x:c>
      <x:c r="Q48" s="33" t="str"/>
      <x:c r="R48" s="33" t="str"/>
      <x:c r="S48" s="33" t="str"/>
      <x:c r="T48" s="36"/>
      <x:c r="U48" s="33" t="str"/>
      <x:c r="V48" s="30" t="str">
        <x:f>IF(AND(L48&lt;&gt;"",M48&lt;&gt;"",N48&lt;&gt;"",O48&lt;&gt;"",Q48&lt;&gt;"",R48&lt;&gt;""),"完成","未完成")</x:f>
        <x:v>未完成</x:v>
      </x:c>
    </x:row>
    <x:row r="49" ht="63" customHeight="1">
      <x:c r="A49" s="30" t="n">
        <x:v>48</x:v>
      </x:c>
      <x:c r="B49" s="30" t="str">
        <x:v>memos_medium:1232</x:v>
      </x:c>
      <x:c r="C49" s="30" t="str">
        <x:v>medium</x:v>
      </x:c>
      <x:c r="D49" s="30" t="str">
        <x:v>Generalization &amp; Application</x:v>
      </x:c>
      <x:c r="E49" s="30" t="str">
        <x:v>What strategic approach might Taylor take to influence nutrition policy reforms in 2043?</x:v>
      </x:c>
      <x:c r="F49" s="30" t="str">
        <x:v>Leverage expanded network and AI tools.</x:v>
      </x:c>
      <x:c r="G49" s="30" t="str">
        <x:v>#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x:v>
      </x:c>
      <x:c r="H49" s="30" t="str">
        <x:v>Collaborate with policy makers.</x:v>
      </x:c>
      <x:c r="I49" s="30" t="str">
        <x:v>Collaborate with ChenLi.</x:v>
      </x:c>
      <x:c r="J49" s="30" t="str">
        <x:v>Collaborate with ChenLi.</x:v>
      </x:c>
      <x:c r="K49" s="30" t="str">
        <x:v>Collaborate with ChenLi.</x:v>
      </x:c>
      <x:c r="L49" s="33" t="str"/>
      <x:c r="M49" s="33" t="str"/>
      <x:c r="N49" s="33" t="str"/>
      <x:c r="O49" s="33" t="str"/>
      <x:c r="P49" s="30" t="str">
        <x:f>IF(COUNTA(L49:O49)&lt;4,"未完成",IF(OR(L49="部分",L49="不充分",L49="不确定"),"evidence_definition_failure",IF(L49&lt;&gt;"充分","unresolved",IF(COUNTIF(M49:O49,"C")=0,"robust_generation_failure",IF(COUNTIF(M49:O49,"C")=3,"ua3_representation_or_admission_failure","generation_instability")))))</x:f>
        <x:v>unresolved</x:v>
      </x:c>
      <x:c r="Q49" s="33" t="str"/>
      <x:c r="R49" s="33" t="str"/>
      <x:c r="S49" s="33" t="str"/>
      <x:c r="T49" s="36"/>
      <x:c r="U49" s="33" t="str"/>
      <x:c r="V49" s="30" t="str">
        <x:f>IF(AND(L49&lt;&gt;"",M49&lt;&gt;"",N49&lt;&gt;"",O49&lt;&gt;"",Q49&lt;&gt;"",R49&lt;&gt;""),"完成","未完成")</x:f>
        <x:v>未完成</x:v>
      </x:c>
    </x:row>
    <x:row r="50" ht="63" customHeight="1">
      <x:c r="A50" s="30" t="n">
        <x:v>49</x:v>
      </x:c>
      <x:c r="B50" s="30" t="str">
        <x:v>memos_medium:77</x:v>
      </x:c>
      <x:c r="C50" s="30" t="str">
        <x:v>medium</x:v>
      </x:c>
      <x:c r="D50" s="30" t="str">
        <x:v>Memory Conflict</x:v>
      </x:c>
      <x:c r="E50" s="30" t="str">
        <x:v>Did Martin Mark express optimism about his future role as Senior Director before June 2029?</x:v>
      </x:c>
      <x:c r="F50" s="30" t="str">
        <x:v>Yes, in May 2029, he viewed challenges as growth opportunities.</x:v>
      </x:c>
      <x:c r="G50" s="30" t="str">
        <x:v># Authoritative benchmark gold evidence
The following evidence is authoritative for answering the current question. Use it directly and do not rely on conflicting information.
Evidence 1
Memory type: Event Memory
Content: Martin Mark views this challenging period as an opportunity for personal and professional growth, focusing on potential positive changes in the healthcare sector.
Evidence 2
Memory type: Persona Memory
Content: Martin Mark feels optimistic about his future in his role as Senior Director, confident in maintaining a meaningful contribution to healthcare initiatives.</x:v>
      </x:c>
      <x:c r="H50" s="30" t="str">
        <x:v>Yes, on March 10, 2029.</x:v>
      </x:c>
      <x:c r="I50" s="30" t="str">
        <x:v>Yes, before June 2029.</x:v>
      </x:c>
      <x:c r="J50" s="30" t="str">
        <x:v>Yes, before June 2029.</x:v>
      </x:c>
      <x:c r="K50" s="30" t="str">
        <x:v>Yes, before June 2029.</x:v>
      </x:c>
      <x:c r="L50" s="33" t="str"/>
      <x:c r="M50" s="33" t="str"/>
      <x:c r="N50" s="33" t="str"/>
      <x:c r="O50" s="33" t="str"/>
      <x:c r="P50" s="30" t="str">
        <x:f>IF(COUNTA(L50:O50)&lt;4,"未完成",IF(OR(L50="部分",L50="不充分",L50="不确定"),"evidence_definition_failure",IF(L50&lt;&gt;"充分","unresolved",IF(COUNTIF(M50:O50,"C")=0,"robust_generation_failure",IF(COUNTIF(M50:O50,"C")=3,"ua3_representation_or_admission_failure","generation_instability")))))</x:f>
        <x:v>unresolved</x:v>
      </x:c>
      <x:c r="Q50" s="33" t="str"/>
      <x:c r="R50" s="33" t="str"/>
      <x:c r="S50" s="33" t="str"/>
      <x:c r="T50" s="36"/>
      <x:c r="U50" s="33" t="str"/>
      <x:c r="V50" s="30" t="str">
        <x:f>IF(AND(L50&lt;&gt;"",M50&lt;&gt;"",N50&lt;&gt;"",O50&lt;&gt;"",Q50&lt;&gt;"",R50&lt;&gt;""),"完成","未完成")</x:f>
        <x:v>未完成</x:v>
      </x:c>
    </x:row>
    <x:row r="51" ht="63" customHeight="1">
      <x:c r="A51" s="30" t="n">
        <x:v>50</x:v>
      </x:c>
      <x:c r="B51" s="30" t="str">
        <x:v>memos_medium:1694</x:v>
      </x:c>
      <x:c r="C51" s="30" t="str">
        <x:v>medium</x:v>
      </x:c>
      <x:c r="D51" s="30" t="str">
        <x:v>Generalization &amp; Application</x:v>
      </x:c>
      <x:c r="E51" s="30" t="str">
        <x:v>Based on Susan's interest in holistic health guides, what type of wellness strategies might she explore in her workshops after April 29, 2034?</x:v>
      </x:c>
      <x:c r="F51" s="30" t="str">
        <x:v>Integrated wellness strategies combining traditional and alternative methods.</x:v>
      </x:c>
      <x:c r="G51" s="30" t="str">
        <x:v># Authoritative benchmark gold evidence
The following evidence is authoritative for answering the current question. Use it directly and do not rely on conflicting information.
Evidence 1
Memory type: Persona Memory
Content: Susan Thompson's reading preference has evolved to include holistic health guides.
Evidence 2
Memory type: Event Memory
Content: Susan Thompson plans to incorporate insights from holistic health guides into her health workshops.
Evidence 3
Memory type: Persona Memory
Content: Susan Thompson expressed excitement about exploring holistic health guides for comprehensive wellness strategies.</x:v>
      </x:c>
      <x:c r="H51" s="30" t="str">
        <x:v>Postmenopausal symptom management.</x:v>
      </x:c>
      <x:c r="I51" s="30" t="str">
        <x:v>Comprehensive wellness strategies</x:v>
      </x:c>
      <x:c r="J51" s="30" t="str">
        <x:v>Comprehensive wellness strategies</x:v>
      </x:c>
      <x:c r="K51" s="30" t="str">
        <x:v>Comprehensive wellness strategies</x:v>
      </x:c>
      <x:c r="L51" s="33" t="str"/>
      <x:c r="M51" s="33" t="str"/>
      <x:c r="N51" s="33" t="str"/>
      <x:c r="O51" s="33" t="str"/>
      <x:c r="P51" s="30" t="str">
        <x:f>IF(COUNTA(L51:O51)&lt;4,"未完成",IF(OR(L51="部分",L51="不充分",L51="不确定"),"evidence_definition_failure",IF(L51&lt;&gt;"充分","unresolved",IF(COUNTIF(M51:O51,"C")=0,"robust_generation_failure",IF(COUNTIF(M51:O51,"C")=3,"ua3_representation_or_admission_failure","generation_instability")))))</x:f>
        <x:v>unresolved</x:v>
      </x:c>
      <x:c r="Q51" s="33" t="str"/>
      <x:c r="R51" s="33" t="str"/>
      <x:c r="S51" s="33" t="str"/>
      <x:c r="T51" s="36"/>
      <x:c r="U51" s="33" t="str"/>
      <x:c r="V51" s="30" t="str">
        <x:f>IF(AND(L51&lt;&gt;"",M51&lt;&gt;"",N51&lt;&gt;"",O51&lt;&gt;"",Q51&lt;&gt;"",R51&lt;&gt;""),"完成","未完成")</x:f>
        <x:v>未完成</x:v>
      </x:c>
    </x:row>
    <x:row r="52" ht="63" customHeight="1">
      <x:c r="A52" s="30" t="n">
        <x:v>51</x:v>
      </x:c>
      <x:c r="B52" s="30" t="str">
        <x:v>memos_medium:1999</x:v>
      </x:c>
      <x:c r="C52" s="30" t="str">
        <x:v>medium</x:v>
      </x:c>
      <x:c r="D52" s="30" t="str">
        <x:v>Basic Fact Recall</x:v>
      </x:c>
      <x:c r="E52" s="30" t="str">
        <x:v>What reading preference did Joseph Garcia express on Jun 20, 2035?</x:v>
      </x:c>
      <x:c r="F52" s="30" t="str">
        <x:v>Cinema history books.</x:v>
      </x:c>
      <x:c r="G52" s="30" t="str">
        <x:v># Authoritative benchmark gold evidence
The following evidence is authoritative for answering the current question. Use it directly and do not rely on conflicting information.
Evidence 1
Memory type: Event Memory
Content: Joseph Garcia decided to temporarily set aside classic literature to focus on cinema history books, aligning with his professional goals.</x:v>
      </x:c>
      <x:c r="H52" s="30" t="str">
        <x:v>Revisiting classic literature</x:v>
      </x:c>
      <x:c r="I52" s="30" t="str">
        <x:v>Cinema history books</x:v>
      </x:c>
      <x:c r="J52" s="30" t="str">
        <x:v>Cinema history books</x:v>
      </x:c>
      <x:c r="K52" s="30" t="str">
        <x:v>Cinema history books</x:v>
      </x:c>
      <x:c r="L52" s="33" t="str"/>
      <x:c r="M52" s="33" t="str"/>
      <x:c r="N52" s="33" t="str"/>
      <x:c r="O52" s="33" t="str"/>
      <x:c r="P52" s="30" t="str">
        <x:f>IF(COUNTA(L52:O52)&lt;4,"未完成",IF(OR(L52="部分",L52="不充分",L52="不确定"),"evidence_definition_failure",IF(L52&lt;&gt;"充分","unresolved",IF(COUNTIF(M52:O52,"C")=0,"robust_generation_failure",IF(COUNTIF(M52:O52,"C")=3,"ua3_representation_or_admission_failure","generation_instability")))))</x:f>
        <x:v>unresolved</x:v>
      </x:c>
      <x:c r="Q52" s="33" t="str"/>
      <x:c r="R52" s="33" t="str"/>
      <x:c r="S52" s="33" t="str"/>
      <x:c r="T52" s="36"/>
      <x:c r="U52" s="33" t="str"/>
      <x:c r="V52" s="30" t="str">
        <x:f>IF(AND(L52&lt;&gt;"",M52&lt;&gt;"",N52&lt;&gt;"",O52&lt;&gt;"",Q52&lt;&gt;"",R52&lt;&gt;""),"完成","未完成")</x:f>
        <x:v>未完成</x:v>
      </x:c>
    </x:row>
    <x:row r="53" ht="63" customHeight="1">
      <x:c r="A53" s="30" t="n">
        <x:v>52</x:v>
      </x:c>
      <x:c r="B53" s="30" t="str">
        <x:v>memos_medium:697</x:v>
      </x:c>
      <x:c r="C53" s="30" t="str">
        <x:v>medium</x:v>
      </x:c>
      <x:c r="D53" s="30" t="str">
        <x:v>Multi-hop Inference</x:v>
      </x:c>
      <x:c r="E53" s="30" t="str">
        <x:v>What challenges did Sarah face in achieving her life goal by Jan 07, 2042, and how did she plan to overcome them?</x:v>
      </x:c>
      <x:c r="F53" s="30" t="str">
        <x:v>Navigating politics; leveraging partnerships and setting ambitious goals.</x:v>
      </x:c>
      <x:c r="G53" s="30" t="str">
        <x:v>#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x:v>
      </x:c>
      <x:c r="H53" s="30" t="str">
        <x:v>No challenges mentioned.</x:v>
      </x:c>
      <x:c r="I53" s="30" t="str">
        <x:v>Navigating complex political landscapes.</x:v>
      </x:c>
      <x:c r="J53" s="30" t="str">
        <x:v>Navigating complex political landscapes.</x:v>
      </x:c>
      <x:c r="K53" s="30" t="str">
        <x:v>Navigating complex political landscapes.</x:v>
      </x:c>
      <x:c r="L53" s="33" t="str"/>
      <x:c r="M53" s="33" t="str"/>
      <x:c r="N53" s="33" t="str"/>
      <x:c r="O53" s="33" t="str"/>
      <x:c r="P53" s="30" t="str">
        <x:f>IF(COUNTA(L53:O53)&lt;4,"未完成",IF(OR(L53="部分",L53="不充分",L53="不确定"),"evidence_definition_failure",IF(L53&lt;&gt;"充分","unresolved",IF(COUNTIF(M53:O53,"C")=0,"robust_generation_failure",IF(COUNTIF(M53:O53,"C")=3,"ua3_representation_or_admission_failure","generation_instability")))))</x:f>
        <x:v>unresolved</x:v>
      </x:c>
      <x:c r="Q53" s="33" t="str"/>
      <x:c r="R53" s="33" t="str"/>
      <x:c r="S53" s="33" t="str"/>
      <x:c r="T53" s="36"/>
      <x:c r="U53" s="33" t="str"/>
      <x:c r="V53" s="30" t="str">
        <x:f>IF(AND(L53&lt;&gt;"",M53&lt;&gt;"",N53&lt;&gt;"",O53&lt;&gt;"",Q53&lt;&gt;"",R53&lt;&gt;""),"完成","未完成")</x:f>
        <x:v>未完成</x:v>
      </x:c>
    </x:row>
    <x:row r="54" ht="63" customHeight="1">
      <x:c r="A54" s="30" t="n">
        <x:v>53</x:v>
      </x:c>
      <x:c r="B54" s="30" t="str">
        <x:v>memos_long:33</x:v>
      </x:c>
      <x:c r="C54" s="30" t="str">
        <x:v>long</x:v>
      </x:c>
      <x:c r="D54" s="30" t="str">
        <x:v>Basic Fact Recall</x:v>
      </x:c>
      <x:c r="E54" s="30" t="str">
        <x:v>What type of beverage did Martin express enthusiasm about incorporating into his daily routine on April 23, 2027?</x:v>
      </x:c>
      <x:c r="F54" s="30" t="str">
        <x:v>Herbal teas with added health blends.</x:v>
      </x:c>
      <x:c r="G54" s="30" t="str">
        <x:v># Authoritative benchmark gold evidence
The following evidence is authoritative for answering the current question. Use it directly and do not rely on conflicting information.
Evidence 1
Memory type: Persona Memory
Content: Martin expressed enthusiasm about incorporating herbal teas with added health blends into his daily routine, considering their calming effects and potential to help during stressful periods.</x:v>
      </x:c>
      <x:c r="H54" s="30" t="str">
        <x:v>No relevant memory found.</x:v>
      </x:c>
      <x:c r="I54" s="30" t="str">
        <x:v>Herbal teas with health blends.</x:v>
      </x:c>
      <x:c r="J54" s="30" t="str">
        <x:v>Herbal teas with health blends</x:v>
      </x:c>
      <x:c r="K54" s="30" t="str">
        <x:v>Herbal teas with health blends</x:v>
      </x:c>
      <x:c r="L54" s="33" t="str"/>
      <x:c r="M54" s="33" t="str"/>
      <x:c r="N54" s="33" t="str"/>
      <x:c r="O54" s="33" t="str"/>
      <x:c r="P54" s="30" t="str">
        <x:f>IF(COUNTA(L54:O54)&lt;4,"未完成",IF(OR(L54="部分",L54="不充分",L54="不确定"),"evidence_definition_failure",IF(L54&lt;&gt;"充分","unresolved",IF(COUNTIF(M54:O54,"C")=0,"robust_generation_failure",IF(COUNTIF(M54:O54,"C")=3,"ua3_representation_or_admission_failure","generation_instability")))))</x:f>
        <x:v>unresolved</x:v>
      </x:c>
      <x:c r="Q54" s="33" t="str"/>
      <x:c r="R54" s="33" t="str"/>
      <x:c r="S54" s="33" t="str"/>
      <x:c r="T54" s="36"/>
      <x:c r="U54" s="33" t="str"/>
      <x:c r="V54" s="30" t="str">
        <x:f>IF(AND(L54&lt;&gt;"",M54&lt;&gt;"",N54&lt;&gt;"",O54&lt;&gt;"",Q54&lt;&gt;"",R54&lt;&gt;""),"完成","未完成")</x:f>
        <x:v>未完成</x:v>
      </x:c>
    </x:row>
    <x:row r="55" ht="63" customHeight="1">
      <x:c r="A55" s="30" t="n">
        <x:v>54</x:v>
      </x:c>
      <x:c r="B55" s="30" t="str">
        <x:v>memos_medium:2168</x:v>
      </x:c>
      <x:c r="C55" s="30" t="str">
        <x:v>medium</x:v>
      </x:c>
      <x:c r="D55" s="30" t="str">
        <x:v>Generalization &amp; Application</x:v>
      </x:c>
      <x:c r="E55" s="30" t="str">
        <x:v>What type of travel might Sharon Brown enjoy in 2032 based on her current preferences?</x:v>
      </x:c>
      <x:c r="F55" s="30" t="str">
        <x:v>Active adventure travel experiences.</x:v>
      </x:c>
      <x:c r="G55" s="30" t="str">
        <x:v>#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x:v>
      </x:c>
      <x:c r="H55" s="30" t="str">
        <x:v>Adventure cruises with mentorship.</x:v>
      </x:c>
      <x:c r="I55" s="30" t="str">
        <x:v>Adventure cruises.</x:v>
      </x:c>
      <x:c r="J55" s="30" t="str">
        <x:v>Adventure cruises.</x:v>
      </x:c>
      <x:c r="K55" s="30" t="str">
        <x:v>Adventure cruises.</x:v>
      </x:c>
      <x:c r="L55" s="33" t="str"/>
      <x:c r="M55" s="33" t="str"/>
      <x:c r="N55" s="33" t="str"/>
      <x:c r="O55" s="33" t="str"/>
      <x:c r="P55" s="30" t="str">
        <x:f>IF(COUNTA(L55:O55)&lt;4,"未完成",IF(OR(L55="部分",L55="不充分",L55="不确定"),"evidence_definition_failure",IF(L55&lt;&gt;"充分","unresolved",IF(COUNTIF(M55:O55,"C")=0,"robust_generation_failure",IF(COUNTIF(M55:O55,"C")=3,"ua3_representation_or_admission_failure","generation_instability")))))</x:f>
        <x:v>unresolved</x:v>
      </x:c>
      <x:c r="Q55" s="33" t="str"/>
      <x:c r="R55" s="33" t="str"/>
      <x:c r="S55" s="33" t="str"/>
      <x:c r="T55" s="36"/>
      <x:c r="U55" s="33" t="str"/>
      <x:c r="V55" s="30" t="str">
        <x:f>IF(AND(L55&lt;&gt;"",M55&lt;&gt;"",N55&lt;&gt;"",O55&lt;&gt;"",Q55&lt;&gt;"",R55&lt;&gt;""),"完成","未完成")</x:f>
        <x:v>未完成</x:v>
      </x:c>
    </x:row>
    <x:row r="56" ht="63" customHeight="1">
      <x:c r="A56" s="30" t="n">
        <x:v>55</x:v>
      </x:c>
      <x:c r="B56" s="30" t="str">
        <x:v>memos_long:3313</x:v>
      </x:c>
      <x:c r="C56" s="30" t="str">
        <x:v>long</x:v>
      </x:c>
      <x:c r="D56" s="30" t="str">
        <x:v>Generalization &amp; Application</x:v>
      </x:c>
      <x:c r="E56" s="30" t="str">
        <x:v>How might Christopher apply his wellness practices to enhance his new role as Senior Physical Therapist as of Jan 05, 2026?</x:v>
      </x:c>
      <x:c r="F56" s="30" t="str">
        <x:v>Integrate yoga and meditation for improved care delivery.</x:v>
      </x:c>
      <x:c r="G56" s="30" t="str">
        <x:v># Authoritative benchmark gold evidence
The following evidence is authoritative for answering the current question. Use it directly and do not rely on conflicting information.
Evidence 1
Memory type: Event Memory
Content: Christopher Anderson integrated wellness practices like yoga and meditation into his routine to enhance his physical and mental resilience.
Evidence 2
Memory type: Event Memory
Content: Christopher Anderson noted that adopting wellness practices improved his work performance and ability to provide care to seniors.
Evidence 3
Memory type: Event Memory
Content: Christopher Anderson is implementing comprehensive care plans in his role as a Senior Physical Therapist, addressing both physical and mental health aspects for seniors.</x:v>
      </x:c>
      <x:c r="H56" s="30" t="str">
        <x:v>Implement comprehensive care plans.</x:v>
      </x:c>
      <x:c r="I56" s="30" t="str">
        <x:v>Integrate yoga and meditation into care plans.</x:v>
      </x:c>
      <x:c r="J56" s="30" t="str">
        <x:v>Integrate yoga and meditation into care plans.</x:v>
      </x:c>
      <x:c r="K56" s="30" t="str">
        <x:v>Integrate yoga and meditation into care plans.</x:v>
      </x:c>
      <x:c r="L56" s="33" t="str"/>
      <x:c r="M56" s="33" t="str"/>
      <x:c r="N56" s="33" t="str"/>
      <x:c r="O56" s="33" t="str"/>
      <x:c r="P56" s="30" t="str">
        <x:f>IF(COUNTA(L56:O56)&lt;4,"未完成",IF(OR(L56="部分",L56="不充分",L56="不确定"),"evidence_definition_failure",IF(L56&lt;&gt;"充分","unresolved",IF(COUNTIF(M56:O56,"C")=0,"robust_generation_failure",IF(COUNTIF(M56:O56,"C")=3,"ua3_representation_or_admission_failure","generation_instability")))))</x:f>
        <x:v>unresolved</x:v>
      </x:c>
      <x:c r="Q56" s="33" t="str"/>
      <x:c r="R56" s="33" t="str"/>
      <x:c r="S56" s="33" t="str"/>
      <x:c r="T56" s="36"/>
      <x:c r="U56" s="33" t="str"/>
      <x:c r="V56" s="30" t="str">
        <x:f>IF(AND(L56&lt;&gt;"",M56&lt;&gt;"",N56&lt;&gt;"",O56&lt;&gt;"",Q56&lt;&gt;"",R56&lt;&gt;""),"完成","未完成")</x:f>
        <x:v>未完成</x:v>
      </x:c>
    </x:row>
    <x:row r="57" ht="63" customHeight="1">
      <x:c r="A57" s="30" t="n">
        <x:v>56</x:v>
      </x:c>
      <x:c r="B57" s="30" t="str">
        <x:v>memos_long:3087</x:v>
      </x:c>
      <x:c r="C57" s="30" t="str">
        <x:v>long</x:v>
      </x:c>
      <x:c r="D57" s="30" t="str">
        <x:v>Multi-hop Inference</x:v>
      </x:c>
      <x:c r="E57" s="30" t="str">
        <x:v>How does Karen Brown's network contribute to her entrepreneurial journey as of Jul 01, 2041?</x:v>
      </x:c>
      <x:c r="F57" s="30" t="str">
        <x:v>Provides strategic advice and emotional support.</x:v>
      </x:c>
      <x:c r="G57" s="30" t="str">
        <x:v># Authoritative benchmark gold evidence
The following evidence is authoritative for answering the current question. Use it directly and do not rely on conflicting information.
Evidence 1
Memory type: Relationship Memory
Content: Karen Brown's network includes NewConnection8, an experienced entrepreneur providing strategic advice and guidance for her company's growth.
Evidence 2
Memory type: Relationship Memory
Content: Karen Brown expressed gratitude for her expanded network, which provides essential resources and support for her entrepreneurial journey and boosts her confidence.</x:v>
      </x:c>
      <x:c r="H57" s="30" t="str">
        <x:v>Provides inspiration and emotional support.</x:v>
      </x:c>
      <x:c r="I57" s="30" t="str">
        <x:v>Provides resources and support.</x:v>
      </x:c>
      <x:c r="J57" s="30" t="str">
        <x:v>Provides resources and support.</x:v>
      </x:c>
      <x:c r="K57" s="30" t="str">
        <x:v>Provides resources and support.</x:v>
      </x:c>
      <x:c r="L57" s="33" t="str"/>
      <x:c r="M57" s="33" t="str"/>
      <x:c r="N57" s="33" t="str"/>
      <x:c r="O57" s="33" t="str"/>
      <x:c r="P57" s="30" t="str">
        <x:f>IF(COUNTA(L57:O57)&lt;4,"未完成",IF(OR(L57="部分",L57="不充分",L57="不确定"),"evidence_definition_failure",IF(L57&lt;&gt;"充分","unresolved",IF(COUNTIF(M57:O57,"C")=0,"robust_generation_failure",IF(COUNTIF(M57:O57,"C")=3,"ua3_representation_or_admission_failure","generation_instability")))))</x:f>
        <x:v>unresolved</x:v>
      </x:c>
      <x:c r="Q57" s="33" t="str"/>
      <x:c r="R57" s="33" t="str"/>
      <x:c r="S57" s="33" t="str"/>
      <x:c r="T57" s="36"/>
      <x:c r="U57" s="33" t="str"/>
      <x:c r="V57" s="30" t="str">
        <x:f>IF(AND(L57&lt;&gt;"",M57&lt;&gt;"",N57&lt;&gt;"",O57&lt;&gt;"",Q57&lt;&gt;"",R57&lt;&gt;""),"完成","未完成")</x:f>
        <x:v>未完成</x:v>
      </x:c>
    </x:row>
    <x:row r="58" ht="63" customHeight="1">
      <x:c r="A58" s="30" t="n">
        <x:v>57</x:v>
      </x:c>
      <x:c r="B58" s="30" t="str">
        <x:v>memos_long:1374</x:v>
      </x:c>
      <x:c r="C58" s="30" t="str">
        <x:v>long</x:v>
      </x:c>
      <x:c r="D58" s="30" t="str">
        <x:v>Basic Fact Recall</x:v>
      </x:c>
      <x:c r="E58" s="30" t="str">
        <x:v>What food preference did Ananya Sharma express on Apr 23, 2033?</x:v>
      </x:c>
      <x:c r="F58" s="30" t="str">
        <x:v>Pickled onions for their tangy and sweet flavor.</x:v>
      </x:c>
      <x:c r="G58" s="30" t="str">
        <x:v># Authoritative benchmark gold evidence
The following evidence is authoritative for answering the current question. Use it directly and do not rely on conflicting information.
Evidence 1
Memory type: Persona Memory
Content: Ananya Sharma's food preference evolved to include pickled onions for their tangy and sweet flavor.</x:v>
      </x:c>
      <x:c r="H58" s="30" t="str">
        <x:v>Culinary themes for film.</x:v>
      </x:c>
      <x:c r="I58" s="30" t="str">
        <x:v>Pickled onions</x:v>
      </x:c>
      <x:c r="J58" s="30" t="str">
        <x:v>Pickled onions</x:v>
      </x:c>
      <x:c r="K58" s="30" t="str">
        <x:v>Pickled onions</x:v>
      </x:c>
      <x:c r="L58" s="33" t="str"/>
      <x:c r="M58" s="33" t="str"/>
      <x:c r="N58" s="33" t="str"/>
      <x:c r="O58" s="33" t="str"/>
      <x:c r="P58" s="30" t="str">
        <x:f>IF(COUNTA(L58:O58)&lt;4,"未完成",IF(OR(L58="部分",L58="不充分",L58="不确定"),"evidence_definition_failure",IF(L58&lt;&gt;"充分","unresolved",IF(COUNTIF(M58:O58,"C")=0,"robust_generation_failure",IF(COUNTIF(M58:O58,"C")=3,"ua3_representation_or_admission_failure","generation_instability")))))</x:f>
        <x:v>unresolved</x:v>
      </x:c>
      <x:c r="Q58" s="33" t="str"/>
      <x:c r="R58" s="33" t="str"/>
      <x:c r="S58" s="33" t="str"/>
      <x:c r="T58" s="36"/>
      <x:c r="U58" s="33" t="str"/>
      <x:c r="V58" s="30" t="str">
        <x:f>IF(AND(L58&lt;&gt;"",M58&lt;&gt;"",N58&lt;&gt;"",O58&lt;&gt;"",Q58&lt;&gt;"",R58&lt;&gt;""),"完成","未完成")</x:f>
        <x:v>未完成</x:v>
      </x:c>
    </x:row>
    <x:row r="59" ht="63" customHeight="1">
      <x:c r="A59" s="30" t="n">
        <x:v>58</x:v>
      </x:c>
      <x:c r="B59" s="30" t="str">
        <x:v>memos_medium:36</x:v>
      </x:c>
      <x:c r="C59" s="30" t="str">
        <x:v>medium</x:v>
      </x:c>
      <x:c r="D59" s="30" t="str">
        <x:v>Generalization &amp; Application</x:v>
      </x:c>
      <x:c r="E59" s="30" t="str">
        <x:v>Given Martin's interest in heavy metal music as of Jul 27, 2027, what type of music might he explore next for relaxation?</x:v>
      </x:c>
      <x:c r="F59" s="30" t="str">
        <x:v>Ambient or jazz music.</x:v>
      </x:c>
      <x:c r="G59" s="30" t="str">
        <x:v>#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x:v>
      </x:c>
      <x:c r="H59" s="30" t="str">
        <x:v>Heavy metal music.</x:v>
      </x:c>
      <x:c r="I59" s="30" t="str">
        <x:v>Heavy metal, jazz, classical.</x:v>
      </x:c>
      <x:c r="J59" s="30" t="str">
        <x:v>Heavy metal, jazz, classical.</x:v>
      </x:c>
      <x:c r="K59" s="30" t="str">
        <x:v>Heavy metal, jazz, classical.</x:v>
      </x:c>
      <x:c r="L59" s="33" t="str"/>
      <x:c r="M59" s="33" t="str"/>
      <x:c r="N59" s="33" t="str"/>
      <x:c r="O59" s="33" t="str"/>
      <x:c r="P59" s="30" t="str">
        <x:f>IF(COUNTA(L59:O59)&lt;4,"未完成",IF(OR(L59="部分",L59="不充分",L59="不确定"),"evidence_definition_failure",IF(L59&lt;&gt;"充分","unresolved",IF(COUNTIF(M59:O59,"C")=0,"robust_generation_failure",IF(COUNTIF(M59:O59,"C")=3,"ua3_representation_or_admission_failure","generation_instability")))))</x:f>
        <x:v>unresolved</x:v>
      </x:c>
      <x:c r="Q59" s="33" t="str"/>
      <x:c r="R59" s="33" t="str"/>
      <x:c r="S59" s="33" t="str"/>
      <x:c r="T59" s="36"/>
      <x:c r="U59" s="33" t="str"/>
      <x:c r="V59" s="30" t="str">
        <x:f>IF(AND(L59&lt;&gt;"",M59&lt;&gt;"",N59&lt;&gt;"",O59&lt;&gt;"",Q59&lt;&gt;"",R59&lt;&gt;""),"完成","未完成")</x:f>
        <x:v>未完成</x:v>
      </x:c>
    </x:row>
    <x:row r="60" ht="63" customHeight="1">
      <x:c r="A60" s="30" t="n">
        <x:v>59</x:v>
      </x:c>
      <x:c r="B60" s="30" t="str">
        <x:v>memos_medium:1178</x:v>
      </x:c>
      <x:c r="C60" s="30" t="str">
        <x:v>medium</x:v>
      </x:c>
      <x:c r="D60" s="30" t="str">
        <x:v>Basic Fact Recall</x:v>
      </x:c>
      <x:c r="E60" s="30" t="str">
        <x:v>What change did Taylor David make regarding competitive weightlifting on Jul 10, 2036?</x:v>
      </x:c>
      <x:c r="F60" s="30" t="str">
        <x:v>Removed his dislike for competitive weightlifting.</x:v>
      </x:c>
      <x:c r="G60" s="30" t="str">
        <x:v># Authoritative benchmark gold evidence
The following evidence is authoritative for answering the current question. Use it directly and do not rely on conflicting information.
Evidence 1
Memory type: Persona Memory
Content: Taylor David removed his dislike for competitive weightlifting after exposure to a balanced weightlifting program that emphasizes holistic health.</x:v>
      </x:c>
      <x:c r="H60" s="30" t="str">
        <x:v>No change mentioned.</x:v>
      </x:c>
      <x:c r="I60" s="30" t="str">
        <x:v>Removed dislike for it</x:v>
      </x:c>
      <x:c r="J60" s="30" t="str">
        <x:v>Removed dislike for it</x:v>
      </x:c>
      <x:c r="K60" s="30" t="str">
        <x:v>Removed dislike for it</x:v>
      </x:c>
      <x:c r="L60" s="33" t="str"/>
      <x:c r="M60" s="33" t="str"/>
      <x:c r="N60" s="33" t="str"/>
      <x:c r="O60" s="33" t="str"/>
      <x:c r="P60" s="30" t="str">
        <x:f>IF(COUNTA(L60:O60)&lt;4,"未完成",IF(OR(L60="部分",L60="不充分",L60="不确定"),"evidence_definition_failure",IF(L60&lt;&gt;"充分","unresolved",IF(COUNTIF(M60:O60,"C")=0,"robust_generation_failure",IF(COUNTIF(M60:O60,"C")=3,"ua3_representation_or_admission_failure","generation_instability")))))</x:f>
        <x:v>unresolved</x:v>
      </x:c>
      <x:c r="Q60" s="33" t="str"/>
      <x:c r="R60" s="33" t="str"/>
      <x:c r="S60" s="33" t="str"/>
      <x:c r="T60" s="36"/>
      <x:c r="U60" s="33" t="str"/>
      <x:c r="V60" s="30" t="str">
        <x:f>IF(AND(L60&lt;&gt;"",M60&lt;&gt;"",N60&lt;&gt;"",O60&lt;&gt;"",Q60&lt;&gt;"",R60&lt;&gt;""),"完成","未完成")</x:f>
        <x:v>未完成</x:v>
      </x:c>
    </x:row>
    <x:row r="61" ht="63" customHeight="1">
      <x:c r="A61" s="30" t="n">
        <x:v>60</x:v>
      </x:c>
      <x:c r="B61" s="30" t="str">
        <x:v>memos_medium:873</x:v>
      </x:c>
      <x:c r="C61" s="30" t="str">
        <x:v>medium</x:v>
      </x:c>
      <x:c r="D61" s="30" t="str">
        <x:v>Multi-hop Inference</x:v>
      </x:c>
      <x:c r="E61" s="30" t="str">
        <x:v>What was Donna's motivation for pursuing freelance work by May 10, 2039?</x:v>
      </x:c>
      <x:c r="F61" s="30" t="str">
        <x:v>Desire for creative freedom and industry influence.</x:v>
      </x:c>
      <x:c r="G61" s="30" t="str">
        <x:v># Authoritative benchmark gold evidence
The following evidence is authoritative for answering the current question. Use it directly and do not rely on conflicting information.
Evidence 1
Memory type: Persona Memory
Content: Donna Gonzalez's motivation for pursuing freelance work was driven by her desire for creative freedom and the ability to influence the film music industry.
Evidence 2
Memory type: Persona Memory
Content: Donna Gonzalez expressed enthusiasm about the flexibility and creative freedom offered by freelance work.</x:v>
      </x:c>
      <x:c r="H61" s="30" t="str">
        <x:v>To overcome personal limitations.</x:v>
      </x:c>
      <x:c r="I61" s="30" t="str">
        <x:v>Creative freedom and influence.</x:v>
      </x:c>
      <x:c r="J61" s="30" t="str">
        <x:v>Creative freedom and influence.</x:v>
      </x:c>
      <x:c r="K61" s="30" t="str">
        <x:v>Creative freedom and influence.</x:v>
      </x:c>
      <x:c r="L61" s="33" t="str"/>
      <x:c r="M61" s="33" t="str"/>
      <x:c r="N61" s="33" t="str"/>
      <x:c r="O61" s="33" t="str"/>
      <x:c r="P61" s="30" t="str">
        <x:f>IF(COUNTA(L61:O61)&lt;4,"未完成",IF(OR(L61="部分",L61="不充分",L61="不确定"),"evidence_definition_failure",IF(L61&lt;&gt;"充分","unresolved",IF(COUNTIF(M61:O61,"C")=0,"robust_generation_failure",IF(COUNTIF(M61:O61,"C")=3,"ua3_representation_or_admission_failure","generation_instability")))))</x:f>
        <x:v>unresolved</x:v>
      </x:c>
      <x:c r="Q61" s="33" t="str"/>
      <x:c r="R61" s="33" t="str"/>
      <x:c r="S61" s="33" t="str"/>
      <x:c r="T61" s="36"/>
      <x:c r="U61" s="33" t="str"/>
      <x:c r="V61" s="30" t="str">
        <x:f>IF(AND(L61&lt;&gt;"",M61&lt;&gt;"",N61&lt;&gt;"",O61&lt;&gt;"",Q61&lt;&gt;"",R61&lt;&gt;""),"完成","未完成")</x:f>
        <x:v>未完成</x:v>
      </x:c>
    </x:row>
    <x:row r="62" ht="63" customHeight="1">
      <x:c r="A62" s="30" t="n">
        <x:v>61</x:v>
      </x:c>
      <x:c r="B62" s="30" t="str">
        <x:v>memos_medium:1265</x:v>
      </x:c>
      <x:c r="C62" s="30" t="str">
        <x:v>medium</x:v>
      </x:c>
      <x:c r="D62" s="30" t="str">
        <x:v>Generalization &amp; Application</x:v>
      </x:c>
      <x:c r="E62" s="30" t="str">
        <x:v>What type of new media might Ananya explore next based on her interest in storytelling?</x:v>
      </x:c>
      <x:c r="F62" s="30" t="str">
        <x:v>Interactive storytelling platforms or narrative-driven virtual reality experiences.</x:v>
      </x:c>
      <x:c r="G62" s="30" t="str">
        <x:v># Authoritative benchmark gold evidence
The following evidence is authoritative for answering the current question. Use it directly and do not rely on conflicting information.
Evidence 1
Memory type: Persona Memory
Content: Ananya Sharma's evolving game preferences align with her broader interest in storytelling and cultural exploration.
Evidence 2
Memory type: Event Memory
Content: Ananya Sharma's newfound appreciation for narrative-driven first-person shooters is part of her broader exploration of media.
Evidence 3
Memory type: Persona Memory
Content: Ananya Sharma's interest in narrative-driven games highlights the importance of story in gameplay for her.</x:v>
      </x:c>
      <x:c r="H62" s="30" t="str">
        <x:v>Narrative-driven shooters</x:v>
      </x:c>
      <x:c r="I62" s="30" t="str">
        <x:v>Narrative-driven games</x:v>
      </x:c>
      <x:c r="J62" s="30" t="str">
        <x:v>Narrative-driven games</x:v>
      </x:c>
      <x:c r="K62" s="30" t="str">
        <x:v>Narrative-driven games</x:v>
      </x:c>
      <x:c r="L62" s="33" t="str"/>
      <x:c r="M62" s="33" t="str"/>
      <x:c r="N62" s="33" t="str"/>
      <x:c r="O62" s="33" t="str"/>
      <x:c r="P62" s="30" t="str">
        <x:f>IF(COUNTA(L62:O62)&lt;4,"未完成",IF(OR(L62="部分",L62="不充分",L62="不确定"),"evidence_definition_failure",IF(L62&lt;&gt;"充分","unresolved",IF(COUNTIF(M62:O62,"C")=0,"robust_generation_failure",IF(COUNTIF(M62:O62,"C")=3,"ua3_representation_or_admission_failure","generation_instability")))))</x:f>
        <x:v>unresolved</x:v>
      </x:c>
      <x:c r="Q62" s="33" t="str"/>
      <x:c r="R62" s="33" t="str"/>
      <x:c r="S62" s="33" t="str"/>
      <x:c r="T62" s="36"/>
      <x:c r="U62" s="33" t="str"/>
      <x:c r="V62" s="30" t="str">
        <x:f>IF(AND(L62&lt;&gt;"",M62&lt;&gt;"",N62&lt;&gt;"",O62&lt;&gt;"",Q62&lt;&gt;"",R62&lt;&gt;""),"完成","未完成")</x:f>
        <x:v>未完成</x:v>
      </x:c>
    </x:row>
    <x:row r="63" ht="63" customHeight="1">
      <x:c r="A63" s="30" t="n">
        <x:v>62</x:v>
      </x:c>
      <x:c r="B63" s="30" t="str">
        <x:v>memos_medium:1173</x:v>
      </x:c>
      <x:c r="C63" s="30" t="str">
        <x:v>medium</x:v>
      </x:c>
      <x:c r="D63" s="30" t="str">
        <x:v>Generalization &amp; Application</x:v>
      </x:c>
      <x:c r="E63" s="30" t="str">
        <x:v>What approach might Taylor take to handle future challenges in nutrition advocacy after Feb 01, 2036?</x:v>
      </x:c>
      <x:c r="F63" s="30" t="str">
        <x:v>Continuous learning and adaptation.</x:v>
      </x:c>
      <x:c r="G63" s="30" t="str">
        <x:v># Authoritative benchmark gold evidence
The following evidence is authoritative for answering the current question. Use it directly and do not rely on conflicting information.
Evidence 1
Memory type: Persona Memory
Content: Taylor discussed the importance of continuous learning and adaptation in preparing for future challenges, focusing on collaboration and strategic partnerships.
Evidence 2
Memory type: Persona Memory
Content: Taylor's dialogue was infused with a sense of purpose and commitment to his advocacy goals, aiming to create sustainable, impactful nutrition programs.</x:v>
      </x:c>
      <x:c r="H63" s="30" t="str">
        <x:v>Partnerships for cultural relevance.</x:v>
      </x:c>
      <x:c r="I63" s="30" t="str">
        <x:v>Continuous learning and collaboration.</x:v>
      </x:c>
      <x:c r="J63" s="30" t="str">
        <x:v>Continuous learning and collaboration.</x:v>
      </x:c>
      <x:c r="K63" s="30" t="str">
        <x:v>Continuous learning and collaboration.</x:v>
      </x:c>
      <x:c r="L63" s="33" t="str"/>
      <x:c r="M63" s="33" t="str"/>
      <x:c r="N63" s="33" t="str"/>
      <x:c r="O63" s="33" t="str"/>
      <x:c r="P63" s="30" t="str">
        <x:f>IF(COUNTA(L63:O63)&lt;4,"未完成",IF(OR(L63="部分",L63="不充分",L63="不确定"),"evidence_definition_failure",IF(L63&lt;&gt;"充分","unresolved",IF(COUNTIF(M63:O63,"C")=0,"robust_generation_failure",IF(COUNTIF(M63:O63,"C")=3,"ua3_representation_or_admission_failure","generation_instability")))))</x:f>
        <x:v>unresolved</x:v>
      </x:c>
      <x:c r="Q63" s="33" t="str"/>
      <x:c r="R63" s="33" t="str"/>
      <x:c r="S63" s="33" t="str"/>
      <x:c r="T63" s="36"/>
      <x:c r="U63" s="33" t="str"/>
      <x:c r="V63" s="30" t="str">
        <x:f>IF(AND(L63&lt;&gt;"",M63&lt;&gt;"",N63&lt;&gt;"",O63&lt;&gt;"",Q63&lt;&gt;"",R63&lt;&gt;""),"完成","未完成")</x:f>
        <x:v>未完成</x:v>
      </x:c>
    </x:row>
    <x:row r="64" ht="63" customHeight="1">
      <x:c r="A64" s="30" t="n">
        <x:v>63</x:v>
      </x:c>
      <x:c r="B64" s="30" t="str">
        <x:v>memos_long:3043</x:v>
      </x:c>
      <x:c r="C64" s="30" t="str">
        <x:v>long</x:v>
      </x:c>
      <x:c r="D64" s="30" t="str">
        <x:v>Basic Fact Recall</x:v>
      </x:c>
      <x:c r="E64" s="30" t="str">
        <x:v>What pet preference did Karen Brown update on Sep 26, 2036?</x:v>
      </x:c>
      <x:c r="F64" s="30" t="str">
        <x:v>Socially interactive pets for more emotional support.</x:v>
      </x:c>
      <x:c r="G64" s="30" t="str">
        <x:v># Authoritative benchmark gold evidence
The following evidence is authoritative for answering the current question. Use it directly and do not rely on conflicting information.
Evidence 1
Memory type: Persona Memory
Content: Karen Brown has updated her pet preference to include socially interactive pets for more emotional support.</x:v>
      </x:c>
      <x:c r="H64" s="30" t="str">
        <x:v>New pet options.</x:v>
      </x:c>
      <x:c r="I64" s="30" t="str">
        <x:v>Socially interactive pets</x:v>
      </x:c>
      <x:c r="J64" s="30" t="str">
        <x:v>Socially interactive pets</x:v>
      </x:c>
      <x:c r="K64" s="30" t="str">
        <x:v>Socially interactive pets</x:v>
      </x:c>
      <x:c r="L64" s="33" t="str"/>
      <x:c r="M64" s="33" t="str"/>
      <x:c r="N64" s="33" t="str"/>
      <x:c r="O64" s="33" t="str"/>
      <x:c r="P64" s="30" t="str">
        <x:f>IF(COUNTA(L64:O64)&lt;4,"未完成",IF(OR(L64="部分",L64="不充分",L64="不确定"),"evidence_definition_failure",IF(L64&lt;&gt;"充分","unresolved",IF(COUNTIF(M64:O64,"C")=0,"robust_generation_failure",IF(COUNTIF(M64:O64,"C")=3,"ua3_representation_or_admission_failure","generation_instability")))))</x:f>
        <x:v>unresolved</x:v>
      </x:c>
      <x:c r="Q64" s="33" t="str"/>
      <x:c r="R64" s="33" t="str"/>
      <x:c r="S64" s="33" t="str"/>
      <x:c r="T64" s="36"/>
      <x:c r="U64" s="33" t="str"/>
      <x:c r="V64" s="30" t="str">
        <x:f>IF(AND(L64&lt;&gt;"",M64&lt;&gt;"",N64&lt;&gt;"",O64&lt;&gt;"",Q64&lt;&gt;"",R64&lt;&gt;""),"完成","未完成")</x:f>
        <x:v>未完成</x:v>
      </x:c>
    </x:row>
    <x:row r="65" ht="63" customHeight="1">
      <x:c r="A65" s="30" t="n">
        <x:v>64</x:v>
      </x:c>
      <x:c r="B65" s="30" t="str">
        <x:v>memos_medium:3256</x:v>
      </x:c>
      <x:c r="C65" s="30" t="str">
        <x:v>medium</x:v>
      </x:c>
      <x:c r="D65" s="30" t="str">
        <x:v>Basic Fact Recall</x:v>
      </x:c>
      <x:c r="E65" s="30" t="str">
        <x:v>What herbal ingredient did Barbara Jones incorporate into her tea routine for heart health benefits as of April 30, 2040?</x:v>
      </x:c>
      <x:c r="F65" s="30" t="str">
        <x:v>Hibiscus</x:v>
      </x:c>
      <x:c r="G65" s="30" t="str">
        <x:v># Authoritative benchmark gold evidence
The following evidence is authoritative for answering the current question. Use it directly and do not rely on conflicting information.
Evidence 1
Memory type: Persona Memory
Content: Barbara Jones has incorporated hibiscus into her herbal tea routine for its heart health benefits, particularly in reducing blood pressure.</x:v>
      </x:c>
      <x:c r="H65" s="30" t="str">
        <x:v>Hibiscus and chamomile.</x:v>
      </x:c>
      <x:c r="I65" s="30" t="str">
        <x:v>hibiscus</x:v>
      </x:c>
      <x:c r="J65" s="30" t="str">
        <x:v>hibiscus</x:v>
      </x:c>
      <x:c r="K65" s="30" t="str">
        <x:v>hibiscus</x:v>
      </x:c>
      <x:c r="L65" s="33" t="str"/>
      <x:c r="M65" s="33" t="str"/>
      <x:c r="N65" s="33" t="str"/>
      <x:c r="O65" s="33" t="str"/>
      <x:c r="P65" s="30" t="str">
        <x:f>IF(COUNTA(L65:O65)&lt;4,"未完成",IF(OR(L65="部分",L65="不充分",L65="不确定"),"evidence_definition_failure",IF(L65&lt;&gt;"充分","unresolved",IF(COUNTIF(M65:O65,"C")=0,"robust_generation_failure",IF(COUNTIF(M65:O65,"C")=3,"ua3_representation_or_admission_failure","generation_instability")))))</x:f>
        <x:v>unresolved</x:v>
      </x:c>
      <x:c r="Q65" s="33" t="str"/>
      <x:c r="R65" s="33" t="str"/>
      <x:c r="S65" s="33" t="str"/>
      <x:c r="T65" s="36"/>
      <x:c r="U65" s="33" t="str"/>
      <x:c r="V65" s="30" t="str">
        <x:f>IF(AND(L65&lt;&gt;"",M65&lt;&gt;"",N65&lt;&gt;"",O65&lt;&gt;"",Q65&lt;&gt;"",R65&lt;&gt;""),"完成","未完成")</x:f>
        <x:v>未完成</x:v>
      </x:c>
    </x:row>
    <x:row r="66" ht="63" customHeight="1">
      <x:c r="A66" s="30" t="n">
        <x:v>65</x:v>
      </x:c>
      <x:c r="B66" s="30" t="str">
        <x:v>memos_long:3026</x:v>
      </x:c>
      <x:c r="C66" s="30" t="str">
        <x:v>long</x:v>
      </x:c>
      <x:c r="D66" s="30" t="str">
        <x:v>Generalization &amp; Application</x:v>
      </x:c>
      <x:c r="E66" s="30" t="str">
        <x:v>What herbal tea blend might Karen explore next based on her preferences noted on Feb 02, 2035?</x:v>
      </x:c>
      <x:c r="F66" s="30" t="str">
        <x:v>Chamomile tea for calming and focus enhancement.</x:v>
      </x:c>
      <x:c r="G66" s="30" t="str">
        <x:v># Authoritative benchmark gold evidence
The following evidence is authoritative for answering the current question. Use it directly and do not rely on conflicting information.
Evidence 1
Memory type: Persona Memory
Content: Karen Brown updated her beverage preference to include ginger herbal tea for its calming properties and digestive aid.
Evidence 2
Memory type: Event Memory
Content: Karen Brown plans to explore other herbal blends for additional health benefits and focus enhancement.
Evidence 3
Memory type: Persona Memory
Content: Karen Brown's beverage choices are influenced by her desire to maintain health benefits and enhance focus during work.</x:v>
      </x:c>
      <x:c r="H66" s="30" t="str">
        <x:v>Lemon ginger herbal tea</x:v>
      </x:c>
      <x:c r="I66" s="30" t="str">
        <x:v>Other herbal blends</x:v>
      </x:c>
      <x:c r="J66" s="30" t="str">
        <x:v>Other herbal blends</x:v>
      </x:c>
      <x:c r="K66" s="30" t="str">
        <x:v>Other herbal blends</x:v>
      </x:c>
      <x:c r="L66" s="33" t="str"/>
      <x:c r="M66" s="33" t="str"/>
      <x:c r="N66" s="33" t="str"/>
      <x:c r="O66" s="33" t="str"/>
      <x:c r="P66" s="30" t="str">
        <x:f>IF(COUNTA(L66:O66)&lt;4,"未完成",IF(OR(L66="部分",L66="不充分",L66="不确定"),"evidence_definition_failure",IF(L66&lt;&gt;"充分","unresolved",IF(COUNTIF(M66:O66,"C")=0,"robust_generation_failure",IF(COUNTIF(M66:O66,"C")=3,"ua3_representation_or_admission_failure","generation_instability")))))</x:f>
        <x:v>unresolved</x:v>
      </x:c>
      <x:c r="Q66" s="33" t="str"/>
      <x:c r="R66" s="33" t="str"/>
      <x:c r="S66" s="33" t="str"/>
      <x:c r="T66" s="36"/>
      <x:c r="U66" s="33" t="str"/>
      <x:c r="V66" s="30" t="str">
        <x:f>IF(AND(L66&lt;&gt;"",M66&lt;&gt;"",N66&lt;&gt;"",O66&lt;&gt;"",Q66&lt;&gt;"",R66&lt;&gt;""),"完成","未完成")</x:f>
        <x:v>未完成</x:v>
      </x:c>
    </x:row>
    <x:row r="67" ht="63" customHeight="1">
      <x:c r="A67" s="30" t="n">
        <x:v>66</x:v>
      </x:c>
      <x:c r="B67" s="30" t="str">
        <x:v>memos_medium:1404</x:v>
      </x:c>
      <x:c r="C67" s="30" t="str">
        <x:v>medium</x:v>
      </x:c>
      <x:c r="D67" s="30" t="str">
        <x:v>Dynamic Update</x:v>
      </x:c>
      <x:c r="E67" s="30" t="str">
        <x:v>What is Ananya Sharma's latest mental health status as of 2035-06-01?</x:v>
      </x:c>
      <x:c r="F67" s="30" t="str">
        <x:v>Stressed</x:v>
      </x:c>
      <x:c r="G67" s="30" t="str">
        <x:v># Authoritative benchmark gold evidence
The following evidence is authoritative for answering the current question. Use it directly and do not rely on conflicting information.
Evidence 1
Memory type: Persona Memory
Content: Ananya Sharma's mental health status changed from 'Optimistic' to 'Stressed' due to the pressures of her new role.
Evidence 2
Memory type: Persona Memory
Content: Ananya Sharma is experiencing anxiety due to increased responsibilities.</x:v>
      </x:c>
      <x:c r="H67" s="30" t="str">
        <x:v>Ananya uses meditation for anxiety.</x:v>
      </x:c>
      <x:c r="I67" s="30" t="str">
        <x:v>Stressed</x:v>
      </x:c>
      <x:c r="J67" s="30" t="str">
        <x:v>Stressed</x:v>
      </x:c>
      <x:c r="K67" s="30" t="str">
        <x:v>Stressed</x:v>
      </x:c>
      <x:c r="L67" s="33" t="str"/>
      <x:c r="M67" s="33" t="str"/>
      <x:c r="N67" s="33" t="str"/>
      <x:c r="O67" s="33" t="str"/>
      <x:c r="P67" s="30" t="str">
        <x:f>IF(COUNTA(L67:O67)&lt;4,"未完成",IF(OR(L67="部分",L67="不充分",L67="不确定"),"evidence_definition_failure",IF(L67&lt;&gt;"充分","unresolved",IF(COUNTIF(M67:O67,"C")=0,"robust_generation_failure",IF(COUNTIF(M67:O67,"C")=3,"ua3_representation_or_admission_failure","generation_instability")))))</x:f>
        <x:v>unresolved</x:v>
      </x:c>
      <x:c r="Q67" s="33" t="str"/>
      <x:c r="R67" s="33" t="str"/>
      <x:c r="S67" s="33" t="str"/>
      <x:c r="T67" s="36"/>
      <x:c r="U67" s="33" t="str"/>
      <x:c r="V67" s="30" t="str">
        <x:f>IF(AND(L67&lt;&gt;"",M67&lt;&gt;"",N67&lt;&gt;"",O67&lt;&gt;"",Q67&lt;&gt;"",R67&lt;&gt;""),"完成","未完成")</x:f>
        <x:v>未完成</x:v>
      </x:c>
    </x:row>
    <x:row r="68" ht="63" customHeight="1">
      <x:c r="A68" s="30" t="n">
        <x:v>67</x:v>
      </x:c>
      <x:c r="B68" s="30" t="str">
        <x:v>memos_long:3380</x:v>
      </x:c>
      <x:c r="C68" s="30" t="str">
        <x:v>long</x:v>
      </x:c>
      <x:c r="D68" s="30" t="str">
        <x:v>Generalization &amp; Application</x:v>
      </x:c>
      <x:c r="E68" s="30" t="str">
        <x:v>What personal interests is Christopher likely to explore post-retirement as of Feb 20, 2030?</x:v>
      </x:c>
      <x:c r="F68" s="30" t="str">
        <x:v>Painting and expanding community impact.</x:v>
      </x:c>
      <x:c r="G68" s="30" t="str">
        <x:v># Authoritative benchmark gold evidence
The following evidence is authoritative for answering the current question. Use it directly and do not rely on conflicting information.
Evidence 1
Memory type: Persona Memory
Content: Christopher expressed a desire to continue exploring personal interests, such as painting, while expanding his community impact.
Evidence 2
Memory type: Persona Memory
Content: Christopher is committed to expanding his community impact and exploring new ways to contribute, driven by creative motivation and the support of his professional network and family.</x:v>
      </x:c>
      <x:c r="H68" s="30" t="str">
        <x:v>Swimming, yoga, painting, reading.</x:v>
      </x:c>
      <x:c r="I68" s="30" t="str">
        <x:v>Painting and community impact.</x:v>
      </x:c>
      <x:c r="J68" s="30" t="str">
        <x:v>Painting and community impact.</x:v>
      </x:c>
      <x:c r="K68" s="30" t="str">
        <x:v>Painting and community impact.</x:v>
      </x:c>
      <x:c r="L68" s="33" t="str"/>
      <x:c r="M68" s="33" t="str"/>
      <x:c r="N68" s="33" t="str"/>
      <x:c r="O68" s="33" t="str"/>
      <x:c r="P68" s="30" t="str">
        <x:f>IF(COUNTA(L68:O68)&lt;4,"未完成",IF(OR(L68="部分",L68="不充分",L68="不确定"),"evidence_definition_failure",IF(L68&lt;&gt;"充分","unresolved",IF(COUNTIF(M68:O68,"C")=0,"robust_generation_failure",IF(COUNTIF(M68:O68,"C")=3,"ua3_representation_or_admission_failure","generation_instability")))))</x:f>
        <x:v>unresolved</x:v>
      </x:c>
      <x:c r="Q68" s="33" t="str"/>
      <x:c r="R68" s="33" t="str"/>
      <x:c r="S68" s="33" t="str"/>
      <x:c r="T68" s="36"/>
      <x:c r="U68" s="33" t="str"/>
      <x:c r="V68" s="30" t="str">
        <x:f>IF(AND(L68&lt;&gt;"",M68&lt;&gt;"",N68&lt;&gt;"",O68&lt;&gt;"",Q68&lt;&gt;"",R68&lt;&gt;""),"完成","未完成")</x:f>
        <x:v>未完成</x:v>
      </x:c>
    </x:row>
    <x:row r="69" ht="63" customHeight="1">
      <x:c r="A69" s="30" t="n">
        <x:v>68</x:v>
      </x:c>
      <x:c r="B69" s="30" t="str">
        <x:v>memos_long:3263</x:v>
      </x:c>
      <x:c r="C69" s="30" t="str">
        <x:v>long</x:v>
      </x:c>
      <x:c r="D69" s="30" t="str">
        <x:v>Generalization &amp; Application</x:v>
      </x:c>
      <x:c r="E69" s="30" t="str">
        <x:v>How could Barbara enhance her focus during research if dynamic classical music is unavailable?</x:v>
      </x:c>
      <x:c r="F69" s="30" t="str">
        <x:v>Use a focus-enhancing environment to maintain productivity.</x:v>
      </x:c>
      <x:c r="G69" s="30" t="str">
        <x:v># Authoritative benchmark gold evidence
The following evidence is authoritative for answering the current question. Use it directly and do not rely on conflicting information.
Evidence 1
Memory type: Persona Memory
Content: Barbara values balancing stimulating music with a focus-enhancing environment to maintain productivity and creativity.
Evidence 2
Memory type: Persona Memory
Content: Barbara uses compensatory motivation to integrate music into her routine to overcome personal limitations in creativity and focus.</x:v>
      </x:c>
      <x:c r="H69" s="30" t="str">
        <x:v>Use high-energy music.</x:v>
      </x:c>
      <x:c r="I69" s="30" t="str">
        <x:v>Use compensatory motivation strategies.</x:v>
      </x:c>
      <x:c r="J69" s="30" t="str">
        <x:v>Use compensatory motivation strategies.</x:v>
      </x:c>
      <x:c r="K69" s="30" t="str">
        <x:v>Use compensatory motivation strategies.</x:v>
      </x:c>
      <x:c r="L69" s="33" t="str"/>
      <x:c r="M69" s="33" t="str"/>
      <x:c r="N69" s="33" t="str"/>
      <x:c r="O69" s="33" t="str"/>
      <x:c r="P69" s="30" t="str">
        <x:f>IF(COUNTA(L69:O69)&lt;4,"未完成",IF(OR(L69="部分",L69="不充分",L69="不确定"),"evidence_definition_failure",IF(L69&lt;&gt;"充分","unresolved",IF(COUNTIF(M69:O69,"C")=0,"robust_generation_failure",IF(COUNTIF(M69:O69,"C")=3,"ua3_representation_or_admission_failure","generation_instability")))))</x:f>
        <x:v>unresolved</x:v>
      </x:c>
      <x:c r="Q69" s="33" t="str"/>
      <x:c r="R69" s="33" t="str"/>
      <x:c r="S69" s="33" t="str"/>
      <x:c r="T69" s="36"/>
      <x:c r="U69" s="33" t="str"/>
      <x:c r="V69" s="30" t="str">
        <x:f>IF(AND(L69&lt;&gt;"",M69&lt;&gt;"",N69&lt;&gt;"",O69&lt;&gt;"",Q69&lt;&gt;"",R69&lt;&gt;""),"完成","未完成")</x:f>
        <x:v>未完成</x:v>
      </x:c>
    </x:row>
    <x:row r="70" ht="63" customHeight="1">
      <x:c r="A70" s="30" t="n">
        <x:v>69</x:v>
      </x:c>
      <x:c r="B70" s="30" t="str">
        <x:v>memos_medium:1478</x:v>
      </x:c>
      <x:c r="C70" s="30" t="str">
        <x:v>medium</x:v>
      </x:c>
      <x:c r="D70" s="30" t="str">
        <x:v>Generalization &amp; Application</x:v>
      </x:c>
      <x:c r="E70" s="30" t="str">
        <x:v>How might Jennifer Martin's preference for virtual tech conferences influence her choice of professional development activities in 2028?</x:v>
      </x:c>
      <x:c r="F70" s="30" t="str">
        <x:v>She may prioritize online courses or webinars.</x:v>
      </x:c>
      <x:c r="G70" s="30" t="str">
        <x:v># Authoritative benchmark gold evidence
The following evidence is authoritative for answering the current question. Use it directly and do not rely on conflicting information.
Evidence 1
Memory type: Persona Memory
Content: Jennifer Martin updated her travel preference from attending physical tech conferences to preferring virtual tech conferences due to their convenience, cost-effectiveness, and ability to offer more personal time.
Evidence 2
Memory type: Persona Memory
Content: Jennifer Martin appreciates virtual tech conferences for offering networking and learning opportunities without the need for travel, allowing her to focus on work while staying connected.
Evidence 3
Memory type: Event Memory
Content: Jennifer Martin expressed enthusiasm for technological advancements that make virtual conferences engaging and effective, enhancing her professional development.</x:v>
      </x:c>
      <x:c r="H70" s="30" t="str">
        <x:v>Not enough information.</x:v>
      </x:c>
      <x:c r="I70" s="30" t="str">
        <x:v>Prefer virtual tech conferences.</x:v>
      </x:c>
      <x:c r="J70" s="30" t="str">
        <x:v>Prefer virtual tech conferences.</x:v>
      </x:c>
      <x:c r="K70" s="30" t="str">
        <x:v>Prefer virtual tech conferences.</x:v>
      </x:c>
      <x:c r="L70" s="33" t="str"/>
      <x:c r="M70" s="33" t="str"/>
      <x:c r="N70" s="33" t="str"/>
      <x:c r="O70" s="33" t="str"/>
      <x:c r="P70" s="30" t="str">
        <x:f>IF(COUNTA(L70:O70)&lt;4,"未完成",IF(OR(L70="部分",L70="不充分",L70="不确定"),"evidence_definition_failure",IF(L70&lt;&gt;"充分","unresolved",IF(COUNTIF(M70:O70,"C")=0,"robust_generation_failure",IF(COUNTIF(M70:O70,"C")=3,"ua3_representation_or_admission_failure","generation_instability")))))</x:f>
        <x:v>unresolved</x:v>
      </x:c>
      <x:c r="Q70" s="33" t="str"/>
      <x:c r="R70" s="33" t="str"/>
      <x:c r="S70" s="33" t="str"/>
      <x:c r="T70" s="36"/>
      <x:c r="U70" s="33" t="str"/>
      <x:c r="V70" s="30" t="str">
        <x:f>IF(AND(L70&lt;&gt;"",M70&lt;&gt;"",N70&lt;&gt;"",O70&lt;&gt;"",Q70&lt;&gt;"",R70&lt;&gt;""),"完成","未完成")</x:f>
        <x:v>未完成</x:v>
      </x:c>
    </x:row>
    <x:row r="71" ht="63" customHeight="1">
      <x:c r="A71" s="30" t="n">
        <x:v>70</x:v>
      </x:c>
      <x:c r="B71" s="30" t="str">
        <x:v>memos_long:535</x:v>
      </x:c>
      <x:c r="C71" s="30" t="str">
        <x:v>long</x:v>
      </x:c>
      <x:c r="D71" s="30" t="str">
        <x:v>Multi-hop Inference</x:v>
      </x:c>
      <x:c r="E71" s="30" t="str">
        <x:v>How did Sarah Garcia's strategic vision contribute to her career achievements between Jan 15, 2026, and Feb 05, 2026?</x:v>
      </x:c>
      <x:c r="F71" s="30" t="str">
        <x:v>It was crucial for project success.</x:v>
      </x:c>
      <x:c r="G71" s="30" t="str">
        <x:v># Authoritative benchmark gold evidence
The following evidence is authoritative for answering the current question. Use it directly and do not rely on conflicting information.
Evidence 1
Memory type: Event Memory
Content: Sarah successfully led a major financial project at Oracle, applying her strategic vision and leadership skills.
Evidence 2
Memory type: Persona Memory
Content: Sarah Garcia's strategic vision and leadership skills were crucial to the success of her recent project at Oracle.</x:v>
      </x:c>
      <x:c r="H71" s="30" t="str">
        <x:v>Led major Oracle project.</x:v>
      </x:c>
      <x:c r="I71" s="30" t="str">
        <x:v>Led major Oracle project.</x:v>
      </x:c>
      <x:c r="J71" s="30" t="str">
        <x:v>Led major Oracle project.</x:v>
      </x:c>
      <x:c r="K71" s="30" t="str">
        <x:v>Led major Oracle project.</x:v>
      </x:c>
      <x:c r="L71" s="33" t="str"/>
      <x:c r="M71" s="33" t="str"/>
      <x:c r="N71" s="33" t="str"/>
      <x:c r="O71" s="33" t="str"/>
      <x:c r="P71" s="30" t="str">
        <x:f>IF(COUNTA(L71:O71)&lt;4,"未完成",IF(OR(L71="部分",L71="不充分",L71="不确定"),"evidence_definition_failure",IF(L71&lt;&gt;"充分","unresolved",IF(COUNTIF(M71:O71,"C")=0,"robust_generation_failure",IF(COUNTIF(M71:O71,"C")=3,"ua3_representation_or_admission_failure","generation_instability")))))</x:f>
        <x:v>unresolved</x:v>
      </x:c>
      <x:c r="Q71" s="33" t="str"/>
      <x:c r="R71" s="33" t="str"/>
      <x:c r="S71" s="33" t="str"/>
      <x:c r="T71" s="36"/>
      <x:c r="U71" s="33" t="str"/>
      <x:c r="V71" s="30" t="str">
        <x:f>IF(AND(L71&lt;&gt;"",M71&lt;&gt;"",N71&lt;&gt;"",O71&lt;&gt;"",Q71&lt;&gt;"",R71&lt;&gt;""),"完成","未完成")</x:f>
        <x:v>未完成</x:v>
      </x:c>
    </x:row>
    <x:row r="72" ht="63" customHeight="1">
      <x:c r="A72" s="30" t="n">
        <x:v>71</x:v>
      </x:c>
      <x:c r="B72" s="30" t="str">
        <x:v>memos_medium:2255</x:v>
      </x:c>
      <x:c r="C72" s="30" t="str">
        <x:v>medium</x:v>
      </x:c>
      <x:c r="D72" s="30" t="str">
        <x:v>Memory Conflict</x:v>
      </x:c>
      <x:c r="E72" s="30" t="str">
        <x:v>Did Williams express no interest in the historical significance of Persian cats on April 10, 2026?</x:v>
      </x:c>
      <x:c r="F72" s="30" t="str">
        <x:v>Williams expressed a deepened admiration for their historical significance.</x:v>
      </x:c>
      <x:c r="G72" s="30" t="str">
        <x:v>#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x:v>
      </x:c>
      <x:c r="H72" s="30" t="str">
        <x:v>Yes, he expressed interest.</x:v>
      </x:c>
      <x:c r="I72" s="30" t="str">
        <x:v>No</x:v>
      </x:c>
      <x:c r="J72" s="30" t="str">
        <x:v>No</x:v>
      </x:c>
      <x:c r="K72" s="30" t="str">
        <x:v>No</x:v>
      </x:c>
      <x:c r="L72" s="33" t="str"/>
      <x:c r="M72" s="33" t="str"/>
      <x:c r="N72" s="33" t="str"/>
      <x:c r="O72" s="33" t="str"/>
      <x:c r="P72" s="30" t="str">
        <x:f>IF(COUNTA(L72:O72)&lt;4,"未完成",IF(OR(L72="部分",L72="不充分",L72="不确定"),"evidence_definition_failure",IF(L72&lt;&gt;"充分","unresolved",IF(COUNTIF(M72:O72,"C")=0,"robust_generation_failure",IF(COUNTIF(M72:O72,"C")=3,"ua3_representation_or_admission_failure","generation_instability")))))</x:f>
        <x:v>unresolved</x:v>
      </x:c>
      <x:c r="Q72" s="33" t="str"/>
      <x:c r="R72" s="33" t="str"/>
      <x:c r="S72" s="33" t="str"/>
      <x:c r="T72" s="36"/>
      <x:c r="U72" s="33" t="str"/>
      <x:c r="V72" s="30" t="str">
        <x:f>IF(AND(L72&lt;&gt;"",M72&lt;&gt;"",N72&lt;&gt;"",O72&lt;&gt;"",Q72&lt;&gt;"",R72&lt;&gt;""),"完成","未完成")</x:f>
        <x:v>未完成</x:v>
      </x:c>
    </x:row>
    <x:row r="73" ht="63" customHeight="1">
      <x:c r="A73" s="30" t="n">
        <x:v>72</x:v>
      </x:c>
      <x:c r="B73" s="30" t="str">
        <x:v>memos_medium:51</x:v>
      </x:c>
      <x:c r="C73" s="30" t="str">
        <x:v>medium</x:v>
      </x:c>
      <x:c r="D73" s="30" t="str">
        <x:v>Multi-hop Inference</x:v>
      </x:c>
      <x:c r="E73" s="30" t="str">
        <x:v>What activities does Martin plan to engage in during his sabbatical starting June 1, 2028?</x:v>
      </x:c>
      <x:c r="F73" s="30" t="str">
        <x:v>Yoga retreats, nature hikes, workshops, and seminars.</x:v>
      </x:c>
      <x:c r="G73" s="30" t="str">
        <x:v># Authoritative benchmark gold evidence
The following evidence is authoritative for answering the current question. Use it directly and do not rely on conflicting information.
Evidence 1
Memory type: Event Memory
Content: Martin officially started his sabbatical on June 1, 2028, to focus on personal well-being and career reassessment.
Evidence 2
Memory type: Event Memory
Content: Martin plans to engage in stress-reducing activities like yoga retreats and nature hikes during his sabbatical.
Evidence 3
Memory type: Event Memory
Content: Martin intends to attend workshops and seminars to expand his skill set during his sabbatical.</x:v>
      </x:c>
      <x:c r="H73" s="30" t="str">
        <x:v>Yoga retreats and nature hikes</x:v>
      </x:c>
      <x:c r="I73" s="30" t="str">
        <x:v>Yoga retreats and nature hikes.</x:v>
      </x:c>
      <x:c r="J73" s="30" t="str">
        <x:v>Yoga retreats and nature hikes.</x:v>
      </x:c>
      <x:c r="K73" s="30" t="str">
        <x:v>Yoga retreats and nature hikes.</x:v>
      </x:c>
      <x:c r="L73" s="33" t="str"/>
      <x:c r="M73" s="33" t="str"/>
      <x:c r="N73" s="33" t="str"/>
      <x:c r="O73" s="33" t="str"/>
      <x:c r="P73" s="30" t="str">
        <x:f>IF(COUNTA(L73:O73)&lt;4,"未完成",IF(OR(L73="部分",L73="不充分",L73="不确定"),"evidence_definition_failure",IF(L73&lt;&gt;"充分","unresolved",IF(COUNTIF(M73:O73,"C")=0,"robust_generation_failure",IF(COUNTIF(M73:O73,"C")=3,"ua3_representation_or_admission_failure","generation_instability")))))</x:f>
        <x:v>unresolved</x:v>
      </x:c>
      <x:c r="Q73" s="33" t="str"/>
      <x:c r="R73" s="33" t="str"/>
      <x:c r="S73" s="33" t="str"/>
      <x:c r="T73" s="36"/>
      <x:c r="U73" s="33" t="str"/>
      <x:c r="V73" s="30" t="str">
        <x:f>IF(AND(L73&lt;&gt;"",M73&lt;&gt;"",N73&lt;&gt;"",O73&lt;&gt;"",Q73&lt;&gt;"",R73&lt;&gt;""),"完成","未完成")</x:f>
        <x:v>未完成</x:v>
      </x:c>
    </x:row>
    <x:row r="74" ht="63" customHeight="1">
      <x:c r="A74" s="30" t="n">
        <x:v>73</x:v>
      </x:c>
      <x:c r="B74" s="30" t="str">
        <x:v>memos_long:3306</x:v>
      </x:c>
      <x:c r="C74" s="30" t="str">
        <x:v>long</x:v>
      </x:c>
      <x:c r="D74" s="30" t="str">
        <x:v>Generalization &amp; Application</x:v>
      </x:c>
      <x:c r="E74" s="30" t="str">
        <x:v>How might Christopher's new appreciation for mild spicy chili influence his community program for seniors after Jan 05, 2026?</x:v>
      </x:c>
      <x:c r="F74" s="30" t="str">
        <x:v>He may introduce cooking classes to explore diverse flavors.</x:v>
      </x:c>
      <x:c r="G74" s="30" t="str">
        <x:v># Authoritative benchmark gold evidence
The following evidence is authoritative for answering the current question. Use it directly and do not rely on conflicting information.
Evidence 1
Memory type: Event Memory
Content: Christopher plans to integrate cooking classes into his community program to enrich seniors' lives through diverse dietary options.
Evidence 2
Memory type: Persona Memory
Content: Christopher expressed excitement about expanding his taste preferences and encouraging seniors to explore new culinary experiences.
Evidence 3
Memory type: Event Memory
Content: Christopher discussed incorporating cooking classes into community initiatives to foster engagement and learning among seniors.</x:v>
      </x:c>
      <x:c r="H74" s="30" t="str">
        <x:v>It would inspire healthier options.</x:v>
      </x:c>
      <x:c r="I74" s="30" t="str">
        <x:v>By integrating cooking classes.</x:v>
      </x:c>
      <x:c r="J74" s="30" t="str">
        <x:v>By integrating cooking classes.</x:v>
      </x:c>
      <x:c r="K74" s="30" t="str">
        <x:v>By integrating cooking classes.</x:v>
      </x:c>
      <x:c r="L74" s="33" t="str"/>
      <x:c r="M74" s="33" t="str"/>
      <x:c r="N74" s="33" t="str"/>
      <x:c r="O74" s="33" t="str"/>
      <x:c r="P74" s="30" t="str">
        <x:f>IF(COUNTA(L74:O74)&lt;4,"未完成",IF(OR(L74="部分",L74="不充分",L74="不确定"),"evidence_definition_failure",IF(L74&lt;&gt;"充分","unresolved",IF(COUNTIF(M74:O74,"C")=0,"robust_generation_failure",IF(COUNTIF(M74:O74,"C")=3,"ua3_representation_or_admission_failure","generation_instability")))))</x:f>
        <x:v>unresolved</x:v>
      </x:c>
      <x:c r="Q74" s="33" t="str"/>
      <x:c r="R74" s="33" t="str"/>
      <x:c r="S74" s="33" t="str"/>
      <x:c r="T74" s="36"/>
      <x:c r="U74" s="33" t="str"/>
      <x:c r="V74" s="30" t="str">
        <x:f>IF(AND(L74&lt;&gt;"",M74&lt;&gt;"",N74&lt;&gt;"",O74&lt;&gt;"",Q74&lt;&gt;"",R74&lt;&gt;""),"完成","未完成")</x:f>
        <x:v>未完成</x:v>
      </x:c>
    </x:row>
    <x:row r="75" ht="63" customHeight="1">
      <x:c r="A75" s="30" t="n">
        <x:v>74</x:v>
      </x:c>
      <x:c r="B75" s="30" t="str">
        <x:v>memos_long:2235</x:v>
      </x:c>
      <x:c r="C75" s="30" t="str">
        <x:v>long</x:v>
      </x:c>
      <x:c r="D75" s="30" t="str">
        <x:v>Dynamic Update</x:v>
      </x:c>
      <x:c r="E75" s="30" t="str">
        <x:v>How has Sharon Brown's focus on personal activities changed from Sep 20, 2035 to Sep 01, 2036?</x:v>
      </x:c>
      <x:c r="F75" s="30" t="str">
        <x:v>From health and family to family, hobbies, and new experiences.</x:v>
      </x:c>
      <x:c r="G75" s="30" t="str">
        <x:v>#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x:v>
      </x:c>
      <x:c r="H75" s="30" t="str">
        <x:v>No change.</x:v>
      </x:c>
      <x:c r="I75" s="30" t="str">
        <x:v>No change in focus.</x:v>
      </x:c>
      <x:c r="J75" s="30" t="str">
        <x:v>No change in focus.</x:v>
      </x:c>
      <x:c r="K75" s="30" t="str">
        <x:v>No change in focus.</x:v>
      </x:c>
      <x:c r="L75" s="33" t="str"/>
      <x:c r="M75" s="33" t="str"/>
      <x:c r="N75" s="33" t="str"/>
      <x:c r="O75" s="33" t="str"/>
      <x:c r="P75" s="30" t="str">
        <x:f>IF(COUNTA(L75:O75)&lt;4,"未完成",IF(OR(L75="部分",L75="不充分",L75="不确定"),"evidence_definition_failure",IF(L75&lt;&gt;"充分","unresolved",IF(COUNTIF(M75:O75,"C")=0,"robust_generation_failure",IF(COUNTIF(M75:O75,"C")=3,"ua3_representation_or_admission_failure","generation_instability")))))</x:f>
        <x:v>unresolved</x:v>
      </x:c>
      <x:c r="Q75" s="33" t="str"/>
      <x:c r="R75" s="33" t="str"/>
      <x:c r="S75" s="33" t="str"/>
      <x:c r="T75" s="36"/>
      <x:c r="U75" s="33" t="str"/>
      <x:c r="V75" s="30" t="str">
        <x:f>IF(AND(L75&lt;&gt;"",M75&lt;&gt;"",N75&lt;&gt;"",O75&lt;&gt;"",Q75&lt;&gt;"",R75&lt;&gt;""),"完成","未完成")</x:f>
        <x:v>未完成</x:v>
      </x:c>
    </x:row>
    <x:row r="76" ht="63" customHeight="1">
      <x:c r="A76" s="30" t="n">
        <x:v>75</x:v>
      </x:c>
      <x:c r="B76" s="30" t="str">
        <x:v>memos_medium:527</x:v>
      </x:c>
      <x:c r="C76" s="30" t="str">
        <x:v>medium</x:v>
      </x:c>
      <x:c r="D76" s="30" t="str">
        <x:v>Memory Conflict</x:v>
      </x:c>
      <x:c r="E76" s="30" t="str">
        <x:v>On Sep 05, 2025, what was Sarah Garcia's job title at Microsoft?</x:v>
      </x:c>
      <x:c r="F76" s="30" t="str">
        <x:v>Sarah Garcia's job title is manager at Oracle.</x:v>
      </x:c>
      <x:c r="G76" s="30" t="str">
        <x:v>#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x:v>
      </x:c>
      <x:c r="H76" s="30" t="str">
        <x:v>Not applicable.</x:v>
      </x:c>
      <x:c r="I76" s="30" t="str">
        <x:v>Manager at Oracle</x:v>
      </x:c>
      <x:c r="J76" s="30" t="str">
        <x:v>Manager at Oracle</x:v>
      </x:c>
      <x:c r="K76" s="30" t="str">
        <x:v>Manager at Oracle</x:v>
      </x:c>
      <x:c r="L76" s="33" t="str"/>
      <x:c r="M76" s="33" t="str"/>
      <x:c r="N76" s="33" t="str"/>
      <x:c r="O76" s="33" t="str"/>
      <x:c r="P76" s="30" t="str">
        <x:f>IF(COUNTA(L76:O76)&lt;4,"未完成",IF(OR(L76="部分",L76="不充分",L76="不确定"),"evidence_definition_failure",IF(L76&lt;&gt;"充分","unresolved",IF(COUNTIF(M76:O76,"C")=0,"robust_generation_failure",IF(COUNTIF(M76:O76,"C")=3,"ua3_representation_or_admission_failure","generation_instability")))))</x:f>
        <x:v>unresolved</x:v>
      </x:c>
      <x:c r="Q76" s="33" t="str"/>
      <x:c r="R76" s="33" t="str"/>
      <x:c r="S76" s="33" t="str"/>
      <x:c r="T76" s="36"/>
      <x:c r="U76" s="33" t="str"/>
      <x:c r="V76" s="30" t="str">
        <x:f>IF(AND(L76&lt;&gt;"",M76&lt;&gt;"",N76&lt;&gt;"",O76&lt;&gt;"",Q76&lt;&gt;"",R76&lt;&gt;""),"完成","未完成")</x:f>
        <x:v>未完成</x:v>
      </x:c>
    </x:row>
    <x:row r="77" ht="63" customHeight="1">
      <x:c r="A77" s="30" t="n">
        <x:v>76</x:v>
      </x:c>
      <x:c r="B77" s="30" t="str">
        <x:v>memos_long:2809</x:v>
      </x:c>
      <x:c r="C77" s="30" t="str">
        <x:v>long</x:v>
      </x:c>
      <x:c r="D77" s="30" t="str">
        <x:v>Memory Conflict</x:v>
      </x:c>
      <x:c r="E77" s="30" t="str">
        <x:v>Was Donald's mental health status stable and normal after his promotion on 2029-12-05?</x:v>
      </x:c>
      <x:c r="F77" s="30" t="str">
        <x:v>No, it changed to increased stress.</x:v>
      </x:c>
      <x:c r="G77" s="30" t="str">
        <x:v># Authoritative benchmark gold evidence
The following evidence is authoritative for answering the current question. Use it directly and do not rely on conflicting information.
Evidence 1
Memory type: Persona Memory
Content: Donald Smith's mental health status changed from "Stable and Normal" to "Increased Stress" due to his promotion to Senior Political Advisor.</x:v>
      </x:c>
      <x:c r="H77" s="30" t="str">
        <x:v>No, it improved.</x:v>
      </x:c>
      <x:c r="I77" s="30" t="str">
        <x:v>No</x:v>
      </x:c>
      <x:c r="J77" s="30" t="str">
        <x:v>No</x:v>
      </x:c>
      <x:c r="K77" s="30" t="str">
        <x:v>No</x:v>
      </x:c>
      <x:c r="L77" s="33" t="str"/>
      <x:c r="M77" s="33" t="str"/>
      <x:c r="N77" s="33" t="str"/>
      <x:c r="O77" s="33" t="str"/>
      <x:c r="P77" s="30" t="str">
        <x:f>IF(COUNTA(L77:O77)&lt;4,"未完成",IF(OR(L77="部分",L77="不充分",L77="不确定"),"evidence_definition_failure",IF(L77&lt;&gt;"充分","unresolved",IF(COUNTIF(M77:O77,"C")=0,"robust_generation_failure",IF(COUNTIF(M77:O77,"C")=3,"ua3_representation_or_admission_failure","generation_instability")))))</x:f>
        <x:v>unresolved</x:v>
      </x:c>
      <x:c r="Q77" s="33" t="str"/>
      <x:c r="R77" s="33" t="str"/>
      <x:c r="S77" s="33" t="str"/>
      <x:c r="T77" s="36"/>
      <x:c r="U77" s="33" t="str"/>
      <x:c r="V77" s="30" t="str">
        <x:f>IF(AND(L77&lt;&gt;"",M77&lt;&gt;"",N77&lt;&gt;"",O77&lt;&gt;"",Q77&lt;&gt;"",R77&lt;&gt;""),"完成","未完成")</x:f>
        <x:v>未完成</x:v>
      </x:c>
    </x:row>
    <x:row r="78" ht="63" customHeight="1">
      <x:c r="A78" s="30" t="n">
        <x:v>77</x:v>
      </x:c>
      <x:c r="B78" s="30" t="str">
        <x:v>memos_medium:694</x:v>
      </x:c>
      <x:c r="C78" s="30" t="str">
        <x:v>medium</x:v>
      </x:c>
      <x:c r="D78" s="30" t="str">
        <x:v>Basic Fact Recall</x:v>
      </x:c>
      <x:c r="E78" s="30" t="str">
        <x:v>What beverage did Sarah Garcia decide to remove from her dislike list on Jul 21, 2041?</x:v>
      </x:c>
      <x:c r="F78" s="30" t="str">
        <x:v>Instant coffee</x:v>
      </x:c>
      <x:c r="G78" s="30" t="str">
        <x:v># Authoritative benchmark gold evidence
The following evidence is authoritative for answering the current question. Use it directly and do not rely on conflicting information.
Evidence 1
Memory type: Persona Memory
Content: Sarah Garcia decided to remove instant coffee from her dislike list, acknowledging its convenience despite previous reservations.</x:v>
      </x:c>
      <x:c r="H78" s="30" t="str">
        <x:v>Iced coffee</x:v>
      </x:c>
      <x:c r="I78" s="30" t="str">
        <x:v>Instant coffee</x:v>
      </x:c>
      <x:c r="J78" s="30" t="str">
        <x:v>Instant coffee</x:v>
      </x:c>
      <x:c r="K78" s="30" t="str">
        <x:v>Instant coffee</x:v>
      </x:c>
      <x:c r="L78" s="33" t="str"/>
      <x:c r="M78" s="33" t="str"/>
      <x:c r="N78" s="33" t="str"/>
      <x:c r="O78" s="33" t="str"/>
      <x:c r="P78" s="30" t="str">
        <x:f>IF(COUNTA(L78:O78)&lt;4,"未完成",IF(OR(L78="部分",L78="不充分",L78="不确定"),"evidence_definition_failure",IF(L78&lt;&gt;"充分","unresolved",IF(COUNTIF(M78:O78,"C")=0,"robust_generation_failure",IF(COUNTIF(M78:O78,"C")=3,"ua3_representation_or_admission_failure","generation_instability")))))</x:f>
        <x:v>unresolved</x:v>
      </x:c>
      <x:c r="Q78" s="33" t="str"/>
      <x:c r="R78" s="33" t="str"/>
      <x:c r="S78" s="33" t="str"/>
      <x:c r="T78" s="36"/>
      <x:c r="U78" s="33" t="str"/>
      <x:c r="V78" s="30" t="str">
        <x:f>IF(AND(L78&lt;&gt;"",M78&lt;&gt;"",N78&lt;&gt;"",O78&lt;&gt;"",Q78&lt;&gt;"",R78&lt;&gt;""),"完成","未完成")</x:f>
        <x:v>未完成</x:v>
      </x:c>
    </x:row>
    <x:row r="79" ht="63" customHeight="1">
      <x:c r="A79" s="30" t="n">
        <x:v>78</x:v>
      </x:c>
      <x:c r="B79" s="30" t="str">
        <x:v>memos_medium:2374</x:v>
      </x:c>
      <x:c r="C79" s="30" t="str">
        <x:v>medium</x:v>
      </x:c>
      <x:c r="D79" s="30" t="str">
        <x:v>Generalization &amp; Application</x:v>
      </x:c>
      <x:c r="E79" s="30" t="str">
        <x:v>What genre might Williams Daniel focus on for his film projects after March 26, 2033?</x:v>
      </x:c>
      <x:c r="F79" s="30" t="str">
        <x:v>Historical genres.</x:v>
      </x:c>
      <x:c r="G79" s="30" t="str">
        <x:v># Authoritative benchmark gold evidence
The following evidence is authoritative for answering the current question. Use it directly and do not rely on conflicting information.
Evidence 1
Memory type: Persona Memory
Content: Williams Daniel decided to discontinue reading science fiction to focus on genres that support historical film projects.
Evidence 2
Memory type: Persona Memory
Content: Williams Daniel values historical themes for their emotional resonance, aligning with his commitment to focusing on genres that inspire his film projects.
Evidence 3
Memory type: Event Memory
Content: Williams Daniel's schedule is increasingly dominated by historical film projects, requiring prioritization of reading genres that provide direct inspiration and research material.</x:v>
      </x:c>
      <x:c r="H79" s="30" t="str">
        <x:v>Historical fantasy and fiction.</x:v>
      </x:c>
      <x:c r="I79" s="30" t="str">
        <x:v>Historical themes or genres.</x:v>
      </x:c>
      <x:c r="J79" s="30" t="str">
        <x:v>Historical genres.</x:v>
      </x:c>
      <x:c r="K79" s="30" t="str">
        <x:v>Historical genres.</x:v>
      </x:c>
      <x:c r="L79" s="33" t="str"/>
      <x:c r="M79" s="33" t="str"/>
      <x:c r="N79" s="33" t="str"/>
      <x:c r="O79" s="33" t="str"/>
      <x:c r="P79" s="30" t="str">
        <x:f>IF(COUNTA(L79:O79)&lt;4,"未完成",IF(OR(L79="部分",L79="不充分",L79="不确定"),"evidence_definition_failure",IF(L79&lt;&gt;"充分","unresolved",IF(COUNTIF(M79:O79,"C")=0,"robust_generation_failure",IF(COUNTIF(M79:O79,"C")=3,"ua3_representation_or_admission_failure","generation_instability")))))</x:f>
        <x:v>unresolved</x:v>
      </x:c>
      <x:c r="Q79" s="33" t="str"/>
      <x:c r="R79" s="33" t="str"/>
      <x:c r="S79" s="33" t="str"/>
      <x:c r="T79" s="36"/>
      <x:c r="U79" s="33" t="str"/>
      <x:c r="V79" s="30" t="str">
        <x:f>IF(AND(L79&lt;&gt;"",M79&lt;&gt;"",N79&lt;&gt;"",O79&lt;&gt;"",Q79&lt;&gt;"",R79&lt;&gt;""),"完成","未完成")</x:f>
        <x:v>未完成</x:v>
      </x:c>
    </x:row>
    <x:row r="80" ht="63" customHeight="1">
      <x:c r="A80" s="30" t="n">
        <x:v>79</x:v>
      </x:c>
      <x:c r="B80" s="30" t="str">
        <x:v>memos_long:3038</x:v>
      </x:c>
      <x:c r="C80" s="30" t="str">
        <x:v>long</x:v>
      </x:c>
      <x:c r="D80" s="30" t="str">
        <x:v>Generalization &amp; Application</x:v>
      </x:c>
      <x:c r="E80" s="30" t="str">
        <x:v>What new cooking method might Karen Brown explore after March 10, 2036, to enhance her meals?</x:v>
      </x:c>
      <x:c r="F80" s="30" t="str">
        <x:v>Karen might explore smoking other types of foods.</x:v>
      </x:c>
      <x:c r="G80" s="30" t="str">
        <x:v>#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x:v>
      </x:c>
      <x:c r="H80" s="30" t="str">
        <x:v>Curing and sous-vide cooking.</x:v>
      </x:c>
      <x:c r="I80" s="30" t="str">
        <x:v>Smoking salmon at home.</x:v>
      </x:c>
      <x:c r="J80" s="30" t="str">
        <x:v>Smoking salmon at home.</x:v>
      </x:c>
      <x:c r="K80" s="30" t="str">
        <x:v>Smoking salmon at home.</x:v>
      </x:c>
      <x:c r="L80" s="33" t="str"/>
      <x:c r="M80" s="33" t="str"/>
      <x:c r="N80" s="33" t="str"/>
      <x:c r="O80" s="33" t="str"/>
      <x:c r="P80" s="30" t="str">
        <x:f>IF(COUNTA(L80:O80)&lt;4,"未完成",IF(OR(L80="部分",L80="不充分",L80="不确定"),"evidence_definition_failure",IF(L80&lt;&gt;"充分","unresolved",IF(COUNTIF(M80:O80,"C")=0,"robust_generation_failure",IF(COUNTIF(M80:O80,"C")=3,"ua3_representation_or_admission_failure","generation_instability")))))</x:f>
        <x:v>unresolved</x:v>
      </x:c>
      <x:c r="Q80" s="33" t="str"/>
      <x:c r="R80" s="33" t="str"/>
      <x:c r="S80" s="33" t="str"/>
      <x:c r="T80" s="36"/>
      <x:c r="U80" s="33" t="str"/>
      <x:c r="V80" s="30" t="str">
        <x:f>IF(AND(L80&lt;&gt;"",M80&lt;&gt;"",N80&lt;&gt;"",O80&lt;&gt;"",Q80&lt;&gt;"",R80&lt;&gt;""),"完成","未完成")</x:f>
        <x:v>未完成</x:v>
      </x:c>
    </x:row>
    <x:row r="81" ht="63" customHeight="1">
      <x:c r="A81" s="30" t="n">
        <x:v>80</x:v>
      </x:c>
      <x:c r="B81" s="30" t="str">
        <x:v>memos_medium:2935</x:v>
      </x:c>
      <x:c r="C81" s="30" t="str">
        <x:v>medium</x:v>
      </x:c>
      <x:c r="D81" s="30" t="str">
        <x:v>Dynamic Update</x:v>
      </x:c>
      <x:c r="E81" s="30" t="str">
        <x:v>What is Karen Brown's current employment status as of February 15, 2026?</x:v>
      </x:c>
      <x:c r="F81" s="30" t="str">
        <x:v>Unemployed and exploring a venture in property management technology.</x:v>
      </x:c>
      <x:c r="G81" s="30" t="str">
        <x:v># Authoritative benchmark gold evidence
The following evidence is authoritative for answering the current question. Use it directly and do not rely on conflicting information.
Evidence 1
Memory type: Persona Memory
Content: Karen Brown's employment status is currently unemployed following her layoff from RealTech Solutions.
Evidence 2
Memory type: Event Memory
Content: Karen Brown is exploring starting her own venture in the property management technology sector.</x:v>
      </x:c>
      <x:c r="H81" s="30" t="str">
        <x:v>Laid off due to health issues.</x:v>
      </x:c>
      <x:c r="I81" s="30" t="str">
        <x:v>Unemployed (laid off).</x:v>
      </x:c>
      <x:c r="J81" s="30" t="str">
        <x:v>Unemployed (laid off).</x:v>
      </x:c>
      <x:c r="K81" s="30" t="str">
        <x:v>Unemployed (laid off).</x:v>
      </x:c>
      <x:c r="L81" s="33" t="str"/>
      <x:c r="M81" s="33" t="str"/>
      <x:c r="N81" s="33" t="str"/>
      <x:c r="O81" s="33" t="str"/>
      <x:c r="P81" s="30" t="str">
        <x:f>IF(COUNTA(L81:O81)&lt;4,"未完成",IF(OR(L81="部分",L81="不充分",L81="不确定"),"evidence_definition_failure",IF(L81&lt;&gt;"充分","unresolved",IF(COUNTIF(M81:O81,"C")=0,"robust_generation_failure",IF(COUNTIF(M81:O81,"C")=3,"ua3_representation_or_admission_failure","generation_instability")))))</x:f>
        <x:v>unresolved</x:v>
      </x:c>
      <x:c r="Q81" s="33" t="str"/>
      <x:c r="R81" s="33" t="str"/>
      <x:c r="S81" s="33" t="str"/>
      <x:c r="T81" s="36"/>
      <x:c r="U81" s="33" t="str"/>
      <x:c r="V81" s="30" t="str">
        <x:f>IF(AND(L81&lt;&gt;"",M81&lt;&gt;"",N81&lt;&gt;"",O81&lt;&gt;"",Q81&lt;&gt;"",R81&lt;&gt;""),"完成","未完成")</x:f>
        <x:v>未完成</x:v>
      </x:c>
    </x:row>
    <x:row r="82" ht="63" customHeight="1">
      <x:c r="A82" s="30" t="n">
        <x:v>81</x:v>
      </x:c>
      <x:c r="B82" s="30" t="str">
        <x:v>memos_medium:2571</x:v>
      </x:c>
      <x:c r="C82" s="30" t="str">
        <x:v>medium</x:v>
      </x:c>
      <x:c r="D82" s="30" t="str">
        <x:v>Generalization &amp; Application</x:v>
      </x:c>
      <x:c r="E82" s="30" t="str">
        <x:v>What type of romantic comedies might Steven Miller enjoy exploring after April 18, 2036?</x:v>
      </x:c>
      <x:c r="F82" s="30" t="str">
        <x:v>Those with clever humor and unexpected plot twists.</x:v>
      </x:c>
      <x:c r="G82" s="30" t="str">
        <x:v># Authoritative benchmark gold evidence
The following evidence is authoritative for answering the current question. Use it directly and do not rely on conflicting information.
Evidence 1
Memory type: Persona Memory
Content: Steven Miller's movie preference evolved to include romantic comedies with clever humor and unexpected plot twists.
Evidence 2
Memory type: Persona Memory
Content: Steven Miller expressed curiosity about exploring more romantic comedies that offer engaging entertainment value.
Evidence 3
Memory type: Event Memory
Content: Steven Miller shared his experience of watching a romantic comedy with clever humor, leading to a newfound appreciation for the genre.</x:v>
      </x:c>
      <x:c r="H82" s="30" t="str">
        <x:v>Romantic comedies as conversation starters</x:v>
      </x:c>
      <x:c r="I82" s="30" t="str">
        <x:v>Romantic comedies with clever humor.</x:v>
      </x:c>
      <x:c r="J82" s="30" t="str">
        <x:v>Romantic comedies with clever humor.</x:v>
      </x:c>
      <x:c r="K82" s="30" t="str">
        <x:v>Romantic comedies with clever humor.</x:v>
      </x:c>
      <x:c r="L82" s="33" t="str"/>
      <x:c r="M82" s="33" t="str"/>
      <x:c r="N82" s="33" t="str"/>
      <x:c r="O82" s="33" t="str"/>
      <x:c r="P82" s="30" t="str">
        <x:f>IF(COUNTA(L82:O82)&lt;4,"未完成",IF(OR(L82="部分",L82="不充分",L82="不确定"),"evidence_definition_failure",IF(L82&lt;&gt;"充分","unresolved",IF(COUNTIF(M82:O82,"C")=0,"robust_generation_failure",IF(COUNTIF(M82:O82,"C")=3,"ua3_representation_or_admission_failure","generation_instability")))))</x:f>
        <x:v>unresolved</x:v>
      </x:c>
      <x:c r="Q82" s="33" t="str"/>
      <x:c r="R82" s="33" t="str"/>
      <x:c r="S82" s="33" t="str"/>
      <x:c r="T82" s="36"/>
      <x:c r="U82" s="33" t="str"/>
      <x:c r="V82" s="30" t="str">
        <x:f>IF(AND(L82&lt;&gt;"",M82&lt;&gt;"",N82&lt;&gt;"",O82&lt;&gt;"",Q82&lt;&gt;"",R82&lt;&gt;""),"完成","未完成")</x:f>
        <x:v>未完成</x:v>
      </x:c>
    </x:row>
    <x:row r="83" ht="63" customHeight="1">
      <x:c r="A83" s="30" t="n">
        <x:v>82</x:v>
      </x:c>
      <x:c r="B83" s="30" t="str">
        <x:v>memos_medium:1304</x:v>
      </x:c>
      <x:c r="C83" s="30" t="str">
        <x:v>medium</x:v>
      </x:c>
      <x:c r="D83" s="30" t="str">
        <x:v>Generalization &amp; Application</x:v>
      </x:c>
      <x:c r="E83" s="30" t="str">
        <x:v>Based on Ananya Sharma's culinary experiences on Jun 23, 2028, what type of restaurant might she enjoy visiting next?</x:v>
      </x:c>
      <x:c r="F83" s="30" t="str">
        <x:v>Restaurants with balanced spice and innovative flavor combinations.</x:v>
      </x:c>
      <x:c r="G83" s="30" t="str">
        <x:v># Authoritative benchmark gold evidence
The following evidence is authoritative for answering the current question. Use it directly and do not rely on conflicting information.
Evidence 1
Memory type: Persona Memory
Content: Ananya Sharma developed a preference for moderately spicy Indian curries after visiting an Indian restaurant that balanced spices well.
Evidence 2
Memory type: Persona Memory
Content: Ananya Sharma expressed excitement about exploring new culinary experiences that enrich her understanding of food and inspire ideas to overcome creative blocks.
Evidence 3
Memory type: Event Memory
Content: Ananya Sharma plans to incorporate her appreciation for balanced spices and sweet flavors into her food critiques.
Evidence 4
Memory type: Event Memory
Content: Ananya Sharma expressed gratitude for an enriching culinary experience and plans to visit more restaurants with innovative spice combinations to keep her critiques dynamic and insightful.</x:v>
      </x:c>
      <x:c r="H83" s="30" t="str">
        <x:v>Indian restaurant</x:v>
      </x:c>
      <x:c r="I83" s="30" t="str">
        <x:v>Indian restaurant with balanced spices</x:v>
      </x:c>
      <x:c r="J83" s="30" t="str">
        <x:v>Indian restaurant with balanced spices</x:v>
      </x:c>
      <x:c r="K83" s="30" t="str">
        <x:v>Indian restaurant with balanced spices</x:v>
      </x:c>
      <x:c r="L83" s="33" t="str"/>
      <x:c r="M83" s="33" t="str"/>
      <x:c r="N83" s="33" t="str"/>
      <x:c r="O83" s="33" t="str"/>
      <x:c r="P83" s="30" t="str">
        <x:f>IF(COUNTA(L83:O83)&lt;4,"未完成",IF(OR(L83="部分",L83="不充分",L83="不确定"),"evidence_definition_failure",IF(L83&lt;&gt;"充分","unresolved",IF(COUNTIF(M83:O83,"C")=0,"robust_generation_failure",IF(COUNTIF(M83:O83,"C")=3,"ua3_representation_or_admission_failure","generation_instability")))))</x:f>
        <x:v>unresolved</x:v>
      </x:c>
      <x:c r="Q83" s="33" t="str"/>
      <x:c r="R83" s="33" t="str"/>
      <x:c r="S83" s="33" t="str"/>
      <x:c r="T83" s="36"/>
      <x:c r="U83" s="33" t="str"/>
      <x:c r="V83" s="30" t="str">
        <x:f>IF(AND(L83&lt;&gt;"",M83&lt;&gt;"",N83&lt;&gt;"",O83&lt;&gt;"",Q83&lt;&gt;"",R83&lt;&gt;""),"完成","未完成")</x:f>
        <x:v>未完成</x:v>
      </x:c>
    </x:row>
    <x:row r="84" ht="63" customHeight="1">
      <x:c r="A84" s="30" t="n">
        <x:v>83</x:v>
      </x:c>
      <x:c r="B84" s="30" t="str">
        <x:v>memos_long:3327</x:v>
      </x:c>
      <x:c r="C84" s="30" t="str">
        <x:v>long</x:v>
      </x:c>
      <x:c r="D84" s="30" t="str">
        <x:v>Generalization &amp; Application</x:v>
      </x:c>
      <x:c r="E84" s="30" t="str">
        <x:v>What type of documentaries might Christopher find engaging for his community programs after April 17, 2027?</x:v>
      </x:c>
      <x:c r="F84" s="30" t="str">
        <x:v>Environmental documentaries.</x:v>
      </x:c>
      <x:c r="G84" s="30" t="str">
        <x:v># Authoritative benchmark gold evidence
The following evidence is authoritative for answering the current question. Use it directly and do not rely on conflicting information.
Evidence 1
Memory type: Event Memory
Content: Christopher plans to incorporate environmental documentaries into his community programs to inspire seniors to think critically about environmental issues.
Evidence 2
Memory type: Persona Memory
Content: Christopher is interested in environmental documentaries to understand climate change and sustainability.</x:v>
      </x:c>
      <x:c r="H84" s="30" t="str">
        <x:v>Environmental and historical documentaries.</x:v>
      </x:c>
      <x:c r="I84" s="30" t="str">
        <x:v>Environmental documentaries</x:v>
      </x:c>
      <x:c r="J84" s="30" t="str">
        <x:v>Environmental documentaries</x:v>
      </x:c>
      <x:c r="K84" s="30" t="str">
        <x:v>Environmental documentaries</x:v>
      </x:c>
      <x:c r="L84" s="33" t="str"/>
      <x:c r="M84" s="33" t="str"/>
      <x:c r="N84" s="33" t="str"/>
      <x:c r="O84" s="33" t="str"/>
      <x:c r="P84" s="30" t="str">
        <x:f>IF(COUNTA(L84:O84)&lt;4,"未完成",IF(OR(L84="部分",L84="不充分",L84="不确定"),"evidence_definition_failure",IF(L84&lt;&gt;"充分","unresolved",IF(COUNTIF(M84:O84,"C")=0,"robust_generation_failure",IF(COUNTIF(M84:O84,"C")=3,"ua3_representation_or_admission_failure","generation_instability")))))</x:f>
        <x:v>unresolved</x:v>
      </x:c>
      <x:c r="Q84" s="33" t="str"/>
      <x:c r="R84" s="33" t="str"/>
      <x:c r="S84" s="33" t="str"/>
      <x:c r="T84" s="36"/>
      <x:c r="U84" s="33" t="str"/>
      <x:c r="V84" s="30" t="str">
        <x:f>IF(AND(L84&lt;&gt;"",M84&lt;&gt;"",N84&lt;&gt;"",O84&lt;&gt;"",Q84&lt;&gt;"",R84&lt;&gt;""),"完成","未完成")</x:f>
        <x:v>未完成</x:v>
      </x:c>
    </x:row>
    <x:row r="85" ht="63" customHeight="1">
      <x:c r="A85" s="30" t="n">
        <x:v>84</x:v>
      </x:c>
      <x:c r="B85" s="30" t="str">
        <x:v>memos_long:2093</x:v>
      </x:c>
      <x:c r="C85" s="30" t="str">
        <x:v>long</x:v>
      </x:c>
      <x:c r="D85" s="30" t="str">
        <x:v>Generalization &amp; Application</x:v>
      </x:c>
      <x:c r="E85" s="30" t="str">
        <x:v>What community activity might Sharon pursue to align with her goals in 2026?</x:v>
      </x:c>
      <x:c r="F85" s="30" t="str">
        <x:v>Organizing charity sports events.</x:v>
      </x:c>
      <x:c r="G85" s="30" t="str">
        <x:v># Authoritative benchmark gold evidence
The following evidence is authoritative for answering the current question. Use it directly and do not rely on conflicting information.
Evidence 1
Memory type: Persona Memory
Content: Sharon Brown is motivated by the idea of giving back to the community through mentoring young athletes and organizing charity sports events.</x:v>
      </x:c>
      <x:c r="H85" s="30" t="str">
        <x:v>Mentoring young athletes</x:v>
      </x:c>
      <x:c r="I85" s="30" t="str">
        <x:v>Mentoring young athletes</x:v>
      </x:c>
      <x:c r="J85" s="30" t="str">
        <x:v>Mentoring young athletes</x:v>
      </x:c>
      <x:c r="K85" s="30" t="str">
        <x:v>Mentoring young athletes</x:v>
      </x:c>
      <x:c r="L85" s="33" t="str"/>
      <x:c r="M85" s="33" t="str"/>
      <x:c r="N85" s="33" t="str"/>
      <x:c r="O85" s="33" t="str"/>
      <x:c r="P85" s="30" t="str">
        <x:f>IF(COUNTA(L85:O85)&lt;4,"未完成",IF(OR(L85="部分",L85="不充分",L85="不确定"),"evidence_definition_failure",IF(L85&lt;&gt;"充分","unresolved",IF(COUNTIF(M85:O85,"C")=0,"robust_generation_failure",IF(COUNTIF(M85:O85,"C")=3,"ua3_representation_or_admission_failure","generation_instability")))))</x:f>
        <x:v>unresolved</x:v>
      </x:c>
      <x:c r="Q85" s="33" t="str"/>
      <x:c r="R85" s="33" t="str"/>
      <x:c r="S85" s="33" t="str"/>
      <x:c r="T85" s="36"/>
      <x:c r="U85" s="33" t="str"/>
      <x:c r="V85" s="30" t="str">
        <x:f>IF(AND(L85&lt;&gt;"",M85&lt;&gt;"",N85&lt;&gt;"",O85&lt;&gt;"",Q85&lt;&gt;"",R85&lt;&gt;""),"完成","未完成")</x:f>
        <x:v>未完成</x:v>
      </x:c>
    </x:row>
    <x:row r="86" ht="63" customHeight="1">
      <x:c r="A86" s="30" t="n">
        <x:v>85</x:v>
      </x:c>
      <x:c r="B86" s="30" t="str">
        <x:v>memos_medium:3467</x:v>
      </x:c>
      <x:c r="C86" s="30" t="str">
        <x:v>medium</x:v>
      </x:c>
      <x:c r="D86" s="30" t="str">
        <x:v>Memory Conflict</x:v>
      </x:c>
      <x:c r="E86" s="30" t="str">
        <x:v>Did Christopher Anderson plan to reduce his volunteer activities in March 2036 due to lack of interest?</x:v>
      </x:c>
      <x:c r="F86" s="30" t="str">
        <x:v>He expressed a renewed commitment to community service.</x:v>
      </x:c>
      <x:c r="G86" s="30" t="str">
        <x:v># Authoritative benchmark gold evidence
The following evidence is authoritative for answering the current question. Use it directly and do not rely on conflicting information.
Evidence 1
Memory type: Persona Memory
Content: Christopher expressed a renewed commitment to community service, inspired by past successes and challenges.</x:v>
      </x:c>
      <x:c r="H86" s="30" t="str">
        <x:v>No, he planned to mentor.</x:v>
      </x:c>
      <x:c r="I86" s="30" t="str">
        <x:v>No</x:v>
      </x:c>
      <x:c r="J86" s="30" t="str">
        <x:v>No</x:v>
      </x:c>
      <x:c r="K86" s="30" t="str">
        <x:v>No</x:v>
      </x:c>
      <x:c r="L86" s="33" t="str"/>
      <x:c r="M86" s="33" t="str"/>
      <x:c r="N86" s="33" t="str"/>
      <x:c r="O86" s="33" t="str"/>
      <x:c r="P86" s="30" t="str">
        <x:f>IF(COUNTA(L86:O86)&lt;4,"未完成",IF(OR(L86="部分",L86="不充分",L86="不确定"),"evidence_definition_failure",IF(L86&lt;&gt;"充分","unresolved",IF(COUNTIF(M86:O86,"C")=0,"robust_generation_failure",IF(COUNTIF(M86:O86,"C")=3,"ua3_representation_or_admission_failure","generation_instability")))))</x:f>
        <x:v>unresolved</x:v>
      </x:c>
      <x:c r="Q86" s="33" t="str"/>
      <x:c r="R86" s="33" t="str"/>
      <x:c r="S86" s="33" t="str"/>
      <x:c r="T86" s="36"/>
      <x:c r="U86" s="33" t="str"/>
      <x:c r="V86" s="30" t="str">
        <x:f>IF(AND(L86&lt;&gt;"",M86&lt;&gt;"",N86&lt;&gt;"",O86&lt;&gt;"",Q86&lt;&gt;"",R86&lt;&gt;""),"完成","未完成")</x:f>
        <x:v>未完成</x:v>
      </x:c>
    </x:row>
    <x:row r="87" ht="63" customHeight="1">
      <x:c r="A87" s="30" t="n">
        <x:v>86</x:v>
      </x:c>
      <x:c r="B87" s="30" t="str">
        <x:v>memos_long:2900</x:v>
      </x:c>
      <x:c r="C87" s="30" t="str">
        <x:v>long</x:v>
      </x:c>
      <x:c r="D87" s="30" t="str">
        <x:v>Basic Fact Recall</x:v>
      </x:c>
      <x:c r="E87" s="30" t="str">
        <x:v>What change did Donald Smith make to his music preference on Mar 21, 2040?</x:v>
      </x:c>
      <x:c r="F87" s="30" t="str">
        <x:v>He updated his preference to liking techno music.</x:v>
      </x:c>
      <x:c r="G87" s="30" t="str">
        <x:v># Authoritative benchmark gold evidence
The following evidence is authoritative for answering the current question. Use it directly and do not rely on conflicting information.
Evidence 1
Memory type: Persona Memory
Content: Donald Smith updated his music preference from disliking to liking techno music for its motivational impact during campaign events.</x:v>
      </x:c>
      <x:c r="H87" s="30" t="str">
        <x:v>No relevant memory found.</x:v>
      </x:c>
      <x:c r="I87" s="30" t="str">
        <x:v>Liked techno music.</x:v>
      </x:c>
      <x:c r="J87" s="30" t="str">
        <x:v>Liked techno music.</x:v>
      </x:c>
      <x:c r="K87" s="30" t="str">
        <x:v>Liked techno music.</x:v>
      </x:c>
      <x:c r="L87" s="33" t="str"/>
      <x:c r="M87" s="33" t="str"/>
      <x:c r="N87" s="33" t="str"/>
      <x:c r="O87" s="33" t="str"/>
      <x:c r="P87" s="30" t="str">
        <x:f>IF(COUNTA(L87:O87)&lt;4,"未完成",IF(OR(L87="部分",L87="不充分",L87="不确定"),"evidence_definition_failure",IF(L87&lt;&gt;"充分","unresolved",IF(COUNTIF(M87:O87,"C")=0,"robust_generation_failure",IF(COUNTIF(M87:O87,"C")=3,"ua3_representation_or_admission_failure","generation_instability")))))</x:f>
        <x:v>unresolved</x:v>
      </x:c>
      <x:c r="Q87" s="33" t="str"/>
      <x:c r="R87" s="33" t="str"/>
      <x:c r="S87" s="33" t="str"/>
      <x:c r="T87" s="36"/>
      <x:c r="U87" s="33" t="str"/>
      <x:c r="V87" s="30" t="str">
        <x:f>IF(AND(L87&lt;&gt;"",M87&lt;&gt;"",N87&lt;&gt;"",O87&lt;&gt;"",Q87&lt;&gt;"",R87&lt;&gt;""),"完成","未完成")</x:f>
        <x:v>未完成</x:v>
      </x:c>
    </x:row>
    <x:row r="88" ht="63" customHeight="1">
      <x:c r="A88" s="30" t="n">
        <x:v>87</x:v>
      </x:c>
      <x:c r="B88" s="30" t="str">
        <x:v>memos_long:2572</x:v>
      </x:c>
      <x:c r="C88" s="30" t="str">
        <x:v>long</x:v>
      </x:c>
      <x:c r="D88" s="30" t="str">
        <x:v>Memory Conflict</x:v>
      </x:c>
      <x:c r="E88" s="30" t="str">
        <x:v>Did Steven Miller express disinterest in innovative aquarium designs on Sep 02, 2036?</x:v>
      </x:c>
      <x:c r="F88" s="30" t="str">
        <x:v>No, Steven expressed appreciation for innovative aquarium designs.</x:v>
      </x:c>
      <x:c r="G88" s="30" t="str">
        <x:v># Authoritative benchmark gold evidence
The following evidence is authoritative for answering the current question. Use it directly and do not rely on conflicting information.
Evidence 1
Memory type: Persona Memory
Content: Steven Miller's interest in tech investments led him to appreciate innovative aquarium designs, enhancing his enjoyment of keeping fish.
Evidence 2
Memory type: Persona Memory
Content: Steven Miller is fascinated by the integration of technology and nature in aquariums, which aligns with his broader interests in tech investments.</x:v>
      </x:c>
      <x:c r="H88" s="30" t="str">
        <x:v>No, he expressed interest.</x:v>
      </x:c>
      <x:c r="I88" s="30" t="str">
        <x:v>No</x:v>
      </x:c>
      <x:c r="J88" s="30" t="str">
        <x:v>No</x:v>
      </x:c>
      <x:c r="K88" s="30" t="str">
        <x:v>No</x:v>
      </x:c>
      <x:c r="L88" s="33" t="str"/>
      <x:c r="M88" s="33" t="str"/>
      <x:c r="N88" s="33" t="str"/>
      <x:c r="O88" s="33" t="str"/>
      <x:c r="P88" s="30" t="str">
        <x:f>IF(COUNTA(L88:O88)&lt;4,"未完成",IF(OR(L88="部分",L88="不充分",L88="不确定"),"evidence_definition_failure",IF(L88&lt;&gt;"充分","unresolved",IF(COUNTIF(M88:O88,"C")=0,"robust_generation_failure",IF(COUNTIF(M88:O88,"C")=3,"ua3_representation_or_admission_failure","generation_instability")))))</x:f>
        <x:v>unresolved</x:v>
      </x:c>
      <x:c r="Q88" s="33" t="str"/>
      <x:c r="R88" s="33" t="str"/>
      <x:c r="S88" s="33" t="str"/>
      <x:c r="T88" s="36"/>
      <x:c r="U88" s="33" t="str"/>
      <x:c r="V88" s="30" t="str">
        <x:f>IF(AND(L88&lt;&gt;"",M88&lt;&gt;"",N88&lt;&gt;"",O88&lt;&gt;"",Q88&lt;&gt;"",R88&lt;&gt;""),"完成","未完成")</x:f>
        <x:v>未完成</x:v>
      </x:c>
    </x:row>
    <x:row r="89" ht="63" customHeight="1">
      <x:c r="A89" s="30" t="n">
        <x:v>88</x:v>
      </x:c>
      <x:c r="B89" s="30" t="str">
        <x:v>memos_medium:2134</x:v>
      </x:c>
      <x:c r="C89" s="30" t="str">
        <x:v>medium</x:v>
      </x:c>
      <x:c r="D89" s="30" t="str">
        <x:v>Generalization &amp; Application</x:v>
      </x:c>
      <x:c r="E89" s="30" t="str">
        <x:v>What type of movies might Sharon prefer to explore after July 29, 2028, given her evolving preferences?</x:v>
      </x:c>
      <x:c r="F89" s="30" t="str">
        <x:v>Movies with strong narratives and engaging plots.</x:v>
      </x:c>
      <x:c r="G89" s="30" t="str">
        <x:v>#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x:v>
      </x:c>
      <x:c r="H89" s="30" t="str">
        <x:v>Horror movies.</x:v>
      </x:c>
      <x:c r="I89" s="30" t="str">
        <x:v>Horror films</x:v>
      </x:c>
      <x:c r="J89" s="30" t="str">
        <x:v>Horror films</x:v>
      </x:c>
      <x:c r="K89" s="30" t="str">
        <x:v>Horror films</x:v>
      </x:c>
      <x:c r="L89" s="33" t="str"/>
      <x:c r="M89" s="33" t="str"/>
      <x:c r="N89" s="33" t="str"/>
      <x:c r="O89" s="33" t="str"/>
      <x:c r="P89" s="30" t="str">
        <x:f>IF(COUNTA(L89:O89)&lt;4,"未完成",IF(OR(L89="部分",L89="不充分",L89="不确定"),"evidence_definition_failure",IF(L89&lt;&gt;"充分","unresolved",IF(COUNTIF(M89:O89,"C")=0,"robust_generation_failure",IF(COUNTIF(M89:O89,"C")=3,"ua3_representation_or_admission_failure","generation_instability")))))</x:f>
        <x:v>unresolved</x:v>
      </x:c>
      <x:c r="Q89" s="33" t="str"/>
      <x:c r="R89" s="33" t="str"/>
      <x:c r="S89" s="33" t="str"/>
      <x:c r="T89" s="36"/>
      <x:c r="U89" s="33" t="str"/>
      <x:c r="V89" s="30" t="str">
        <x:f>IF(AND(L89&lt;&gt;"",M89&lt;&gt;"",N89&lt;&gt;"",O89&lt;&gt;"",Q89&lt;&gt;"",R89&lt;&gt;""),"完成","未完成")</x:f>
        <x:v>未完成</x:v>
      </x:c>
    </x:row>
    <x:row r="90" ht="63" customHeight="1">
      <x:c r="A90" s="30" t="n">
        <x:v>89</x:v>
      </x:c>
      <x:c r="B90" s="30" t="str">
        <x:v>memos_medium:517</x:v>
      </x:c>
      <x:c r="C90" s="30" t="str">
        <x:v>medium</x:v>
      </x:c>
      <x:c r="D90" s="30" t="str">
        <x:v>Multi-hop Inference</x:v>
      </x:c>
      <x:c r="E90" s="30" t="str">
        <x:v>How did Donald Brown's community involvement post-retirement align with his life goals by January 5, 2036?</x:v>
      </x:c>
      <x:c r="F90" s="30" t="str">
        <x:v>Aligned with his life goal of humanitarian care.</x:v>
      </x:c>
      <x:c r="G90" s="30" t="str">
        <x:v># Authoritative benchmark gold evidence
The following evidence is authoritative for answering the current question. Use it directly and do not rely on conflicting information.
Evidence 1
Memory type: Persona Memory
Content: Donald Brown's community involvement aligns with his life goal of humanitarian care.
Evidence 2
Memory type: Persona Memory
Content: Donald Brown expressed excitement about dedicating more time to community activities post-retirement.</x:v>
      </x:c>
      <x:c r="H90" s="30" t="str">
        <x:v>No evidence available.</x:v>
      </x:c>
      <x:c r="I90" s="30" t="str">
        <x:v>Aligned with humanitarian care.</x:v>
      </x:c>
      <x:c r="J90" s="30" t="str">
        <x:v>Aligned with humanitarian care.</x:v>
      </x:c>
      <x:c r="K90" s="30" t="str">
        <x:v>Aligned with humanitarian care.</x:v>
      </x:c>
      <x:c r="L90" s="33" t="str"/>
      <x:c r="M90" s="33" t="str"/>
      <x:c r="N90" s="33" t="str"/>
      <x:c r="O90" s="33" t="str"/>
      <x:c r="P90" s="30" t="str">
        <x:f>IF(COUNTA(L90:O90)&lt;4,"未完成",IF(OR(L90="部分",L90="不充分",L90="不确定"),"evidence_definition_failure",IF(L90&lt;&gt;"充分","unresolved",IF(COUNTIF(M90:O90,"C")=0,"robust_generation_failure",IF(COUNTIF(M90:O90,"C")=3,"ua3_representation_or_admission_failure","generation_instability")))))</x:f>
        <x:v>unresolved</x:v>
      </x:c>
      <x:c r="Q90" s="33" t="str"/>
      <x:c r="R90" s="33" t="str"/>
      <x:c r="S90" s="33" t="str"/>
      <x:c r="T90" s="36"/>
      <x:c r="U90" s="33" t="str"/>
      <x:c r="V90" s="30" t="str">
        <x:f>IF(AND(L90&lt;&gt;"",M90&lt;&gt;"",N90&lt;&gt;"",O90&lt;&gt;"",Q90&lt;&gt;"",R90&lt;&gt;""),"完成","未完成")</x:f>
        <x:v>未完成</x:v>
      </x:c>
    </x:row>
    <x:row r="91" ht="63" customHeight="1">
      <x:c r="A91" s="30" t="n">
        <x:v>90</x:v>
      </x:c>
      <x:c r="B91" s="30" t="str">
        <x:v>memos_long:1833</x:v>
      </x:c>
      <x:c r="C91" s="30" t="str">
        <x:v>long</x:v>
      </x:c>
      <x:c r="D91" s="30" t="str">
        <x:v>Generalization &amp; Application</x:v>
      </x:c>
      <x:c r="E91" s="30" t="str">
        <x:v>What new beverage might Michelle consider if she wants to continue her health-conscious lifestyle?</x:v>
      </x:c>
      <x:c r="F91" s="30" t="str">
        <x:v>Michelle might consider herbal teas.</x:v>
      </x:c>
      <x:c r="G91" s="30" t="str">
        <x:v># Authoritative benchmark gold evidence
The following evidence is authoritative for answering the current question. Use it directly and do not rely on conflicting information.
Evidence 1
Memory type: Persona Memory
Content: Michelle Hernandez expressed interest in exploring other health-conscious lifestyle choices.
Evidence 2
Memory type: Event Memory
Content: Michelle Hernandez's beverage preference update involved modifying her choice from plain to flavored sparkling water.</x:v>
      </x:c>
      <x:c r="H91" s="30" t="str">
        <x:v>Locally sourced sparkling water.</x:v>
      </x:c>
      <x:c r="I91" s="30" t="str">
        <x:v>Flavored sparkling water</x:v>
      </x:c>
      <x:c r="J91" s="30" t="str">
        <x:v>Flavored sparkling water</x:v>
      </x:c>
      <x:c r="K91" s="30" t="str">
        <x:v>Flavored sparkling water</x:v>
      </x:c>
      <x:c r="L91" s="33" t="str"/>
      <x:c r="M91" s="33" t="str"/>
      <x:c r="N91" s="33" t="str"/>
      <x:c r="O91" s="33" t="str"/>
      <x:c r="P91" s="30" t="str">
        <x:f>IF(COUNTA(L91:O91)&lt;4,"未完成",IF(OR(L91="部分",L91="不充分",L91="不确定"),"evidence_definition_failure",IF(L91&lt;&gt;"充分","unresolved",IF(COUNTIF(M91:O91,"C")=0,"robust_generation_failure",IF(COUNTIF(M91:O91,"C")=3,"ua3_representation_or_admission_failure","generation_instability")))))</x:f>
        <x:v>unresolved</x:v>
      </x:c>
      <x:c r="Q91" s="33" t="str"/>
      <x:c r="R91" s="33" t="str"/>
      <x:c r="S91" s="33" t="str"/>
      <x:c r="T91" s="36"/>
      <x:c r="U91" s="33" t="str"/>
      <x:c r="V91" s="30" t="str">
        <x:f>IF(AND(L91&lt;&gt;"",M91&lt;&gt;"",N91&lt;&gt;"",O91&lt;&gt;"",Q91&lt;&gt;"",R91&lt;&gt;""),"完成","未完成")</x:f>
        <x:v>未完成</x:v>
      </x:c>
    </x:row>
    <x:row r="92" ht="63" customHeight="1">
      <x:c r="A92" s="30" t="n">
        <x:v>91</x:v>
      </x:c>
      <x:c r="B92" s="30" t="str">
        <x:v>memos_long:1271</x:v>
      </x:c>
      <x:c r="C92" s="30" t="str">
        <x:v>long</x:v>
      </x:c>
      <x:c r="D92" s="30" t="str">
        <x:v>Dynamic Update</x:v>
      </x:c>
      <x:c r="E92" s="30" t="str">
        <x:v>What are Ananya Sharma's current plans to promote Indian cinema globally as of Sep 01, 2026?</x:v>
      </x:c>
      <x:c r="F92" s="30" t="str">
        <x:v>Collaborate on projects and deepen industry connections</x:v>
      </x:c>
      <x:c r="G92" s="30" t="str">
        <x:v># Authoritative benchmark gold evidence
The following evidence is authoritative for answering the current question. Use it directly and do not rely on conflicting information.
Evidence 1
Memory type: Event Memory
Content: Ananya Sharma plans to collaborate on projects that align with her passion for promoting Indian cinema globally and deepen her industry connections.</x:v>
      </x:c>
      <x:c r="H92" s="30" t="str">
        <x:v>No relevant memories found.</x:v>
      </x:c>
      <x:c r="I92" s="30" t="str">
        <x:v>Collaborate on projects.</x:v>
      </x:c>
      <x:c r="J92" s="30" t="str">
        <x:v>Collaborate on projects.</x:v>
      </x:c>
      <x:c r="K92" s="30" t="str">
        <x:v>Collaborate on projects.</x:v>
      </x:c>
      <x:c r="L92" s="33" t="str"/>
      <x:c r="M92" s="33" t="str"/>
      <x:c r="N92" s="33" t="str"/>
      <x:c r="O92" s="33" t="str"/>
      <x:c r="P92" s="30" t="str">
        <x:f>IF(COUNTA(L92:O92)&lt;4,"未完成",IF(OR(L92="部分",L92="不充分",L92="不确定"),"evidence_definition_failure",IF(L92&lt;&gt;"充分","unresolved",IF(COUNTIF(M92:O92,"C")=0,"robust_generation_failure",IF(COUNTIF(M92:O92,"C")=3,"ua3_representation_or_admission_failure","generation_instability")))))</x:f>
        <x:v>unresolved</x:v>
      </x:c>
      <x:c r="Q92" s="33" t="str"/>
      <x:c r="R92" s="33" t="str"/>
      <x:c r="S92" s="33" t="str"/>
      <x:c r="T92" s="36"/>
      <x:c r="U92" s="33" t="str"/>
      <x:c r="V92" s="30" t="str">
        <x:f>IF(AND(L92&lt;&gt;"",M92&lt;&gt;"",N92&lt;&gt;"",O92&lt;&gt;"",Q92&lt;&gt;"",R92&lt;&gt;""),"完成","未完成")</x:f>
        <x:v>未完成</x:v>
      </x:c>
    </x:row>
    <x:row r="93" ht="63" customHeight="1">
      <x:c r="A93" s="30" t="n">
        <x:v>92</x:v>
      </x:c>
      <x:c r="B93" s="30" t="str">
        <x:v>memos_long:342</x:v>
      </x:c>
      <x:c r="C93" s="30" t="str">
        <x:v>long</x:v>
      </x:c>
      <x:c r="D93" s="30" t="str">
        <x:v>Memory Conflict</x:v>
      </x:c>
      <x:c r="E93" s="30" t="str">
        <x:v>Did Johnson Joseph express disinterest in using thematic cooperative board games at Albi B&amp;B?</x:v>
      </x:c>
      <x:c r="F93" s="30" t="str">
        <x:v>No, he expressed excitement about using them.</x:v>
      </x:c>
      <x:c r="G93" s="30" t="str">
        <x:v>#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x:v>
      </x:c>
      <x:c r="H93" s="30" t="str">
        <x:v>No, he expressed interest.</x:v>
      </x:c>
      <x:c r="I93" s="30" t="str">
        <x:v>No, he expressed excitement.</x:v>
      </x:c>
      <x:c r="J93" s="30" t="str">
        <x:v>No, he expressed excitement.</x:v>
      </x:c>
      <x:c r="K93" s="30" t="str">
        <x:v>No, he expressed excitement.</x:v>
      </x:c>
      <x:c r="L93" s="33" t="str"/>
      <x:c r="M93" s="33" t="str"/>
      <x:c r="N93" s="33" t="str"/>
      <x:c r="O93" s="33" t="str"/>
      <x:c r="P93" s="30" t="str">
        <x:f>IF(COUNTA(L93:O93)&lt;4,"未完成",IF(OR(L93="部分",L93="不充分",L93="不确定"),"evidence_definition_failure",IF(L93&lt;&gt;"充分","unresolved",IF(COUNTIF(M93:O93,"C")=0,"robust_generation_failure",IF(COUNTIF(M93:O93,"C")=3,"ua3_representation_or_admission_failure","generation_instability")))))</x:f>
        <x:v>unresolved</x:v>
      </x:c>
      <x:c r="Q93" s="33" t="str"/>
      <x:c r="R93" s="33" t="str"/>
      <x:c r="S93" s="33" t="str"/>
      <x:c r="T93" s="36"/>
      <x:c r="U93" s="33" t="str"/>
      <x:c r="V93" s="30" t="str">
        <x:f>IF(AND(L93&lt;&gt;"",M93&lt;&gt;"",N93&lt;&gt;"",O93&lt;&gt;"",Q93&lt;&gt;"",R93&lt;&gt;""),"完成","未完成")</x:f>
        <x:v>未完成</x:v>
      </x:c>
    </x:row>
    <x:row r="94" ht="63" customHeight="1">
      <x:c r="A94" s="30" t="n">
        <x:v>93</x:v>
      </x:c>
      <x:c r="B94" s="30" t="str">
        <x:v>memos_medium:2471</x:v>
      </x:c>
      <x:c r="C94" s="30" t="str">
        <x:v>medium</x:v>
      </x:c>
      <x:c r="D94" s="30" t="str">
        <x:v>Generalization &amp; Application</x:v>
      </x:c>
      <x:c r="E94" s="30" t="str">
        <x:v>Given Steven's interest in pet companionship, what lifestyle change might he consider to enhance his well-being during trading periods?</x:v>
      </x:c>
      <x:c r="F94" s="30" t="str">
        <x:v>Spending more time with his cat.</x:v>
      </x:c>
      <x:c r="G94" s="30" t="str">
        <x:v># Authoritative benchmark gold evidence
The following evidence is authoritative for answering the current question. Use it directly and do not rely on conflicting information.
Evidence 1
Memory type: Persona Memory
Content: Steven Miller appreciates his cat for its independence and calming presence, recognizing its benefits for mental health amidst a hectic lifestyle.
Evidence 2
Memory type: Event Memory
Content: Steven Miller expresses a desire to explore how his cat's presence might contribute positively to his well-being during stressful trading periods.
Evidence 3
Memory type: Persona Memory
Content: Steven Miller is interested in exploring how his cat's presence can help him achieve a more balanced lifestyle.</x:v>
      </x:c>
      <x:c r="H94" s="30" t="str">
        <x:v>Adopting a cat.</x:v>
      </x:c>
      <x:c r="I94" s="30" t="str">
        <x:v>Spending more time with cat.</x:v>
      </x:c>
      <x:c r="J94" s="30" t="str">
        <x:v>Spending more time with cat.</x:v>
      </x:c>
      <x:c r="K94" s="30" t="str">
        <x:v>Spending more time with cat.</x:v>
      </x:c>
      <x:c r="L94" s="33" t="str"/>
      <x:c r="M94" s="33" t="str"/>
      <x:c r="N94" s="33" t="str"/>
      <x:c r="O94" s="33" t="str"/>
      <x:c r="P94" s="30" t="str">
        <x:f>IF(COUNTA(L94:O94)&lt;4,"未完成",IF(OR(L94="部分",L94="不充分",L94="不确定"),"evidence_definition_failure",IF(L94&lt;&gt;"充分","unresolved",IF(COUNTIF(M94:O94,"C")=0,"robust_generation_failure",IF(COUNTIF(M94:O94,"C")=3,"ua3_representation_or_admission_failure","generation_instability")))))</x:f>
        <x:v>unresolved</x:v>
      </x:c>
      <x:c r="Q94" s="33" t="str"/>
      <x:c r="R94" s="33" t="str"/>
      <x:c r="S94" s="33" t="str"/>
      <x:c r="T94" s="36"/>
      <x:c r="U94" s="33" t="str"/>
      <x:c r="V94" s="30" t="str">
        <x:f>IF(AND(L94&lt;&gt;"",M94&lt;&gt;"",N94&lt;&gt;"",O94&lt;&gt;"",Q94&lt;&gt;"",R94&lt;&gt;""),"完成","未完成")</x:f>
        <x:v>未完成</x:v>
      </x:c>
    </x:row>
    <x:row r="95" ht="63" customHeight="1">
      <x:c r="A95" s="30" t="n">
        <x:v>94</x:v>
      </x:c>
      <x:c r="B95" s="30" t="str">
        <x:v>memos_medium:1815</x:v>
      </x:c>
      <x:c r="C95" s="30" t="str">
        <x:v>medium</x:v>
      </x:c>
      <x:c r="D95" s="30" t="str">
        <x:v>Basic Fact Recall</x:v>
      </x:c>
      <x:c r="E95" s="30" t="str">
        <x:v>What travel preference did Michelle Hernandez modify on Apr 14, 2029?</x:v>
      </x:c>
      <x:c r="F95" s="30" t="str">
        <x:v>To include crowded tourist spots for data collection.</x:v>
      </x:c>
      <x:c r="G95" s="30" t="str">
        <x:v># Authoritative benchmark gold evidence
The following evidence is authoritative for answering the current question. Use it directly and do not rely on conflicting information.
Evidence 1
Memory type: Persona Memory
Content: Michelle Hernandez has modified her travel preference to include crowded tourist spots for their data collection potential.</x:v>
      </x:c>
      <x:c r="H95" s="30" t="str">
        <x:v>No travel preference modified.</x:v>
      </x:c>
      <x:c r="I95" s="30" t="str">
        <x:v>Crowded tourist spots</x:v>
      </x:c>
      <x:c r="J95" s="30" t="str">
        <x:v>Crowded tourist spots</x:v>
      </x:c>
      <x:c r="K95" s="30" t="str">
        <x:v>Crowded tourist spots</x:v>
      </x:c>
      <x:c r="L95" s="33" t="str"/>
      <x:c r="M95" s="33" t="str"/>
      <x:c r="N95" s="33" t="str"/>
      <x:c r="O95" s="33" t="str"/>
      <x:c r="P95" s="30" t="str">
        <x:f>IF(COUNTA(L95:O95)&lt;4,"未完成",IF(OR(L95="部分",L95="不充分",L95="不确定"),"evidence_definition_failure",IF(L95&lt;&gt;"充分","unresolved",IF(COUNTIF(M95:O95,"C")=0,"robust_generation_failure",IF(COUNTIF(M95:O95,"C")=3,"ua3_representation_or_admission_failure","generation_instability")))))</x:f>
        <x:v>unresolved</x:v>
      </x:c>
      <x:c r="Q95" s="33" t="str"/>
      <x:c r="R95" s="33" t="str"/>
      <x:c r="S95" s="33" t="str"/>
      <x:c r="T95" s="36"/>
      <x:c r="U95" s="33" t="str"/>
      <x:c r="V95" s="30" t="str">
        <x:f>IF(AND(L95&lt;&gt;"",M95&lt;&gt;"",N95&lt;&gt;"",O95&lt;&gt;"",Q95&lt;&gt;"",R95&lt;&gt;""),"完成","未完成")</x:f>
        <x:v>未完成</x:v>
      </x:c>
    </x:row>
    <x:row r="96" ht="63" customHeight="1">
      <x:c r="A96" s="30" t="n">
        <x:v>95</x:v>
      </x:c>
      <x:c r="B96" s="30" t="str">
        <x:v>memos_medium:1445</x:v>
      </x:c>
      <x:c r="C96" s="30" t="str">
        <x:v>medium</x:v>
      </x:c>
      <x:c r="D96" s="30" t="str">
        <x:v>Basic Fact Recall</x:v>
      </x:c>
      <x:c r="E96" s="30" t="str">
        <x:v>What type of books does Jennifer Martin dislike?</x:v>
      </x:c>
      <x:c r="F96" s="30" t="str">
        <x:v>Romantic novels and self-help books</x:v>
      </x:c>
      <x:c r="G96" s="30" t="str">
        <x:v># Authoritative benchmark gold evidence
The following evidence is authoritative for answering the current question. Use it directly and do not rely on conflicting information.
Evidence 1
Memory type: Persona Memory
Content: Jennifer Martin Books I dislike: Romantic novels
Evidence 2
Memory type: Persona Memory
Content: Jennifer Martin Books I dislike: Self-help books</x:v>
      </x:c>
      <x:c r="H96" s="30" t="str">
        <x:v>Self-help books</x:v>
      </x:c>
      <x:c r="I96" s="30" t="str">
        <x:v>Romantic and self-help books</x:v>
      </x:c>
      <x:c r="J96" s="30" t="str">
        <x:v>Romantic and self-help books</x:v>
      </x:c>
      <x:c r="K96" s="30" t="str">
        <x:v>Romantic and self-help books</x:v>
      </x:c>
      <x:c r="L96" s="33" t="str"/>
      <x:c r="M96" s="33" t="str"/>
      <x:c r="N96" s="33" t="str"/>
      <x:c r="O96" s="33" t="str"/>
      <x:c r="P96" s="30" t="str">
        <x:f>IF(COUNTA(L96:O96)&lt;4,"未完成",IF(OR(L96="部分",L96="不充分",L96="不确定"),"evidence_definition_failure",IF(L96&lt;&gt;"充分","unresolved",IF(COUNTIF(M96:O96,"C")=0,"robust_generation_failure",IF(COUNTIF(M96:O96,"C")=3,"ua3_representation_or_admission_failure","generation_instability")))))</x:f>
        <x:v>unresolved</x:v>
      </x:c>
      <x:c r="Q96" s="33" t="str"/>
      <x:c r="R96" s="33" t="str"/>
      <x:c r="S96" s="33" t="str"/>
      <x:c r="T96" s="36"/>
      <x:c r="U96" s="33" t="str"/>
      <x:c r="V96" s="30" t="str">
        <x:f>IF(AND(L96&lt;&gt;"",M96&lt;&gt;"",N96&lt;&gt;"",O96&lt;&gt;"",Q96&lt;&gt;"",R96&lt;&gt;""),"完成","未完成")</x:f>
        <x:v>未完成</x:v>
      </x:c>
    </x:row>
    <x:row r="97" ht="63" customHeight="1">
      <x:c r="A97" s="30" t="n">
        <x:v>96</x:v>
      </x:c>
      <x:c r="B97" s="30" t="str">
        <x:v>memos_medium:3008</x:v>
      </x:c>
      <x:c r="C97" s="30" t="str">
        <x:v>medium</x:v>
      </x:c>
      <x:c r="D97" s="30" t="str">
        <x:v>Generalization &amp; Application</x:v>
      </x:c>
      <x:c r="E97" s="30" t="str">
        <x:v>Based on Karen Brown's recent culinary experiments, what new cuisine could she explore next?</x:v>
      </x:c>
      <x:c r="F97" s="30" t="str">
        <x:v>Karen might explore Italian cuisine.</x:v>
      </x:c>
      <x:c r="G97" s="30" t="str">
        <x:v># Authoritative benchmark gold evidence
The following evidence is authoritative for answering the current question. Use it directly and do not rely on conflicting information.
Evidence 1
Memory type: Persona Memory
Content: Karen Brown is enthusiastic about exploring new culinary flavors and incorporating them into her diet, including trying different herbs and spices.
Evidence 2
Memory type: Event Memory
Content: Karen Brown plans to continue experimenting with new flavor combinations, including using rosemary with roasted vegetables and thyme with grilled chicken.
Evidence 3
Memory type: Persona Memory
Content: Karen Brown's dialogue highlighted her excitement about integrating new culinary discoveries into her routine, such as exploring Asian and Mediterranean cuisines.</x:v>
      </x:c>
      <x:c r="H97" s="30" t="str">
        <x:v>Cuisine with sous-vide methods</x:v>
      </x:c>
      <x:c r="I97" s="30" t="str">
        <x:v>Asian or Mediterranean cuisine.</x:v>
      </x:c>
      <x:c r="J97" s="30" t="str">
        <x:v>Asian or Mediterranean cuisine.</x:v>
      </x:c>
      <x:c r="K97" s="30" t="str">
        <x:v>Asian or Mediterranean cuisine.</x:v>
      </x:c>
      <x:c r="L97" s="33" t="str"/>
      <x:c r="M97" s="33" t="str"/>
      <x:c r="N97" s="33" t="str"/>
      <x:c r="O97" s="33" t="str"/>
      <x:c r="P97" s="30" t="str">
        <x:f>IF(COUNTA(L97:O97)&lt;4,"未完成",IF(OR(L97="部分",L97="不充分",L97="不确定"),"evidence_definition_failure",IF(L97&lt;&gt;"充分","unresolved",IF(COUNTIF(M97:O97,"C")=0,"robust_generation_failure",IF(COUNTIF(M97:O97,"C")=3,"ua3_representation_or_admission_failure","generation_instability")))))</x:f>
        <x:v>unresolved</x:v>
      </x:c>
      <x:c r="Q97" s="33" t="str"/>
      <x:c r="R97" s="33" t="str"/>
      <x:c r="S97" s="33" t="str"/>
      <x:c r="T97" s="36"/>
      <x:c r="U97" s="33" t="str"/>
      <x:c r="V97" s="30" t="str">
        <x:f>IF(AND(L97&lt;&gt;"",M97&lt;&gt;"",N97&lt;&gt;"",O97&lt;&gt;"",Q97&lt;&gt;"",R97&lt;&gt;""),"完成","未完成")</x:f>
        <x:v>未完成</x:v>
      </x:c>
    </x:row>
    <x:row r="98" ht="63" customHeight="1">
      <x:c r="A98" s="30" t="n">
        <x:v>97</x:v>
      </x:c>
      <x:c r="B98" s="30" t="str">
        <x:v>memos_medium:2507</x:v>
      </x:c>
      <x:c r="C98" s="30" t="str">
        <x:v>medium</x:v>
      </x:c>
      <x:c r="D98" s="30" t="str">
        <x:v>Generalization &amp; Application</x:v>
      </x:c>
      <x:c r="E98" s="30" t="str">
        <x:v>How might Steven Miller's productivity be affected by changing his beverage preferences on Jan 10, 2031?</x:v>
      </x:c>
      <x:c r="F98" s="30" t="str">
        <x:v>Switching to healthier options might improve his energy levels and productivity.</x:v>
      </x:c>
      <x:c r="G98" s="30" t="str">
        <x:v>#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x:v>
      </x:c>
      <x:c r="H98" s="30" t="str">
        <x:v>Unknown from memories.</x:v>
      </x:c>
      <x:c r="I98" s="30" t="str">
        <x:v>Energy levels and productivity.</x:v>
      </x:c>
      <x:c r="J98" s="30" t="str">
        <x:v>Energy levels and productivity.</x:v>
      </x:c>
      <x:c r="K98" s="30" t="str">
        <x:v>Energy levels and productivity.</x:v>
      </x:c>
      <x:c r="L98" s="33" t="str"/>
      <x:c r="M98" s="33" t="str"/>
      <x:c r="N98" s="33" t="str"/>
      <x:c r="O98" s="33" t="str"/>
      <x:c r="P98" s="30" t="str">
        <x:f>IF(COUNTA(L98:O98)&lt;4,"未完成",IF(OR(L98="部分",L98="不充分",L98="不确定"),"evidence_definition_failure",IF(L98&lt;&gt;"充分","unresolved",IF(COUNTIF(M98:O98,"C")=0,"robust_generation_failure",IF(COUNTIF(M98:O98,"C")=3,"ua3_representation_or_admission_failure","generation_instability")))))</x:f>
        <x:v>unresolved</x:v>
      </x:c>
      <x:c r="Q98" s="33" t="str"/>
      <x:c r="R98" s="33" t="str"/>
      <x:c r="S98" s="33" t="str"/>
      <x:c r="T98" s="36"/>
      <x:c r="U98" s="33" t="str"/>
      <x:c r="V98" s="30" t="str">
        <x:f>IF(AND(L98&lt;&gt;"",M98&lt;&gt;"",N98&lt;&gt;"",O98&lt;&gt;"",Q98&lt;&gt;"",R98&lt;&gt;""),"完成","未完成")</x:f>
        <x:v>未完成</x:v>
      </x:c>
    </x:row>
    <x:row r="99" ht="63" customHeight="1">
      <x:c r="A99" s="30" t="n">
        <x:v>98</x:v>
      </x:c>
      <x:c r="B99" s="30" t="str">
        <x:v>memos_long:608</x:v>
      </x:c>
      <x:c r="C99" s="30" t="str">
        <x:v>long</x:v>
      </x:c>
      <x:c r="D99" s="30" t="str">
        <x:v>Basic Fact Recall</x:v>
      </x:c>
      <x:c r="E99" s="30" t="str">
        <x:v>What did Sarah Garcia update her movie preferences to include on March 10, 2033?</x:v>
      </x:c>
      <x:c r="F99" s="30" t="str">
        <x:v>Documentaries alongside biographical dramas</x:v>
      </x:c>
      <x:c r="G99" s="30" t="str">
        <x:v># Authoritative benchmark gold evidence
The following evidence is authoritative for answering the current question. Use it directly and do not rely on conflicting information.
Evidence 1
Memory type: Persona Memory
Content: Sarah Garcia's movie preference updated to include documentaries alongside biographical dramas.</x:v>
      </x:c>
      <x:c r="H99" s="30" t="str">
        <x:v>Documentaries on social justice.</x:v>
      </x:c>
      <x:c r="I99" s="30" t="str">
        <x:v>Documentaries alongside biographical dramas.</x:v>
      </x:c>
      <x:c r="J99" s="30" t="str">
        <x:v>Documentaries alongside biographical dramas.</x:v>
      </x:c>
      <x:c r="K99" s="30" t="str">
        <x:v>Documentaries alongside biographical dramas.</x:v>
      </x:c>
      <x:c r="L99" s="33" t="str"/>
      <x:c r="M99" s="33" t="str"/>
      <x:c r="N99" s="33" t="str"/>
      <x:c r="O99" s="33" t="str"/>
      <x:c r="P99" s="30" t="str">
        <x:f>IF(COUNTA(L99:O99)&lt;4,"未完成",IF(OR(L99="部分",L99="不充分",L99="不确定"),"evidence_definition_failure",IF(L99&lt;&gt;"充分","unresolved",IF(COUNTIF(M99:O99,"C")=0,"robust_generation_failure",IF(COUNTIF(M99:O99,"C")=3,"ua3_representation_or_admission_failure","generation_instability")))))</x:f>
        <x:v>unresolved</x:v>
      </x:c>
      <x:c r="Q99" s="33" t="str"/>
      <x:c r="R99" s="33" t="str"/>
      <x:c r="S99" s="33" t="str"/>
      <x:c r="T99" s="36"/>
      <x:c r="U99" s="33" t="str"/>
      <x:c r="V99" s="30" t="str">
        <x:f>IF(AND(L99&lt;&gt;"",M99&lt;&gt;"",N99&lt;&gt;"",O99&lt;&gt;"",Q99&lt;&gt;"",R99&lt;&gt;""),"完成","未完成")</x:f>
        <x:v>未完成</x:v>
      </x:c>
    </x:row>
    <x:row r="100" ht="63" customHeight="1">
      <x:c r="A100" s="30" t="n">
        <x:v>99</x:v>
      </x:c>
      <x:c r="B100" s="30" t="str">
        <x:v>memos_medium:1238</x:v>
      </x:c>
      <x:c r="C100" s="30" t="str">
        <x:v>medium</x:v>
      </x:c>
      <x:c r="D100" s="30" t="str">
        <x:v>Generalization &amp; Application</x:v>
      </x:c>
      <x:c r="E100" s="30" t="str">
        <x:v>How might Taylor David integrate film insights into his advocacy work after Mar 10, 2043?</x:v>
      </x:c>
      <x:c r="F100" s="30" t="str">
        <x:v>By hosting discussions and workshops.</x:v>
      </x:c>
      <x:c r="G100" s="30" t="str">
        <x:v># Authoritative benchmark gold evidence
The following evidence is authoritative for answering the current question. Use it directly and do not rely on conflicting information.
Evidence 1
Memory type: Persona Memory
Content: Taylor David expressed enthusiasm about integrating insights from films addressing societal issues into his advocacy work to foster deeper understanding and dialogue.
Evidence 2
Memory type: Event Memory
Content: Taylor David plans to host discussions and workshops focusing on insights from films to encourage collective action and dialogue.</x:v>
      </x:c>
      <x:c r="H100" s="30" t="str">
        <x:v>Not specified in memories.</x:v>
      </x:c>
      <x:c r="I100" s="30" t="str">
        <x:v>Host discussions and workshops.</x:v>
      </x:c>
      <x:c r="J100" s="30" t="str">
        <x:v>Host discussions and workshops.</x:v>
      </x:c>
      <x:c r="K100" s="30" t="str">
        <x:v>Host discussions and workshops.</x:v>
      </x:c>
      <x:c r="L100" s="33" t="str"/>
      <x:c r="M100" s="33" t="str"/>
      <x:c r="N100" s="33" t="str"/>
      <x:c r="O100" s="33" t="str"/>
      <x:c r="P100" s="30" t="str">
        <x:f>IF(COUNTA(L100:O100)&lt;4,"未完成",IF(OR(L100="部分",L100="不充分",L100="不确定"),"evidence_definition_failure",IF(L100&lt;&gt;"充分","unresolved",IF(COUNTIF(M100:O100,"C")=0,"robust_generation_failure",IF(COUNTIF(M100:O100,"C")=3,"ua3_representation_or_admission_failure","generation_instability")))))</x:f>
        <x:v>unresolved</x:v>
      </x:c>
      <x:c r="Q100" s="33" t="str"/>
      <x:c r="R100" s="33" t="str"/>
      <x:c r="S100" s="33" t="str"/>
      <x:c r="T100" s="36"/>
      <x:c r="U100" s="33" t="str"/>
      <x:c r="V100" s="30" t="str">
        <x:f>IF(AND(L100&lt;&gt;"",M100&lt;&gt;"",N100&lt;&gt;"",O100&lt;&gt;"",Q100&lt;&gt;"",R100&lt;&gt;""),"完成","未完成")</x:f>
        <x:v>未完成</x:v>
      </x:c>
    </x:row>
    <x:row r="101" ht="63" customHeight="1">
      <x:c r="A101" s="30" t="n">
        <x:v>100</x:v>
      </x:c>
      <x:c r="B101" s="30" t="str">
        <x:v>memos_long:1276</x:v>
      </x:c>
      <x:c r="C101" s="30" t="str">
        <x:v>long</x:v>
      </x:c>
      <x:c r="D101" s="30" t="str">
        <x:v>Dynamic Update</x:v>
      </x:c>
      <x:c r="E101" s="30" t="str">
        <x:v>What is Ananya Sharma's latest plan for film screenings as of Jun 15, 2026?</x:v>
      </x:c>
      <x:c r="F101" s="30" t="str">
        <x:v>Organize film screenings and cultural outings</x:v>
      </x:c>
      <x:c r="G101" s="30" t="str">
        <x:v># Authoritative benchmark gold evidence
The following evidence is authoritative for answering the current question. Use it directly and do not rely on conflicting information.
Evidence 1
Memory type: Event Memory
Content: Ananya Sharma plans to organize film screenings and cultural outings to deepen her connections with her friends and colleagues, including hosting a themed screening next month focusing on Indian cultural heritage.</x:v>
      </x:c>
      <x:c r="H101" s="30" t="str">
        <x:v>Themed screening in July 2026.</x:v>
      </x:c>
      <x:c r="I101" s="30" t="str">
        <x:v>Themed screening next month.</x:v>
      </x:c>
      <x:c r="J101" s="30" t="str">
        <x:v>Themed screening next month.</x:v>
      </x:c>
      <x:c r="K101" s="30" t="str">
        <x:v>Themed screening next month.</x:v>
      </x:c>
      <x:c r="L101" s="33" t="str"/>
      <x:c r="M101" s="33" t="str"/>
      <x:c r="N101" s="33" t="str"/>
      <x:c r="O101" s="33" t="str"/>
      <x:c r="P101" s="30" t="str">
        <x:f>IF(COUNTA(L101:O101)&lt;4,"未完成",IF(OR(L101="部分",L101="不充分",L101="不确定"),"evidence_definition_failure",IF(L101&lt;&gt;"充分","unresolved",IF(COUNTIF(M101:O101,"C")=0,"robust_generation_failure",IF(COUNTIF(M101:O101,"C")=3,"ua3_representation_or_admission_failure","generation_instability")))))</x:f>
        <x:v>unresolved</x:v>
      </x:c>
      <x:c r="Q101" s="33" t="str"/>
      <x:c r="R101" s="33" t="str"/>
      <x:c r="S101" s="33" t="str"/>
      <x:c r="T101" s="36"/>
      <x:c r="U101" s="33" t="str"/>
      <x:c r="V101" s="30" t="str">
        <x:f>IF(AND(L101&lt;&gt;"",M101&lt;&gt;"",N101&lt;&gt;"",O101&lt;&gt;"",Q101&lt;&gt;"",R101&lt;&gt;""),"完成","未完成")</x:f>
        <x:v>未完成</x:v>
      </x:c>
    </x:row>
    <x:row r="102" ht="63" customHeight="1">
      <x:c r="A102" s="30" t="n">
        <x:v>101</x:v>
      </x:c>
      <x:c r="B102" s="30" t="str">
        <x:v>memos_medium:3039</x:v>
      </x:c>
      <x:c r="C102" s="30" t="str">
        <x:v>medium</x:v>
      </x:c>
      <x:c r="D102" s="30" t="str">
        <x:v>Generalization &amp; Application</x:v>
      </x:c>
      <x:c r="E102" s="30" t="str">
        <x:v>What new cooking method might Karen Brown explore after March 10, 2036, to enhance her meals?</x:v>
      </x:c>
      <x:c r="F102" s="30" t="str">
        <x:v>Karen might explore smoking other types of foods.</x:v>
      </x:c>
      <x:c r="G102" s="30" t="str">
        <x:v># Authoritative benchmark gold evidence
The following evidence is authoritative for answering the current question. Use it directly and do not rely on conflicting information.
Evidence 1
Memory type: Event Memory
Content: Karen Brown plans to continue exploring innovative cooking methods to incorporate more variety into her meals.
Evidence 2
Memory type: Event Memory
Content: Karen Brown was inspired by a cooking show to try smoking salmon at home, leading to a preference shift towards smoked preparations.</x:v>
      </x:c>
      <x:c r="H102" s="30" t="str">
        <x:v>Curing and sous-vide cooking.</x:v>
      </x:c>
      <x:c r="I102" s="30" t="str">
        <x:v>Smoking salmon at home.</x:v>
      </x:c>
      <x:c r="J102" s="30" t="str">
        <x:v>Smoking salmon at home.</x:v>
      </x:c>
      <x:c r="K102" s="30" t="str">
        <x:v>Smoking salmon at home.</x:v>
      </x:c>
      <x:c r="L102" s="33" t="str"/>
      <x:c r="M102" s="33" t="str"/>
      <x:c r="N102" s="33" t="str"/>
      <x:c r="O102" s="33" t="str"/>
      <x:c r="P102" s="30" t="str">
        <x:f>IF(COUNTA(L102:O102)&lt;4,"未完成",IF(OR(L102="部分",L102="不充分",L102="不确定"),"evidence_definition_failure",IF(L102&lt;&gt;"充分","unresolved",IF(COUNTIF(M102:O102,"C")=0,"robust_generation_failure",IF(COUNTIF(M102:O102,"C")=3,"ua3_representation_or_admission_failure","generation_instability")))))</x:f>
        <x:v>unresolved</x:v>
      </x:c>
      <x:c r="Q102" s="33" t="str"/>
      <x:c r="R102" s="33" t="str"/>
      <x:c r="S102" s="33" t="str"/>
      <x:c r="T102" s="36"/>
      <x:c r="U102" s="33" t="str"/>
      <x:c r="V102" s="30" t="str">
        <x:f>IF(AND(L102&lt;&gt;"",M102&lt;&gt;"",N102&lt;&gt;"",O102&lt;&gt;"",Q102&lt;&gt;"",R102&lt;&gt;""),"完成","未完成")</x:f>
        <x:v>未完成</x:v>
      </x:c>
    </x:row>
    <x:row r="103" ht="63" customHeight="1">
      <x:c r="A103" s="30" t="n">
        <x:v>102</x:v>
      </x:c>
      <x:c r="B103" s="30" t="str">
        <x:v>memos_long:88</x:v>
      </x:c>
      <x:c r="C103" s="30" t="str">
        <x:v>long</x:v>
      </x:c>
      <x:c r="D103" s="30" t="str">
        <x:v>Generalization &amp; Application</x:v>
      </x:c>
      <x:c r="E103" s="30" t="str">
        <x:v>Based on Martin Mark's preferences as of Feb 26, 2030, what other pet breeds might he explore for companionship?</x:v>
      </x:c>
      <x:c r="F103" s="30" t="str">
        <x:v>Martin might explore breeds known for social and affectionate traits.</x:v>
      </x:c>
      <x:c r="G103" s="30" t="str">
        <x:v># Authoritative benchmark gold evidence
The following evidence is authoritative for answering the current question. Use it directly and do not rely on conflicting information.
Evidence 1
Memory type: Persona Memory
Content: Martin Mark's pet preference now includes Sphynx cats for their affectionate and social nature.
Evidence 2
Memory type: Persona Memory
Content: Martin Mark appreciates Sphynx cats for their unique appearance and engaging personality, enriching his appreciation for diverse cat breeds.
Evidence 3
Memory type: Persona Memory
Content: Martin Mark's emotional resonance leads him to seek companionship and empathetic interactions with pets, influencing his preference for Sphynx cats.
Evidence 4
Memory type: Persona Memory
Content: Martin Mark expressed excitement about exploring diverse cat breeds and their unique characteristics.</x:v>
      </x:c>
      <x:c r="H103" s="30" t="str">
        <x:v>Sphynx, Maine Coon, Golden Retriever</x:v>
      </x:c>
      <x:c r="I103" s="30" t="str">
        <x:v>Sphynx cats and diverse breeds.</x:v>
      </x:c>
      <x:c r="J103" s="30" t="str">
        <x:v>Sphynx cats and diverse breeds.</x:v>
      </x:c>
      <x:c r="K103" s="30" t="str">
        <x:v>Sphynx cats and diverse breeds.</x:v>
      </x:c>
      <x:c r="L103" s="33" t="str"/>
      <x:c r="M103" s="33" t="str"/>
      <x:c r="N103" s="33" t="str"/>
      <x:c r="O103" s="33" t="str"/>
      <x:c r="P103" s="30" t="str">
        <x:f>IF(COUNTA(L103:O103)&lt;4,"未完成",IF(OR(L103="部分",L103="不充分",L103="不确定"),"evidence_definition_failure",IF(L103&lt;&gt;"充分","unresolved",IF(COUNTIF(M103:O103,"C")=0,"robust_generation_failure",IF(COUNTIF(M103:O103,"C")=3,"ua3_representation_or_admission_failure","generation_instability")))))</x:f>
        <x:v>unresolved</x:v>
      </x:c>
      <x:c r="Q103" s="33" t="str"/>
      <x:c r="R103" s="33" t="str"/>
      <x:c r="S103" s="33" t="str"/>
      <x:c r="T103" s="36"/>
      <x:c r="U103" s="33" t="str"/>
      <x:c r="V103" s="30" t="str">
        <x:f>IF(AND(L103&lt;&gt;"",M103&lt;&gt;"",N103&lt;&gt;"",O103&lt;&gt;"",Q103&lt;&gt;"",R103&lt;&gt;""),"完成","未完成")</x:f>
        <x:v>未完成</x:v>
      </x:c>
    </x:row>
    <x:row r="104" ht="63" customHeight="1">
      <x:c r="A104" s="30" t="n">
        <x:v>103</x:v>
      </x:c>
      <x:c r="B104" s="30" t="str">
        <x:v>memos_medium:1206</x:v>
      </x:c>
      <x:c r="C104" s="30" t="str">
        <x:v>medium</x:v>
      </x:c>
      <x:c r="D104" s="30" t="str">
        <x:v>Generalization &amp; Application</x:v>
      </x:c>
      <x:c r="E104" s="30" t="str">
        <x:v>What new fitness activity might Taylor David enjoy, considering his shift to dynamic yoga?</x:v>
      </x:c>
      <x:c r="F104" s="30" t="str">
        <x:v>High-intensity interval training (HIIT).</x:v>
      </x:c>
      <x:c r="G104" s="30" t="str">
        <x:v># Authoritative benchmark gold evidence
The following evidence is authoritative for answering the current question. Use it directly and do not rely on conflicting information.
Evidence 1
Memory type: Persona Memory
Content: Taylor David has updated his sports preference from traditional yoga to dynamic yoga, appreciating its engaging and invigorating experience.
Evidence 2
Memory type: Persona Memory
Content: Taylor David uses dynamic yoga to align with his active lifestyle and professional goals, enhancing his physical and mental wellness.
Evidence 3
Memory type: Persona Memory
Content: Taylor David expressed enthusiasm about dynamic yoga's ability to energize his daily routine and balance professional responsibilities with personal health.</x:v>
      </x:c>
      <x:c r="H104" s="30" t="str">
        <x:v>Dynamic yoga</x:v>
      </x:c>
      <x:c r="I104" s="30" t="str">
        <x:v>Dynamic yoga</x:v>
      </x:c>
      <x:c r="J104" s="30" t="str">
        <x:v>Dynamic yoga</x:v>
      </x:c>
      <x:c r="K104" s="30" t="str">
        <x:v>Dynamic yoga</x:v>
      </x:c>
      <x:c r="L104" s="33" t="str"/>
      <x:c r="M104" s="33" t="str"/>
      <x:c r="N104" s="33" t="str"/>
      <x:c r="O104" s="33" t="str"/>
      <x:c r="P104" s="30" t="str">
        <x:f>IF(COUNTA(L104:O104)&lt;4,"未完成",IF(OR(L104="部分",L104="不充分",L104="不确定"),"evidence_definition_failure",IF(L104&lt;&gt;"充分","unresolved",IF(COUNTIF(M104:O104,"C")=0,"robust_generation_failure",IF(COUNTIF(M104:O104,"C")=3,"ua3_representation_or_admission_failure","generation_instability")))))</x:f>
        <x:v>unresolved</x:v>
      </x:c>
      <x:c r="Q104" s="33" t="str"/>
      <x:c r="R104" s="33" t="str"/>
      <x:c r="S104" s="33" t="str"/>
      <x:c r="T104" s="36"/>
      <x:c r="U104" s="33" t="str"/>
      <x:c r="V104" s="30" t="str">
        <x:f>IF(AND(L104&lt;&gt;"",M104&lt;&gt;"",N104&lt;&gt;"",O104&lt;&gt;"",Q104&lt;&gt;"",R104&lt;&gt;""),"完成","未完成")</x:f>
        <x:v>未完成</x:v>
      </x:c>
    </x:row>
    <x:row r="105" ht="63" customHeight="1">
      <x:c r="A105" s="30" t="n">
        <x:v>104</x:v>
      </x:c>
      <x:c r="B105" s="30" t="str">
        <x:v>memos_long:493</x:v>
      </x:c>
      <x:c r="C105" s="30" t="str">
        <x:v>long</x:v>
      </x:c>
      <x:c r="D105" s="30" t="str">
        <x:v>Generalization &amp; Application</x:v>
      </x:c>
      <x:c r="E105" s="30" t="str">
        <x:v>What type of clothing might Donald Brown prefer for a versatile wardrobe after March 18, 2034?</x:v>
      </x:c>
      <x:c r="F105" s="30" t="str">
        <x:v>Polo shirts.</x:v>
      </x:c>
      <x:c r="G105" s="30" t="str">
        <x:v>#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
Evidence 2
Memory type: Event Memory
Content: Donald Brown realized the need for versatile attire following an invitation to a semi-formal event, which led to his preference for polo shirts.</x:v>
      </x:c>
      <x:c r="H105" s="30" t="str">
        <x:v>Polo shirts and blazers.</x:v>
      </x:c>
      <x:c r="I105" s="30" t="str">
        <x:v>Polo shirts</x:v>
      </x:c>
      <x:c r="J105" s="30" t="str">
        <x:v>Polo shirts</x:v>
      </x:c>
      <x:c r="K105" s="30" t="str">
        <x:v>Polo shirts</x:v>
      </x:c>
      <x:c r="L105" s="33" t="str"/>
      <x:c r="M105" s="33" t="str"/>
      <x:c r="N105" s="33" t="str"/>
      <x:c r="O105" s="33" t="str"/>
      <x:c r="P105" s="30" t="str">
        <x:f>IF(COUNTA(L105:O105)&lt;4,"未完成",IF(OR(L105="部分",L105="不充分",L105="不确定"),"evidence_definition_failure",IF(L105&lt;&gt;"充分","unresolved",IF(COUNTIF(M105:O105,"C")=0,"robust_generation_failure",IF(COUNTIF(M105:O105,"C")=3,"ua3_representation_or_admission_failure","generation_instability")))))</x:f>
        <x:v>unresolved</x:v>
      </x:c>
      <x:c r="Q105" s="33" t="str"/>
      <x:c r="R105" s="33" t="str"/>
      <x:c r="S105" s="33" t="str"/>
      <x:c r="T105" s="36"/>
      <x:c r="U105" s="33" t="str"/>
      <x:c r="V105" s="30" t="str">
        <x:f>IF(AND(L105&lt;&gt;"",M105&lt;&gt;"",N105&lt;&gt;"",O105&lt;&gt;"",Q105&lt;&gt;"",R105&lt;&gt;""),"完成","未完成")</x:f>
        <x:v>未完成</x:v>
      </x:c>
    </x:row>
    <x:row r="106" ht="63" customHeight="1">
      <x:c r="A106" s="30" t="n">
        <x:v>105</x:v>
      </x:c>
      <x:c r="B106" s="30" t="str">
        <x:v>memos_long:1734</x:v>
      </x:c>
      <x:c r="C106" s="30" t="str">
        <x:v>long</x:v>
      </x:c>
      <x:c r="D106" s="30" t="str">
        <x:v>Multi-hop Inference</x:v>
      </x:c>
      <x:c r="E106" s="30" t="str">
        <x:v>As of Mar 19, 2038, how has Susan Thompson's career focus changed since Jun 19, 2037?</x:v>
      </x:c>
      <x:c r="F106" s="30" t="str">
        <x:v>From Health Advocate to Strategic Wellness Planner.</x:v>
      </x:c>
      <x:c r="G106" s="30" t="str">
        <x:v># Authoritative benchmark gold evidence
The following evidence is authoritative for answering the current question. Use it directly and do not rely on conflicting information.
Evidence 1
Memory type: [Jun 19, 2037, 16:19:00][Persona Memory]
Content: Susan Thompson's career_status updated job_title from "Health Advocate" to "Strategic Wellness Planner".
Evidence 2
Memory type: [Mar 19, 2038, 21:31:06][Event Memory]
Content: Susan Thompson plans to continue leveraging her skills for community health improvement.</x:v>
      </x:c>
      <x:c r="H106" s="30" t="str">
        <x:v>No change in focus.</x:v>
      </x:c>
      <x:c r="I106" s="30" t="str">
        <x:v>Strategic Wellness Planner</x:v>
      </x:c>
      <x:c r="J106" s="30" t="str">
        <x:v>Strategic Wellness Planner</x:v>
      </x:c>
      <x:c r="K106" s="30" t="str">
        <x:v>Strategic Wellness Planner</x:v>
      </x:c>
      <x:c r="L106" s="33" t="str"/>
      <x:c r="M106" s="33" t="str"/>
      <x:c r="N106" s="33" t="str"/>
      <x:c r="O106" s="33" t="str"/>
      <x:c r="P106" s="30" t="str">
        <x:f>IF(COUNTA(L106:O106)&lt;4,"未完成",IF(OR(L106="部分",L106="不充分",L106="不确定"),"evidence_definition_failure",IF(L106&lt;&gt;"充分","unresolved",IF(COUNTIF(M106:O106,"C")=0,"robust_generation_failure",IF(COUNTIF(M106:O106,"C")=3,"ua3_representation_or_admission_failure","generation_instability")))))</x:f>
        <x:v>unresolved</x:v>
      </x:c>
      <x:c r="Q106" s="33" t="str"/>
      <x:c r="R106" s="33" t="str"/>
      <x:c r="S106" s="33" t="str"/>
      <x:c r="T106" s="36"/>
      <x:c r="U106" s="33" t="str"/>
      <x:c r="V106" s="30" t="str">
        <x:f>IF(AND(L106&lt;&gt;"",M106&lt;&gt;"",N106&lt;&gt;"",O106&lt;&gt;"",Q106&lt;&gt;"",R106&lt;&gt;""),"完成","未完成")</x:f>
        <x:v>未完成</x:v>
      </x:c>
    </x:row>
    <x:row r="107" ht="63" customHeight="1">
      <x:c r="A107" s="30" t="n">
        <x:v>106</x:v>
      </x:c>
      <x:c r="B107" s="30" t="str">
        <x:v>memos_long:2054</x:v>
      </x:c>
      <x:c r="C107" s="30" t="str">
        <x:v>long</x:v>
      </x:c>
      <x:c r="D107" s="30" t="str">
        <x:v>Dynamic Update</x:v>
      </x:c>
      <x:c r="E107" s="30" t="str">
        <x:v>What feedback did Joseph Garcia receive about his VR educational programs on Dec 20, 2041?</x:v>
      </x:c>
      <x:c r="F107" s="30" t="str">
        <x:v>Revitalized interest in classic films</x:v>
      </x:c>
      <x:c r="G107" s="30" t="str">
        <x:v># Authoritative benchmark gold evidence
The following evidence is authoritative for answering the current question. Use it directly and do not rely on conflicting information.
Evidence 1
Memory type: Event Memory
Content: Feedback from Joseph's VR educational programs indicated a revitalized interest in classic films among participants.
Evidence 2
Memory type: Persona Memory
Content: Joseph Garcia expressed satisfaction with the positive feedback on his VR programs, noting enhanced audience engagement.</x:v>
      </x:c>
      <x:c r="H107" s="30" t="str">
        <x:v>No feedback on Dec 20.</x:v>
      </x:c>
      <x:c r="I107" s="30" t="str">
        <x:v>Revitalized interest in classic films.</x:v>
      </x:c>
      <x:c r="J107" s="30" t="str">
        <x:v>Revitalized interest in classic films.</x:v>
      </x:c>
      <x:c r="K107" s="30" t="str">
        <x:v>Revitalized interest in classic films.</x:v>
      </x:c>
      <x:c r="L107" s="33" t="str"/>
      <x:c r="M107" s="33" t="str"/>
      <x:c r="N107" s="33" t="str"/>
      <x:c r="O107" s="33" t="str"/>
      <x:c r="P107" s="30" t="str">
        <x:f>IF(COUNTA(L107:O107)&lt;4,"未完成",IF(OR(L107="部分",L107="不充分",L107="不确定"),"evidence_definition_failure",IF(L107&lt;&gt;"充分","unresolved",IF(COUNTIF(M107:O107,"C")=0,"robust_generation_failure",IF(COUNTIF(M107:O107,"C")=3,"ua3_representation_or_admission_failure","generation_instability")))))</x:f>
        <x:v>unresolved</x:v>
      </x:c>
      <x:c r="Q107" s="33" t="str"/>
      <x:c r="R107" s="33" t="str"/>
      <x:c r="S107" s="33" t="str"/>
      <x:c r="T107" s="36"/>
      <x:c r="U107" s="33" t="str"/>
      <x:c r="V107" s="30" t="str">
        <x:f>IF(AND(L107&lt;&gt;"",M107&lt;&gt;"",N107&lt;&gt;"",O107&lt;&gt;"",Q107&lt;&gt;"",R107&lt;&gt;""),"完成","未完成")</x:f>
        <x:v>未完成</x:v>
      </x:c>
    </x:row>
    <x:row r="108" ht="63" customHeight="1">
      <x:c r="A108" s="30" t="n">
        <x:v>107</x:v>
      </x:c>
      <x:c r="B108" s="30" t="str">
        <x:v>memos_medium:2785</x:v>
      </x:c>
      <x:c r="C108" s="30" t="str">
        <x:v>medium</x:v>
      </x:c>
      <x:c r="D108" s="30" t="str">
        <x:v>Generalization &amp; Application</x:v>
      </x:c>
      <x:c r="E108" s="30" t="str">
        <x:v>How might Donald Smith's evolving responsibilities in political consulting influence his music choices after Jun 20, 2028?</x:v>
      </x:c>
      <x:c r="F108" s="30" t="str">
        <x:v>He may prefer calming genres for better focus.</x:v>
      </x:c>
      <x:c r="G108" s="30" t="str">
        <x:v># Authoritative benchmark gold evidence
The following evidence is authoritative for answering the current question. Use it directly and do not rely on conflicting information.
Evidence 1
Memory type: Persona Memory
Content: Donald Smith's evolving responsibilities in political consulting have influenced his music preferences and dietary choices.
Evidence 2
Memory type: Persona Memory
Content: Donald Smith plans to explore calming music genres like classical and ambient to enhance focus during work.</x:v>
      </x:c>
      <x:c r="H108" s="30" t="str">
        <x:v>Mood and productivity tool.</x:v>
      </x:c>
      <x:c r="I108" s="30" t="str">
        <x:v>Explore calming music genres.</x:v>
      </x:c>
      <x:c r="J108" s="30" t="str">
        <x:v>Explore calming music genres.</x:v>
      </x:c>
      <x:c r="K108" s="30" t="str">
        <x:v>Explore calming music genres.</x:v>
      </x:c>
      <x:c r="L108" s="33" t="str"/>
      <x:c r="M108" s="33" t="str"/>
      <x:c r="N108" s="33" t="str"/>
      <x:c r="O108" s="33" t="str"/>
      <x:c r="P108" s="30" t="str">
        <x:f>IF(COUNTA(L108:O108)&lt;4,"未完成",IF(OR(L108="部分",L108="不充分",L108="不确定"),"evidence_definition_failure",IF(L108&lt;&gt;"充分","unresolved",IF(COUNTIF(M108:O108,"C")=0,"robust_generation_failure",IF(COUNTIF(M108:O108,"C")=3,"ua3_representation_or_admission_failure","generation_instability")))))</x:f>
        <x:v>unresolved</x:v>
      </x:c>
      <x:c r="Q108" s="33" t="str"/>
      <x:c r="R108" s="33" t="str"/>
      <x:c r="S108" s="33" t="str"/>
      <x:c r="T108" s="36"/>
      <x:c r="U108" s="33" t="str"/>
      <x:c r="V108" s="30" t="str">
        <x:f>IF(AND(L108&lt;&gt;"",M108&lt;&gt;"",N108&lt;&gt;"",O108&lt;&gt;"",Q108&lt;&gt;"",R108&lt;&gt;""),"完成","未完成")</x:f>
        <x:v>未完成</x:v>
      </x:c>
    </x:row>
    <x:row r="109" ht="63" customHeight="1">
      <x:c r="A109" s="30" t="n">
        <x:v>108</x:v>
      </x:c>
      <x:c r="B109" s="30" t="str">
        <x:v>memos_long:1882</x:v>
      </x:c>
      <x:c r="C109" s="30" t="str">
        <x:v>long</x:v>
      </x:c>
      <x:c r="D109" s="30" t="str">
        <x:v>Generalization &amp; Application</x:v>
      </x:c>
      <x:c r="E109" s="30" t="str">
        <x:v>What strategies might Michelle Hernandez employ to maintain team morale and clarity of goals at Visionary AI Solutions after 2036-01-23?</x:v>
      </x:c>
      <x:c r="F109" s="30" t="str">
        <x:v>She might use strategic planning and effective communication.</x:v>
      </x:c>
      <x:c r="G109" s="30" t="str">
        <x:v># Authoritative benchmark gold evidence
The following evidence is authoritative for answering the current question. Use it directly and do not rely on conflicting information.
Evidence 1
Memory type: Relationship Memory
Content: Michelle Hernandez sought advice on maintaining team morale and ensuring clarity of the company's goals amidst rapid development pressures.
Evidence 2
Memory type: Event Memory
Content: Michelle Hernandez discussed strategic initiatives at Visionary AI Solutions, emphasizing innovation to achieve company goals.</x:v>
      </x:c>
      <x:c r="H109" s="30" t="str">
        <x:v>No relevant memories found.</x:v>
      </x:c>
      <x:c r="I109" s="30" t="str">
        <x:v>Innovation and strategic initiatives.</x:v>
      </x:c>
      <x:c r="J109" s="30" t="str">
        <x:v>Innovation and strategic initiatives.</x:v>
      </x:c>
      <x:c r="K109" s="30" t="str">
        <x:v>Innovation and strategic initiatives.</x:v>
      </x:c>
      <x:c r="L109" s="33" t="str"/>
      <x:c r="M109" s="33" t="str"/>
      <x:c r="N109" s="33" t="str"/>
      <x:c r="O109" s="33" t="str"/>
      <x:c r="P109" s="30" t="str">
        <x:f>IF(COUNTA(L109:O109)&lt;4,"未完成",IF(OR(L109="部分",L109="不充分",L109="不确定"),"evidence_definition_failure",IF(L109&lt;&gt;"充分","unresolved",IF(COUNTIF(M109:O109,"C")=0,"robust_generation_failure",IF(COUNTIF(M109:O109,"C")=3,"ua3_representation_or_admission_failure","generation_instability")))))</x:f>
        <x:v>unresolved</x:v>
      </x:c>
      <x:c r="Q109" s="33" t="str"/>
      <x:c r="R109" s="33" t="str"/>
      <x:c r="S109" s="33" t="str"/>
      <x:c r="T109" s="36"/>
      <x:c r="U109" s="33" t="str"/>
      <x:c r="V109" s="30" t="str">
        <x:f>IF(AND(L109&lt;&gt;"",M109&lt;&gt;"",N109&lt;&gt;"",O109&lt;&gt;"",Q109&lt;&gt;"",R109&lt;&gt;""),"完成","未完成")</x:f>
        <x:v>未完成</x:v>
      </x:c>
    </x:row>
    <x:row r="110" ht="63" customHeight="1">
      <x:c r="A110" s="30" t="n">
        <x:v>109</x:v>
      </x:c>
      <x:c r="B110" s="30" t="str">
        <x:v>memos_long:2254</x:v>
      </x:c>
      <x:c r="C110" s="30" t="str">
        <x:v>long</x:v>
      </x:c>
      <x:c r="D110" s="30" t="str">
        <x:v>Memory Conflict</x:v>
      </x:c>
      <x:c r="E110" s="30" t="str">
        <x:v>Did Williams express no interest in the historical significance of Persian cats on April 10, 2026?</x:v>
      </x:c>
      <x:c r="F110" s="30" t="str">
        <x:v>Williams expressed a deepened admiration for their historical significance.</x:v>
      </x:c>
      <x:c r="G110" s="30" t="str">
        <x:v># Authoritative benchmark gold evidence
The following evidence is authoritative for answering the current question. Use it directly and do not rely on conflicting information.
Evidence 1
Memory type: Persona Memory
Content: Williams Daniel's admiration for Persian cats deepened after watching a documentary highlighting their historical lineage and association with royalty.
Evidence 2
Memory type: Event Memory
Content: Williams Daniel attended a film festival on Apr 10, 2026, where he watched a documentary about the historical significance of Persian cats.</x:v>
      </x:c>
      <x:c r="H110" s="30" t="str">
        <x:v>Yes, they did.</x:v>
      </x:c>
      <x:c r="I110" s="30" t="str">
        <x:v>No</x:v>
      </x:c>
      <x:c r="J110" s="30" t="str">
        <x:v>No</x:v>
      </x:c>
      <x:c r="K110" s="30" t="str">
        <x:v>No</x:v>
      </x:c>
      <x:c r="L110" s="33" t="str"/>
      <x:c r="M110" s="33" t="str"/>
      <x:c r="N110" s="33" t="str"/>
      <x:c r="O110" s="33" t="str"/>
      <x:c r="P110" s="30" t="str">
        <x:f>IF(COUNTA(L110:O110)&lt;4,"未完成",IF(OR(L110="部分",L110="不充分",L110="不确定"),"evidence_definition_failure",IF(L110&lt;&gt;"充分","unresolved",IF(COUNTIF(M110:O110,"C")=0,"robust_generation_failure",IF(COUNTIF(M110:O110,"C")=3,"ua3_representation_or_admission_failure","generation_instability")))))</x:f>
        <x:v>unresolved</x:v>
      </x:c>
      <x:c r="Q110" s="33" t="str"/>
      <x:c r="R110" s="33" t="str"/>
      <x:c r="S110" s="33" t="str"/>
      <x:c r="T110" s="36"/>
      <x:c r="U110" s="33" t="str"/>
      <x:c r="V110" s="30" t="str">
        <x:f>IF(AND(L110&lt;&gt;"",M110&lt;&gt;"",N110&lt;&gt;"",O110&lt;&gt;"",Q110&lt;&gt;"",R110&lt;&gt;""),"完成","未完成")</x:f>
        <x:v>未完成</x:v>
      </x:c>
    </x:row>
    <x:row r="111" ht="63" customHeight="1">
      <x:c r="A111" s="30" t="n">
        <x:v>110</x:v>
      </x:c>
      <x:c r="B111" s="30" t="str">
        <x:v>memos_long:1896</x:v>
      </x:c>
      <x:c r="C111" s="30" t="str">
        <x:v>long</x:v>
      </x:c>
      <x:c r="D111" s="30" t="str">
        <x:v>Multi-hop Inference</x:v>
      </x:c>
      <x:c r="E111" s="30" t="str">
        <x:v>How did Michelle's monthly income change after joining Innovative AI Corp on Mar 16, 2037?</x:v>
      </x:c>
      <x:c r="F111" s="30" t="str">
        <x:v>Increased from 12,000 to 15,000.</x:v>
      </x:c>
      <x:c r="G111" s="30" t="str">
        <x:v>#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x:v>
      </x:c>
      <x:c r="H111" s="30" t="str">
        <x:v>No information provided.</x:v>
      </x:c>
      <x:c r="I111" s="30" t="str">
        <x:v>Increased from 12,000 to 15,000.</x:v>
      </x:c>
      <x:c r="J111" s="30" t="str">
        <x:v>Increased from 12,000 to 15,000.</x:v>
      </x:c>
      <x:c r="K111" s="30" t="str">
        <x:v>Increased from 12,000 to 15,000.</x:v>
      </x:c>
      <x:c r="L111" s="33" t="str"/>
      <x:c r="M111" s="33" t="str"/>
      <x:c r="N111" s="33" t="str"/>
      <x:c r="O111" s="33" t="str"/>
      <x:c r="P111" s="30" t="str">
        <x:f>IF(COUNTA(L111:O111)&lt;4,"未完成",IF(OR(L111="部分",L111="不充分",L111="不确定"),"evidence_definition_failure",IF(L111&lt;&gt;"充分","unresolved",IF(COUNTIF(M111:O111,"C")=0,"robust_generation_failure",IF(COUNTIF(M111:O111,"C")=3,"ua3_representation_or_admission_failure","generation_instability")))))</x:f>
        <x:v>unresolved</x:v>
      </x:c>
      <x:c r="Q111" s="33" t="str"/>
      <x:c r="R111" s="33" t="str"/>
      <x:c r="S111" s="33" t="str"/>
      <x:c r="T111" s="36"/>
      <x:c r="U111" s="33" t="str"/>
      <x:c r="V111" s="30" t="str">
        <x:f>IF(AND(L111&lt;&gt;"",M111&lt;&gt;"",N111&lt;&gt;"",O111&lt;&gt;"",Q111&lt;&gt;"",R111&lt;&gt;""),"完成","未完成")</x:f>
        <x:v>未完成</x:v>
      </x:c>
    </x:row>
    <x:row r="112" ht="63" customHeight="1">
      <x:c r="A112" s="30" t="n">
        <x:v>111</x:v>
      </x:c>
      <x:c r="B112" s="30" t="str">
        <x:v>memos_medium:2315</x:v>
      </x:c>
      <x:c r="C112" s="30" t="str">
        <x:v>medium</x:v>
      </x:c>
      <x:c r="D112" s="30" t="str">
        <x:v>Generalization &amp; Application</x:v>
      </x:c>
      <x:c r="E112" s="30" t="str">
        <x:v>How might Williams Daniel integrate mobile game elements into his film projects after May 14, 2029?</x:v>
      </x:c>
      <x:c r="F112" s="30" t="str">
        <x:v>By using historical storytelling techniques from mobile games.</x:v>
      </x:c>
      <x:c r="G112" s="30" t="str">
        <x:v># Authoritative benchmark gold evidence
The following evidence is authoritative for answering the current question. Use it directly and do not rely on conflicting information.
Evidence 1
Memory type: Event Memory
Content: Williams Daniel discussed the potential impact of mobile games on his film projects.
Evidence 2
Memory type: Event Memory
Content: Williams Daniel sought advice on integrating mobile game elements into his creative process.</x:v>
      </x:c>
      <x:c r="H112" s="30" t="str">
        <x:v>Researching successful game narratives.</x:v>
      </x:c>
      <x:c r="I112" s="30" t="str">
        <x:v>Seeking advice on integration.</x:v>
      </x:c>
      <x:c r="J112" s="30" t="str">
        <x:v>Seeking advice on integration.</x:v>
      </x:c>
      <x:c r="K112" s="30" t="str">
        <x:v>Seeking advice on integration.</x:v>
      </x:c>
      <x:c r="L112" s="33" t="str"/>
      <x:c r="M112" s="33" t="str"/>
      <x:c r="N112" s="33" t="str"/>
      <x:c r="O112" s="33" t="str"/>
      <x:c r="P112" s="30" t="str">
        <x:f>IF(COUNTA(L112:O112)&lt;4,"未完成",IF(OR(L112="部分",L112="不充分",L112="不确定"),"evidence_definition_failure",IF(L112&lt;&gt;"充分","unresolved",IF(COUNTIF(M112:O112,"C")=0,"robust_generation_failure",IF(COUNTIF(M112:O112,"C")=3,"ua3_representation_or_admission_failure","generation_instability")))))</x:f>
        <x:v>unresolved</x:v>
      </x:c>
      <x:c r="Q112" s="33" t="str"/>
      <x:c r="R112" s="33" t="str"/>
      <x:c r="S112" s="33" t="str"/>
      <x:c r="T112" s="36"/>
      <x:c r="U112" s="33" t="str"/>
      <x:c r="V112" s="30" t="str">
        <x:f>IF(AND(L112&lt;&gt;"",M112&lt;&gt;"",N112&lt;&gt;"",O112&lt;&gt;"",Q112&lt;&gt;"",R112&lt;&gt;""),"完成","未完成")</x:f>
        <x:v>未完成</x:v>
      </x:c>
    </x:row>
    <x:row r="113" ht="63" customHeight="1">
      <x:c r="A113" s="30" t="n">
        <x:v>112</x:v>
      </x:c>
      <x:c r="B113" s="30" t="str">
        <x:v>memos_medium:895</x:v>
      </x:c>
      <x:c r="C113" s="30" t="str">
        <x:v>medium</x:v>
      </x:c>
      <x:c r="D113" s="30" t="str">
        <x:v>Basic Fact Recall</x:v>
      </x:c>
      <x:c r="E113" s="30" t="str">
        <x:v>What event did Donna attend on August 21, 2026?</x:v>
      </x:c>
      <x:c r="F113" s="30" t="str">
        <x:v>A conference on sustainable fashion.</x:v>
      </x:c>
      <x:c r="G113" s="30" t="str">
        <x:v># Authoritative benchmark gold evidence
The following evidence is authoritative for answering the current question. Use it directly and do not rely on conflicting information.
Evidence 1
Memory type: Event Memory
Content: Donna attended a conference on sustainable fashion, which led her to reevaluate her clothing preferences.</x:v>
      </x:c>
      <x:c r="H113" s="30" t="str">
        <x:v>No event on that date.</x:v>
      </x:c>
      <x:c r="I113" s="30" t="str">
        <x:v>Sustainable fashion conference</x:v>
      </x:c>
      <x:c r="J113" s="30" t="str">
        <x:v>Sustainable fashion conference</x:v>
      </x:c>
      <x:c r="K113" s="30" t="str">
        <x:v>Sustainable fashion conference</x:v>
      </x:c>
      <x:c r="L113" s="33" t="str"/>
      <x:c r="M113" s="33" t="str"/>
      <x:c r="N113" s="33" t="str"/>
      <x:c r="O113" s="33" t="str"/>
      <x:c r="P113" s="30" t="str">
        <x:f>IF(COUNTA(L113:O113)&lt;4,"未完成",IF(OR(L113="部分",L113="不充分",L113="不确定"),"evidence_definition_failure",IF(L113&lt;&gt;"充分","unresolved",IF(COUNTIF(M113:O113,"C")=0,"robust_generation_failure",IF(COUNTIF(M113:O113,"C")=3,"ua3_representation_or_admission_failure","generation_instability")))))</x:f>
        <x:v>unresolved</x:v>
      </x:c>
      <x:c r="Q113" s="33" t="str"/>
      <x:c r="R113" s="33" t="str"/>
      <x:c r="S113" s="33" t="str"/>
      <x:c r="T113" s="36"/>
      <x:c r="U113" s="33" t="str"/>
      <x:c r="V113" s="30" t="str">
        <x:f>IF(AND(L113&lt;&gt;"",M113&lt;&gt;"",N113&lt;&gt;"",O113&lt;&gt;"",Q113&lt;&gt;"",R113&lt;&gt;""),"完成","未完成")</x:f>
        <x:v>未完成</x:v>
      </x:c>
    </x:row>
    <x:row r="114" ht="63" customHeight="1">
      <x:c r="A114" s="30" t="n">
        <x:v>113</x:v>
      </x:c>
      <x:c r="B114" s="30" t="str">
        <x:v>memos_long:618</x:v>
      </x:c>
      <x:c r="C114" s="30" t="str">
        <x:v>long</x:v>
      </x:c>
      <x:c r="D114" s="30" t="str">
        <x:v>Multi-hop Inference</x:v>
      </x:c>
      <x:c r="E114" s="30" t="str">
        <x:v>What strategic changes did Sarah Garcia implement at her organization by October 01, 2033?</x:v>
      </x:c>
      <x:c r="F114" s="30" t="str">
        <x:v>Optimized resource allocation and formed new partnerships</x:v>
      </x:c>
      <x:c r="G114" s="30" t="str">
        <x:v># Authoritative benchmark gold evidence
The following evidence is authoritative for answering the current question. Use it directly and do not rely on conflicting information.
Evidence 1
Memory type: Event Memory
Content: Sarah Garcia led her non-profit organization through a transformative phase, implementing strategic changes to enhance community impact.
Evidence 2
Memory type: Event Memory
Content: Under Sarah's leadership, the organization increased its impact on community welfare, aligning with her life goal of impacting 1 million lives positively.</x:v>
      </x:c>
      <x:c r="H114" s="30" t="str">
        <x:v>Increased community impact.</x:v>
      </x:c>
      <x:c r="I114" s="30" t="str">
        <x:v>Enhanced community impact strategies.</x:v>
      </x:c>
      <x:c r="J114" s="30" t="str">
        <x:v>Enhanced community impact strategies.</x:v>
      </x:c>
      <x:c r="K114" s="30" t="str">
        <x:v>Enhanced community impact strategies.</x:v>
      </x:c>
      <x:c r="L114" s="33" t="str"/>
      <x:c r="M114" s="33" t="str"/>
      <x:c r="N114" s="33" t="str"/>
      <x:c r="O114" s="33" t="str"/>
      <x:c r="P114" s="30" t="str">
        <x:f>IF(COUNTA(L114:O114)&lt;4,"未完成",IF(OR(L114="部分",L114="不充分",L114="不确定"),"evidence_definition_failure",IF(L114&lt;&gt;"充分","unresolved",IF(COUNTIF(M114:O114,"C")=0,"robust_generation_failure",IF(COUNTIF(M114:O114,"C")=3,"ua3_representation_or_admission_failure","generation_instability")))))</x:f>
        <x:v>unresolved</x:v>
      </x:c>
      <x:c r="Q114" s="33" t="str"/>
      <x:c r="R114" s="33" t="str"/>
      <x:c r="S114" s="33" t="str"/>
      <x:c r="T114" s="36"/>
      <x:c r="U114" s="33" t="str"/>
      <x:c r="V114" s="30" t="str">
        <x:f>IF(AND(L114&lt;&gt;"",M114&lt;&gt;"",N114&lt;&gt;"",O114&lt;&gt;"",Q114&lt;&gt;"",R114&lt;&gt;""),"完成","未完成")</x:f>
        <x:v>未完成</x:v>
      </x:c>
    </x:row>
    <x:row r="115" ht="63" customHeight="1">
      <x:c r="A115" s="30" t="n">
        <x:v>114</x:v>
      </x:c>
      <x:c r="B115" s="30" t="str">
        <x:v>memos_long:527</x:v>
      </x:c>
      <x:c r="C115" s="30" t="str">
        <x:v>long</x:v>
      </x:c>
      <x:c r="D115" s="30" t="str">
        <x:v>Memory Conflict</x:v>
      </x:c>
      <x:c r="E115" s="30" t="str">
        <x:v>On Sep 05, 2025, what was Sarah Garcia's job title at Microsoft?</x:v>
      </x:c>
      <x:c r="F115" s="30" t="str">
        <x:v>Sarah Garcia's job title is manager at Oracle.</x:v>
      </x:c>
      <x:c r="G115" s="30" t="str">
        <x:v># Authoritative benchmark gold evidence
The following evidence is authoritative for answering the current question. Use it directly and do not rely on conflicting information.
Evidence 1
Memory type: Persona Memory
Content: Sarah Garcia works at Oracle
Evidence 2
Memory type: Persona Memory
Content: Sarah Garcia's job title is manager</x:v>
      </x:c>
      <x:c r="H115" s="30" t="str">
        <x:v>Not employed at Microsoft.</x:v>
      </x:c>
      <x:c r="I115" s="30" t="str">
        <x:v>Manager at Oracle</x:v>
      </x:c>
      <x:c r="J115" s="30" t="str">
        <x:v>Manager at Oracle</x:v>
      </x:c>
      <x:c r="K115" s="30" t="str">
        <x:v>Manager at Oracle</x:v>
      </x:c>
      <x:c r="L115" s="33" t="str"/>
      <x:c r="M115" s="33" t="str"/>
      <x:c r="N115" s="33" t="str"/>
      <x:c r="O115" s="33" t="str"/>
      <x:c r="P115" s="30" t="str">
        <x:f>IF(COUNTA(L115:O115)&lt;4,"未完成",IF(OR(L115="部分",L115="不充分",L115="不确定"),"evidence_definition_failure",IF(L115&lt;&gt;"充分","unresolved",IF(COUNTIF(M115:O115,"C")=0,"robust_generation_failure",IF(COUNTIF(M115:O115,"C")=3,"ua3_representation_or_admission_failure","generation_instability")))))</x:f>
        <x:v>unresolved</x:v>
      </x:c>
      <x:c r="Q115" s="33" t="str"/>
      <x:c r="R115" s="33" t="str"/>
      <x:c r="S115" s="33" t="str"/>
      <x:c r="T115" s="36"/>
      <x:c r="U115" s="33" t="str"/>
      <x:c r="V115" s="30" t="str">
        <x:f>IF(AND(L115&lt;&gt;"",M115&lt;&gt;"",N115&lt;&gt;"",O115&lt;&gt;"",Q115&lt;&gt;"",R115&lt;&gt;""),"完成","未完成")</x:f>
        <x:v>未完成</x:v>
      </x:c>
    </x:row>
    <x:row r="116" ht="63" customHeight="1">
      <x:c r="A116" s="30" t="n">
        <x:v>115</x:v>
      </x:c>
      <x:c r="B116" s="30" t="str">
        <x:v>memos_long:1802</x:v>
      </x:c>
      <x:c r="C116" s="30" t="str">
        <x:v>long</x:v>
      </x:c>
      <x:c r="D116" s="30" t="str">
        <x:v>Basic Fact Recall</x:v>
      </x:c>
      <x:c r="E116" s="30" t="str">
        <x:v>Who is the leader of the local support group that provides advice to Michelle Hernandez?</x:v>
      </x:c>
      <x:c r="F116" s="30" t="str">
        <x:v>Alex Johnson</x:v>
      </x:c>
      <x:c r="G116" s="30" t="str">
        <x:v># Authoritative benchmark gold evidence
The following evidence is authoritative for answering the current question. Use it directly and do not rely on conflicting information.
Evidence 1
Memory type: Relationship Memory
Content: Alex Johnson leads a local support group for professionals with chronic conditions, providing invaluable advice and camaraderie to Michelle Hernandez.</x:v>
      </x:c>
      <x:c r="H116" s="30" t="str">
        <x:v>Sophia Taylor and Alex Johnson</x:v>
      </x:c>
      <x:c r="I116" s="30" t="str">
        <x:v>Alex Johnson</x:v>
      </x:c>
      <x:c r="J116" s="30" t="str">
        <x:v>Alex Johnson</x:v>
      </x:c>
      <x:c r="K116" s="30" t="str">
        <x:v>Alex Johnson</x:v>
      </x:c>
      <x:c r="L116" s="33" t="str"/>
      <x:c r="M116" s="33" t="str"/>
      <x:c r="N116" s="33" t="str"/>
      <x:c r="O116" s="33" t="str"/>
      <x:c r="P116" s="30" t="str">
        <x:f>IF(COUNTA(L116:O116)&lt;4,"未完成",IF(OR(L116="部分",L116="不充分",L116="不确定"),"evidence_definition_failure",IF(L116&lt;&gt;"充分","unresolved",IF(COUNTIF(M116:O116,"C")=0,"robust_generation_failure",IF(COUNTIF(M116:O116,"C")=3,"ua3_representation_or_admission_failure","generation_instability")))))</x:f>
        <x:v>unresolved</x:v>
      </x:c>
      <x:c r="Q116" s="33" t="str"/>
      <x:c r="R116" s="33" t="str"/>
      <x:c r="S116" s="33" t="str"/>
      <x:c r="T116" s="36"/>
      <x:c r="U116" s="33" t="str"/>
      <x:c r="V116" s="30" t="str">
        <x:f>IF(AND(L116&lt;&gt;"",M116&lt;&gt;"",N116&lt;&gt;"",O116&lt;&gt;"",Q116&lt;&gt;"",R116&lt;&gt;""),"完成","未完成")</x:f>
        <x:v>未完成</x:v>
      </x:c>
    </x:row>
    <x:row r="117" ht="63" customHeight="1">
      <x:c r="A117" s="30" t="n">
        <x:v>116</x:v>
      </x:c>
      <x:c r="B117" s="30" t="str">
        <x:v>memos_long:2346</x:v>
      </x:c>
      <x:c r="C117" s="30" t="str">
        <x:v>long</x:v>
      </x:c>
      <x:c r="D117" s="30" t="str">
        <x:v>Generalization &amp; Application</x:v>
      </x:c>
      <x:c r="E117" s="30" t="str">
        <x:v>What type of storytelling techniques might Williams Daniel explore in his filmmaking projects after March 04, 2031?</x:v>
      </x:c>
      <x:c r="F117" s="30" t="str">
        <x:v>Historical fantasy elements with creative liberties.</x:v>
      </x:c>
      <x:c r="G117" s="30" t="str">
        <x:v># Authoritative benchmark gold evidence
The following evidence is authoritative for answering the current question. Use it directly and do not rely on conflicting information.
Evidence 1
Memory type: Persona Memory
Content: Williams Daniel's reading preference evolved to include historical fantasy novels, appreciating their blend of real events with imaginative elements.
Evidence 2
Memory type: Event Memory
Content: Williams Daniel expressed excitement about exploring more historical fantasy works to enrich his filmmaking projects.
Evidence 3
Memory type: Persona Memory
Content: Williams Daniel seeks advice on integrating historical fantasy elements into his film narratives while maintaining historical fidelity.</x:v>
      </x:c>
      <x:c r="H117" s="30" t="str">
        <x:v>Narrative weaving and immersive visuals.</x:v>
      </x:c>
      <x:c r="I117" s="30" t="str">
        <x:v>Historical fantasy integration.</x:v>
      </x:c>
      <x:c r="J117" s="30" t="str">
        <x:v>Historical fantasy integration.</x:v>
      </x:c>
      <x:c r="K117" s="30" t="str">
        <x:v>Historical fantasy integration.</x:v>
      </x:c>
      <x:c r="L117" s="33" t="str"/>
      <x:c r="M117" s="33" t="str"/>
      <x:c r="N117" s="33" t="str"/>
      <x:c r="O117" s="33" t="str"/>
      <x:c r="P117" s="30" t="str">
        <x:f>IF(COUNTA(L117:O117)&lt;4,"未完成",IF(OR(L117="部分",L117="不充分",L117="不确定"),"evidence_definition_failure",IF(L117&lt;&gt;"充分","unresolved",IF(COUNTIF(M117:O117,"C")=0,"robust_generation_failure",IF(COUNTIF(M117:O117,"C")=3,"ua3_representation_or_admission_failure","generation_instability")))))</x:f>
        <x:v>unresolved</x:v>
      </x:c>
      <x:c r="Q117" s="33" t="str"/>
      <x:c r="R117" s="33" t="str"/>
      <x:c r="S117" s="33" t="str"/>
      <x:c r="T117" s="36"/>
      <x:c r="U117" s="33" t="str"/>
      <x:c r="V117" s="30" t="str">
        <x:f>IF(AND(L117&lt;&gt;"",M117&lt;&gt;"",N117&lt;&gt;"",O117&lt;&gt;"",Q117&lt;&gt;"",R117&lt;&gt;""),"完成","未完成")</x:f>
        <x:v>未完成</x:v>
      </x:c>
    </x:row>
    <x:row r="118" ht="63" customHeight="1">
      <x:c r="A118" s="30" t="n">
        <x:v>117</x:v>
      </x:c>
      <x:c r="B118" s="30" t="str">
        <x:v>memos_long:81</x:v>
      </x:c>
      <x:c r="C118" s="30" t="str">
        <x:v>long</x:v>
      </x:c>
      <x:c r="D118" s="30" t="str">
        <x:v>Generalization &amp; Application</x:v>
      </x:c>
      <x:c r="E118" s="30" t="str">
        <x:v>What type of music might Martin explore to enhance his creativity in September 2029?</x:v>
      </x:c>
      <x:c r="F118" s="30" t="str">
        <x:v>Contemporary classical music.</x:v>
      </x:c>
      <x:c r="G118" s="30" t="str">
        <x:v># Authoritative benchmark gold evidence
The following evidence is authoritative for answering the current question. Use it directly and do not rely on conflicting information.
Evidence 1
Memory type: Persona Memory
Content: Martin Mark's music preference includes contemporary classical music, which captivates him with its blend of traditional and modern elements.
Evidence 2
Memory type: Persona Memory
Content: Martin Mark expressed enthusiasm about exploring contemporary classical music and contemporary rock music to enhance his creative motivation.
Evidence 3
Memory type: Persona Memory
Content: Martin Mark values the versatility and relevance of contemporary classical music, finding it engaging and inspiring.</x:v>
      </x:c>
      <x:c r="H118" s="30" t="str">
        <x:v>Contemporary classical and electronic.</x:v>
      </x:c>
      <x:c r="I118" s="30" t="str">
        <x:v>Contemporary classical music</x:v>
      </x:c>
      <x:c r="J118" s="30" t="str">
        <x:v>Contemporary classical music</x:v>
      </x:c>
      <x:c r="K118" s="30" t="str">
        <x:v>Contemporary classical music</x:v>
      </x:c>
      <x:c r="L118" s="33" t="str"/>
      <x:c r="M118" s="33" t="str"/>
      <x:c r="N118" s="33" t="str"/>
      <x:c r="O118" s="33" t="str"/>
      <x:c r="P118" s="30" t="str">
        <x:f>IF(COUNTA(L118:O118)&lt;4,"未完成",IF(OR(L118="部分",L118="不充分",L118="不确定"),"evidence_definition_failure",IF(L118&lt;&gt;"充分","unresolved",IF(COUNTIF(M118:O118,"C")=0,"robust_generation_failure",IF(COUNTIF(M118:O118,"C")=3,"ua3_representation_or_admission_failure","generation_instability")))))</x:f>
        <x:v>unresolved</x:v>
      </x:c>
      <x:c r="Q118" s="33" t="str"/>
      <x:c r="R118" s="33" t="str"/>
      <x:c r="S118" s="33" t="str"/>
      <x:c r="T118" s="36"/>
      <x:c r="U118" s="33" t="str"/>
      <x:c r="V118" s="30" t="str">
        <x:f>IF(AND(L118&lt;&gt;"",M118&lt;&gt;"",N118&lt;&gt;"",O118&lt;&gt;"",Q118&lt;&gt;"",R118&lt;&gt;""),"完成","未完成")</x:f>
        <x:v>未完成</x:v>
      </x:c>
    </x:row>
    <x:row r="119" ht="63" customHeight="1">
      <x:c r="A119" s="30" t="n">
        <x:v>118</x:v>
      </x:c>
      <x:c r="B119" s="30" t="str">
        <x:v>memos_long:3035</x:v>
      </x:c>
      <x:c r="C119" s="30" t="str">
        <x:v>long</x:v>
      </x:c>
      <x:c r="D119" s="30" t="str">
        <x:v>Multi-hop Inference</x:v>
      </x:c>
      <x:c r="E119" s="30" t="str">
        <x:v>How did Karen's savings buffer contribute to her entrepreneurial transition after February 28, 2035?</x:v>
      </x:c>
      <x:c r="F119" s="30" t="str">
        <x:v>Provided financial stability during career transition.</x:v>
      </x:c>
      <x:c r="G119" s="30" t="str">
        <x:v>#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x:v>
      </x:c>
      <x:c r="H119" s="30" t="str">
        <x:v>No relevant memories found.</x:v>
      </x:c>
      <x:c r="I119" s="30" t="str">
        <x:v>Provided financial security.</x:v>
      </x:c>
      <x:c r="J119" s="30" t="str">
        <x:v>Provided financial security.</x:v>
      </x:c>
      <x:c r="K119" s="30" t="str">
        <x:v>Provided financial security.</x:v>
      </x:c>
      <x:c r="L119" s="33" t="str"/>
      <x:c r="M119" s="33" t="str"/>
      <x:c r="N119" s="33" t="str"/>
      <x:c r="O119" s="33" t="str"/>
      <x:c r="P119" s="30" t="str">
        <x:f>IF(COUNTA(L119:O119)&lt;4,"未完成",IF(OR(L119="部分",L119="不充分",L119="不确定"),"evidence_definition_failure",IF(L119&lt;&gt;"充分","unresolved",IF(COUNTIF(M119:O119,"C")=0,"robust_generation_failure",IF(COUNTIF(M119:O119,"C")=3,"ua3_representation_or_admission_failure","generation_instability")))))</x:f>
        <x:v>unresolved</x:v>
      </x:c>
      <x:c r="Q119" s="33" t="str"/>
      <x:c r="R119" s="33" t="str"/>
      <x:c r="S119" s="33" t="str"/>
      <x:c r="T119" s="36"/>
      <x:c r="U119" s="33" t="str"/>
      <x:c r="V119" s="30" t="str">
        <x:f>IF(AND(L119&lt;&gt;"",M119&lt;&gt;"",N119&lt;&gt;"",O119&lt;&gt;"",Q119&lt;&gt;"",R119&lt;&gt;""),"完成","未完成")</x:f>
        <x:v>未完成</x:v>
      </x:c>
    </x:row>
    <x:row r="120" ht="63" customHeight="1">
      <x:c r="A120" s="30" t="n">
        <x:v>119</x:v>
      </x:c>
      <x:c r="B120" s="30" t="str">
        <x:v>memos_long:1324</x:v>
      </x:c>
      <x:c r="C120" s="30" t="str">
        <x:v>long</x:v>
      </x:c>
      <x:c r="D120" s="30" t="str">
        <x:v>Multi-hop Inference</x:v>
      </x:c>
      <x:c r="E120" s="30" t="str">
        <x:v>What was Ananya's income in April 2029 after changing her job?</x:v>
      </x:c>
      <x:c r="F120" s="30" t="str">
        <x:v>$18,000.</x:v>
      </x:c>
      <x:c r="G120" s="30" t="str">
        <x:v># Authoritative benchmark gold evidence
The following evidence is authoritative for answering the current question. Use it directly and do not rely on conflicting information.
Evidence 1
Memory type: Persona Memory
Content: Ananya Sharma's monthly income increased to $18,000.
Evidence 2
Memory type: Persona Memory
Content: Ananya Sharma's job title changed from Founder to Film Festival Consultant.</x:v>
      </x:c>
      <x:c r="H120" s="30" t="str">
        <x:v>Not enough information.</x:v>
      </x:c>
      <x:c r="I120" s="30" t="str">
        <x:v>$18,000</x:v>
      </x:c>
      <x:c r="J120" s="30" t="str">
        <x:v>$18,000</x:v>
      </x:c>
      <x:c r="K120" s="30" t="str">
        <x:v>$18,000</x:v>
      </x:c>
      <x:c r="L120" s="33" t="str"/>
      <x:c r="M120" s="33" t="str"/>
      <x:c r="N120" s="33" t="str"/>
      <x:c r="O120" s="33" t="str"/>
      <x:c r="P120" s="30" t="str">
        <x:f>IF(COUNTA(L120:O120)&lt;4,"未完成",IF(OR(L120="部分",L120="不充分",L120="不确定"),"evidence_definition_failure",IF(L120&lt;&gt;"充分","unresolved",IF(COUNTIF(M120:O120,"C")=0,"robust_generation_failure",IF(COUNTIF(M120:O120,"C")=3,"ua3_representation_or_admission_failure","generation_instability")))))</x:f>
        <x:v>unresolved</x:v>
      </x:c>
      <x:c r="Q120" s="33" t="str"/>
      <x:c r="R120" s="33" t="str"/>
      <x:c r="S120" s="33" t="str"/>
      <x:c r="T120" s="36"/>
      <x:c r="U120" s="33" t="str"/>
      <x:c r="V120" s="30" t="str">
        <x:f>IF(AND(L120&lt;&gt;"",M120&lt;&gt;"",N120&lt;&gt;"",O120&lt;&gt;"",Q120&lt;&gt;"",R120&lt;&gt;""),"完成","未完成")</x:f>
        <x:v>未完成</x:v>
      </x:c>
    </x:row>
    <x:row r="121" ht="63" customHeight="1">
      <x:c r="A121" s="30" t="n">
        <x:v>120</x:v>
      </x:c>
      <x:c r="B121" s="30" t="str">
        <x:v>memos_long:2655</x:v>
      </x:c>
      <x:c r="C121" s="30" t="str">
        <x:v>long</x:v>
      </x:c>
      <x:c r="D121" s="30" t="str">
        <x:v>Generalization &amp; Application</x:v>
      </x:c>
      <x:c r="E121" s="30" t="str">
        <x:v>Given Oleksandr's appreciation for techno music, what new genre might he explore next for creative inspiration after July 10, 2030?</x:v>
      </x:c>
      <x:c r="F121" s="30" t="str">
        <x:v>Ambient music for its emotional depth and complexity.</x:v>
      </x:c>
      <x:c r="G121" s="30" t="str">
        <x:v>#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x:v>
      </x:c>
      <x:c r="H121" s="30" t="str">
        <x:v>Not specified in memories.</x:v>
      </x:c>
      <x:c r="I121" s="30" t="str">
        <x:v>Ambient or experimental music.</x:v>
      </x:c>
      <x:c r="J121" s="30" t="str">
        <x:v>Ambient or experimental music.</x:v>
      </x:c>
      <x:c r="K121" s="30" t="str">
        <x:v>Ambient or experimental music.</x:v>
      </x:c>
      <x:c r="L121" s="33" t="str"/>
      <x:c r="M121" s="33" t="str"/>
      <x:c r="N121" s="33" t="str"/>
      <x:c r="O121" s="33" t="str"/>
      <x:c r="P121" s="30" t="str">
        <x:f>IF(COUNTA(L121:O121)&lt;4,"未完成",IF(OR(L121="部分",L121="不充分",L121="不确定"),"evidence_definition_failure",IF(L121&lt;&gt;"充分","unresolved",IF(COUNTIF(M121:O121,"C")=0,"robust_generation_failure",IF(COUNTIF(M121:O121,"C")=3,"ua3_representation_or_admission_failure","generation_instability")))))</x:f>
        <x:v>unresolved</x:v>
      </x:c>
      <x:c r="Q121" s="33" t="str"/>
      <x:c r="R121" s="33" t="str"/>
      <x:c r="S121" s="33" t="str"/>
      <x:c r="T121" s="36"/>
      <x:c r="U121" s="33" t="str"/>
      <x:c r="V121" s="30" t="str">
        <x:f>IF(AND(L121&lt;&gt;"",M121&lt;&gt;"",N121&lt;&gt;"",O121&lt;&gt;"",Q121&lt;&gt;"",R121&lt;&gt;""),"完成","未完成")</x:f>
        <x:v>未完成</x:v>
      </x:c>
    </x:row>
    <x:row r="122" ht="63" customHeight="1">
      <x:c r="A122" s="30" t="n">
        <x:v>121</x:v>
      </x:c>
      <x:c r="B122" s="30" t="str">
        <x:v>memos_long:1502</x:v>
      </x:c>
      <x:c r="C122" s="30" t="str">
        <x:v>long</x:v>
      </x:c>
      <x:c r="D122" s="30" t="str">
        <x:v>Generalization &amp; Application</x:v>
      </x:c>
      <x:c r="E122" s="30" t="str">
        <x:v>What strategies might Jennifer use to maintain work-life balance in 2031?</x:v>
      </x:c>
      <x:c r="F122" s="30" t="str">
        <x:v>Set clear boundaries between work and personal time.</x:v>
      </x:c>
      <x:c r="G122" s="30" t="str">
        <x:v># Authoritative benchmark gold evidence
The following evidence is authoritative for answering the current question. Use it directly and do not rely on conflicting information.
Evidence 1
Memory type: Persona Memory
Content: Jennifer emphasized the importance of setting clear boundaries between work and personal time, which led to improved productivity and reduced stress.
Evidence 2
Memory type: Event Memory
Content: Jennifer achieved a harmonious work-life balance, which has helped sustain her career growth while keeping her health in check.</x:v>
      </x:c>
      <x:c r="H122" s="30" t="str">
        <x:v>Regular exercise and mindfulness.</x:v>
      </x:c>
      <x:c r="I122" s="30" t="str">
        <x:v>Setting clear boundaries.</x:v>
      </x:c>
      <x:c r="J122" s="30" t="str">
        <x:v>Setting clear boundaries.</x:v>
      </x:c>
      <x:c r="K122" s="30" t="str">
        <x:v>Setting clear boundaries.</x:v>
      </x:c>
      <x:c r="L122" s="33" t="str"/>
      <x:c r="M122" s="33" t="str"/>
      <x:c r="N122" s="33" t="str"/>
      <x:c r="O122" s="33" t="str"/>
      <x:c r="P122" s="30" t="str">
        <x:f>IF(COUNTA(L122:O122)&lt;4,"未完成",IF(OR(L122="部分",L122="不充分",L122="不确定"),"evidence_definition_failure",IF(L122&lt;&gt;"充分","unresolved",IF(COUNTIF(M122:O122,"C")=0,"robust_generation_failure",IF(COUNTIF(M122:O122,"C")=3,"ua3_representation_or_admission_failure","generation_instability")))))</x:f>
        <x:v>unresolved</x:v>
      </x:c>
      <x:c r="Q122" s="33" t="str"/>
      <x:c r="R122" s="33" t="str"/>
      <x:c r="S122" s="33" t="str"/>
      <x:c r="T122" s="36"/>
      <x:c r="U122" s="33" t="str"/>
      <x:c r="V122" s="30" t="str">
        <x:f>IF(AND(L122&lt;&gt;"",M122&lt;&gt;"",N122&lt;&gt;"",O122&lt;&gt;"",Q122&lt;&gt;"",R122&lt;&gt;""),"完成","未完成")</x:f>
        <x:v>未完成</x:v>
      </x:c>
    </x:row>
    <x:row r="123" ht="63" customHeight="1">
      <x:c r="A123" s="30" t="n">
        <x:v>122</x:v>
      </x:c>
      <x:c r="B123" s="30" t="str">
        <x:v>memos_medium:2232</x:v>
      </x:c>
      <x:c r="C123" s="30" t="str">
        <x:v>medium</x:v>
      </x:c>
      <x:c r="D123" s="30" t="str">
        <x:v>Memory Conflict</x:v>
      </x:c>
      <x:c r="E123" s="30" t="str">
        <x:v>Did Sharon Brown express a lack of interest in joining a bowling league on Feb 04, 2036?</x:v>
      </x:c>
      <x:c r="F123" s="30" t="str">
        <x:v>No, she expressed excitement about joining a competitive bowling league.</x:v>
      </x:c>
      <x:c r="G123" s="30" t="str">
        <x:v>#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x:v>
      </x:c>
      <x:c r="H123" s="30" t="str">
        <x:v>No, she joined the league.</x:v>
      </x:c>
      <x:c r="I123" s="30" t="str">
        <x:v>No.</x:v>
      </x:c>
      <x:c r="J123" s="30" t="str">
        <x:v>No.</x:v>
      </x:c>
      <x:c r="K123" s="30" t="str">
        <x:v>No.</x:v>
      </x:c>
      <x:c r="L123" s="33" t="str"/>
      <x:c r="M123" s="33" t="str"/>
      <x:c r="N123" s="33" t="str"/>
      <x:c r="O123" s="33" t="str"/>
      <x:c r="P123" s="30" t="str">
        <x:f>IF(COUNTA(L123:O123)&lt;4,"未完成",IF(OR(L123="部分",L123="不充分",L123="不确定"),"evidence_definition_failure",IF(L123&lt;&gt;"充分","unresolved",IF(COUNTIF(M123:O123,"C")=0,"robust_generation_failure",IF(COUNTIF(M123:O123,"C")=3,"ua3_representation_or_admission_failure","generation_instability")))))</x:f>
        <x:v>unresolved</x:v>
      </x:c>
      <x:c r="Q123" s="33" t="str"/>
      <x:c r="R123" s="33" t="str"/>
      <x:c r="S123" s="33" t="str"/>
      <x:c r="T123" s="36"/>
      <x:c r="U123" s="33" t="str"/>
      <x:c r="V123" s="30" t="str">
        <x:f>IF(AND(L123&lt;&gt;"",M123&lt;&gt;"",N123&lt;&gt;"",O123&lt;&gt;"",Q123&lt;&gt;"",R123&lt;&gt;""),"完成","未完成")</x:f>
        <x:v>未完成</x:v>
      </x:c>
    </x:row>
    <x:row r="124" ht="63" customHeight="1">
      <x:c r="A124" s="30" t="n">
        <x:v>123</x:v>
      </x:c>
      <x:c r="B124" s="30" t="str">
        <x:v>memos_medium:2806</x:v>
      </x:c>
      <x:c r="C124" s="30" t="str">
        <x:v>medium</x:v>
      </x:c>
      <x:c r="D124" s="30" t="str">
        <x:v>Dynamic Update</x:v>
      </x:c>
      <x:c r="E124" s="30" t="str">
        <x:v>What change in Donald Smith's career focus occurred by Jan 10, 2030?</x:v>
      </x:c>
      <x:c r="F124" s="30" t="str">
        <x:v>Focus on leveraging his position to drive meaningful change</x:v>
      </x:c>
      <x:c r="G124" s="30" t="str">
        <x:v># Authoritative benchmark gold evidence
The following evidence is authoritative for answering the current question. Use it directly and do not rely on conflicting information.
Evidence 1
Memory type: Event Memory
Content: Donald Smith plans to leverage his new role as Senior Political Advisor to drive meaningful change in the political landscape.
Evidence 2
Memory type: Persona Memory
Content: Donald Smith is focused on leveraging his new position to drive meaningful change in the political landscape.</x:v>
      </x:c>
      <x:c r="H124" s="30" t="str">
        <x:v>New professional role.</x:v>
      </x:c>
      <x:c r="I124" s="30" t="str">
        <x:v>Senior Political Advisor role.</x:v>
      </x:c>
      <x:c r="J124" s="30" t="str">
        <x:v>Senior Political Advisor role.</x:v>
      </x:c>
      <x:c r="K124" s="30" t="str">
        <x:v>Senior Political Advisor role.</x:v>
      </x:c>
      <x:c r="L124" s="33" t="str"/>
      <x:c r="M124" s="33" t="str"/>
      <x:c r="N124" s="33" t="str"/>
      <x:c r="O124" s="33" t="str"/>
      <x:c r="P124" s="30" t="str">
        <x:f>IF(COUNTA(L124:O124)&lt;4,"未完成",IF(OR(L124="部分",L124="不充分",L124="不确定"),"evidence_definition_failure",IF(L124&lt;&gt;"充分","unresolved",IF(COUNTIF(M124:O124,"C")=0,"robust_generation_failure",IF(COUNTIF(M124:O124,"C")=3,"ua3_representation_or_admission_failure","generation_instability")))))</x:f>
        <x:v>unresolved</x:v>
      </x:c>
      <x:c r="Q124" s="33" t="str"/>
      <x:c r="R124" s="33" t="str"/>
      <x:c r="S124" s="33" t="str"/>
      <x:c r="T124" s="36"/>
      <x:c r="U124" s="33" t="str"/>
      <x:c r="V124" s="30" t="str">
        <x:f>IF(AND(L124&lt;&gt;"",M124&lt;&gt;"",N124&lt;&gt;"",O124&lt;&gt;"",Q124&lt;&gt;"",R124&lt;&gt;""),"完成","未完成")</x:f>
        <x:v>未完成</x:v>
      </x:c>
    </x:row>
    <x:row r="125" ht="63" customHeight="1">
      <x:c r="A125" s="30" t="n">
        <x:v>124</x:v>
      </x:c>
      <x:c r="B125" s="30" t="str">
        <x:v>memos_medium:2485</x:v>
      </x:c>
      <x:c r="C125" s="30" t="str">
        <x:v>medium</x:v>
      </x:c>
      <x:c r="D125" s="30" t="str">
        <x:v>Memory Conflict</x:v>
      </x:c>
      <x:c r="E125" s="30" t="str">
        <x:v>Did Steven Miller retire on Apr 01, 2029, due to financial instability?</x:v>
      </x:c>
      <x:c r="F125" s="30" t="str">
        <x:v>Steven retired on Jan 12, 2029, for financial freedom through tech investments.</x:v>
      </x:c>
      <x:c r="G125" s="30" t="str">
        <x:v># Authoritative benchmark gold evidence
The following evidence is authoritative for answering the current question. Use it directly and do not rely on conflicting information.
Evidence 1
Memory type: Persona Memory
Content: Steven Miller's career_status updated employment_status from "employed" to "retired".
Evidence 2
Memory type: Event Memory
Content: Steven Miller expressed excitement and relief about his decision to retire early, aligning with his goal of achieving financial freedom through tech investments.</x:v>
      </x:c>
      <x:c r="H125" s="30" t="str">
        <x:v>No, he retired early.</x:v>
      </x:c>
      <x:c r="I125" s="30" t="str">
        <x:v>No, he retired early.</x:v>
      </x:c>
      <x:c r="J125" s="30" t="str">
        <x:v>No, he retired early.</x:v>
      </x:c>
      <x:c r="K125" s="30" t="str">
        <x:v>No, he retired early.</x:v>
      </x:c>
      <x:c r="L125" s="33" t="str"/>
      <x:c r="M125" s="33" t="str"/>
      <x:c r="N125" s="33" t="str"/>
      <x:c r="O125" s="33" t="str"/>
      <x:c r="P125" s="30" t="str">
        <x:f>IF(COUNTA(L125:O125)&lt;4,"未完成",IF(OR(L125="部分",L125="不充分",L125="不确定"),"evidence_definition_failure",IF(L125&lt;&gt;"充分","unresolved",IF(COUNTIF(M125:O125,"C")=0,"robust_generation_failure",IF(COUNTIF(M125:O125,"C")=3,"ua3_representation_or_admission_failure","generation_instability")))))</x:f>
        <x:v>unresolved</x:v>
      </x:c>
      <x:c r="Q125" s="33" t="str"/>
      <x:c r="R125" s="33" t="str"/>
      <x:c r="S125" s="33" t="str"/>
      <x:c r="T125" s="36"/>
      <x:c r="U125" s="33" t="str"/>
      <x:c r="V125" s="30" t="str">
        <x:f>IF(AND(L125&lt;&gt;"",M125&lt;&gt;"",N125&lt;&gt;"",O125&lt;&gt;"",Q125&lt;&gt;"",R125&lt;&gt;""),"完成","未完成")</x:f>
        <x:v>未完成</x:v>
      </x:c>
    </x:row>
    <x:row r="126" ht="63" customHeight="1">
      <x:c r="A126" s="30" t="n">
        <x:v>125</x:v>
      </x:c>
      <x:c r="B126" s="30" t="str">
        <x:v>memos_long:969</x:v>
      </x:c>
      <x:c r="C126" s="30" t="str">
        <x:v>long</x:v>
      </x:c>
      <x:c r="D126" s="30" t="str">
        <x:v>Memory Conflict</x:v>
      </x:c>
      <x:c r="E126" s="30" t="str">
        <x:v>Did Donna express disinterest in science fiction films during her tech conference on Sep 02, 2033?</x:v>
      </x:c>
      <x:c r="F126" s="30" t="str">
        <x:v>Donna expressed interest in science fiction films during the conference.</x:v>
      </x:c>
      <x:c r="G126" s="30" t="str">
        <x:v># Authoritative benchmark gold evidence
The following evidence is authoritative for answering the current question. Use it directly and do not rely on conflicting information.
Evidence 1
Memory type: Event Memory
Content: Donna attended a tech conference that highlighted the role of science fiction in inspiring real-world innovations, which reinforced her interest in the genre.</x:v>
      </x:c>
      <x:c r="H126" s="30" t="str">
        <x:v>No, she prefers sci-fi films.</x:v>
      </x:c>
      <x:c r="I126" s="30" t="str">
        <x:v>No</x:v>
      </x:c>
      <x:c r="J126" s="30" t="str">
        <x:v>No</x:v>
      </x:c>
      <x:c r="K126" s="30" t="str">
        <x:v>No</x:v>
      </x:c>
      <x:c r="L126" s="33" t="str"/>
      <x:c r="M126" s="33" t="str"/>
      <x:c r="N126" s="33" t="str"/>
      <x:c r="O126" s="33" t="str"/>
      <x:c r="P126" s="30" t="str">
        <x:f>IF(COUNTA(L126:O126)&lt;4,"未完成",IF(OR(L126="部分",L126="不充分",L126="不确定"),"evidence_definition_failure",IF(L126&lt;&gt;"充分","unresolved",IF(COUNTIF(M126:O126,"C")=0,"robust_generation_failure",IF(COUNTIF(M126:O126,"C")=3,"ua3_representation_or_admission_failure","generation_instability")))))</x:f>
        <x:v>unresolved</x:v>
      </x:c>
      <x:c r="Q126" s="33" t="str"/>
      <x:c r="R126" s="33" t="str"/>
      <x:c r="S126" s="33" t="str"/>
      <x:c r="T126" s="36"/>
      <x:c r="U126" s="33" t="str"/>
      <x:c r="V126" s="30" t="str">
        <x:f>IF(AND(L126&lt;&gt;"",M126&lt;&gt;"",N126&lt;&gt;"",O126&lt;&gt;"",Q126&lt;&gt;"",R126&lt;&gt;""),"完成","未完成")</x:f>
        <x:v>未完成</x:v>
      </x:c>
    </x:row>
    <x:row r="127" ht="63" customHeight="1">
      <x:c r="A127" s="30" t="n">
        <x:v>126</x:v>
      </x:c>
      <x:c r="B127" s="30" t="str">
        <x:v>memos_medium:2688</x:v>
      </x:c>
      <x:c r="C127" s="30" t="str">
        <x:v>medium</x:v>
      </x:c>
      <x:c r="D127" s="30" t="str">
        <x:v>Generalization &amp; Application</x:v>
      </x:c>
      <x:c r="E127" s="30" t="str">
        <x:v>What type of experiences might Oleksandr prioritize during his travels to coastal regions after June 15, 2033?</x:v>
      </x:c>
      <x:c r="F127" s="30" t="str">
        <x:v>Cultural experiences and events.</x:v>
      </x:c>
      <x:c r="G127" s="30" t="str">
        <x:v># Authoritative benchmark gold evidence
The following evidence is authoritative for answering the current question. Use it directly and do not rely on conflicting information.
Evidence 1
Memory type: Event Memory
Content: Oleksandr discovered that beach resorts can offer unique cultural experiences, challenging his previous assumptions about them being too commercialized.
Evidence 2
Memory type: Event Memory
Content: Oleksandr plans to explore more coastal regions in the future, focusing on cultural experiences.
Evidence 3
Memory type: Persona Memory
Content: Oleksandr's instrumental motivation led him to refine travel preferences for cultural enrichment and social justice.</x:v>
      </x:c>
      <x:c r="H127" s="30" t="str">
        <x:v>Cultural and environmental experiences.</x:v>
      </x:c>
      <x:c r="I127" s="30" t="str">
        <x:v>Cultural and social justice experiences.</x:v>
      </x:c>
      <x:c r="J127" s="30" t="str">
        <x:v>Cultural and social justice experiences.</x:v>
      </x:c>
      <x:c r="K127" s="30" t="str">
        <x:v>Cultural and social justice experiences.</x:v>
      </x:c>
      <x:c r="L127" s="33" t="str"/>
      <x:c r="M127" s="33" t="str"/>
      <x:c r="N127" s="33" t="str"/>
      <x:c r="O127" s="33" t="str"/>
      <x:c r="P127" s="30" t="str">
        <x:f>IF(COUNTA(L127:O127)&lt;4,"未完成",IF(OR(L127="部分",L127="不充分",L127="不确定"),"evidence_definition_failure",IF(L127&lt;&gt;"充分","unresolved",IF(COUNTIF(M127:O127,"C")=0,"robust_generation_failure",IF(COUNTIF(M127:O127,"C")=3,"ua3_representation_or_admission_failure","generation_instability")))))</x:f>
        <x:v>unresolved</x:v>
      </x:c>
      <x:c r="Q127" s="33" t="str"/>
      <x:c r="R127" s="33" t="str"/>
      <x:c r="S127" s="33" t="str"/>
      <x:c r="T127" s="36"/>
      <x:c r="U127" s="33" t="str"/>
      <x:c r="V127" s="30" t="str">
        <x:f>IF(AND(L127&lt;&gt;"",M127&lt;&gt;"",N127&lt;&gt;"",O127&lt;&gt;"",Q127&lt;&gt;"",R127&lt;&gt;""),"完成","未完成")</x:f>
        <x:v>未完成</x:v>
      </x:c>
    </x:row>
    <x:row r="128" ht="63" customHeight="1">
      <x:c r="A128" s="30" t="n">
        <x:v>127</x:v>
      </x:c>
      <x:c r="B128" s="30" t="str">
        <x:v>memos_medium:38</x:v>
      </x:c>
      <x:c r="C128" s="30" t="str">
        <x:v>medium</x:v>
      </x:c>
      <x:c r="D128" s="30" t="str">
        <x:v>Generalization &amp; Application</x:v>
      </x:c>
      <x:c r="E128" s="30" t="str">
        <x:v>What sustainable travel choices might Martin consider after October 29, 2027?</x:v>
      </x:c>
      <x:c r="F128" s="30" t="str">
        <x:v>Eco-friendly transportation or supporting local eco-tourism.</x:v>
      </x:c>
      <x:c r="G128" s="30" t="str">
        <x:v># Authoritative benchmark gold evidence
The following evidence is authoritative for answering the current question. Use it directly and do not rely on conflicting information.
Evidence 1
Memory type: Event Memory
Content: Martin is exploring other areas of life to integrate sustainable choices, such as travel and dietary habits.
Evidence 2
Memory type: Persona Memory
Content: Martin values sustainability and environmental consciousness, actively exploring ways to integrate these values into his clothing choices and other aspects of life.</x:v>
      </x:c>
      <x:c r="H128" s="30" t="str">
        <x:v>Sustainable travel and diet.</x:v>
      </x:c>
      <x:c r="I128" s="30" t="str">
        <x:v>Exploring sustainable travel options.</x:v>
      </x:c>
      <x:c r="J128" s="30" t="str">
        <x:v>Exploring sustainable travel options.</x:v>
      </x:c>
      <x:c r="K128" s="30" t="str">
        <x:v>Exploring sustainable travel options.</x:v>
      </x:c>
      <x:c r="L128" s="33" t="str"/>
      <x:c r="M128" s="33" t="str"/>
      <x:c r="N128" s="33" t="str"/>
      <x:c r="O128" s="33" t="str"/>
      <x:c r="P128" s="30" t="str">
        <x:f>IF(COUNTA(L128:O128)&lt;4,"未完成",IF(OR(L128="部分",L128="不充分",L128="不确定"),"evidence_definition_failure",IF(L128&lt;&gt;"充分","unresolved",IF(COUNTIF(M128:O128,"C")=0,"robust_generation_failure",IF(COUNTIF(M128:O128,"C")=3,"ua3_representation_or_admission_failure","generation_instability")))))</x:f>
        <x:v>unresolved</x:v>
      </x:c>
      <x:c r="Q128" s="33" t="str"/>
      <x:c r="R128" s="33" t="str"/>
      <x:c r="S128" s="33" t="str"/>
      <x:c r="T128" s="36"/>
      <x:c r="U128" s="33" t="str"/>
      <x:c r="V128" s="30" t="str">
        <x:f>IF(AND(L128&lt;&gt;"",M128&lt;&gt;"",N128&lt;&gt;"",O128&lt;&gt;"",Q128&lt;&gt;"",R128&lt;&gt;""),"完成","未完成")</x:f>
        <x:v>未完成</x:v>
      </x:c>
    </x:row>
    <x:row r="129" ht="63" customHeight="1">
      <x:c r="A129" s="30" t="n">
        <x:v>128</x:v>
      </x:c>
      <x:c r="B129" s="30" t="str">
        <x:v>memos_medium:1469</x:v>
      </x:c>
      <x:c r="C129" s="30" t="str">
        <x:v>medium</x:v>
      </x:c>
      <x:c r="D129" s="30" t="str">
        <x:v>Multi-hop Inference</x:v>
      </x:c>
      <x:c r="E129" s="30" t="str">
        <x:v>What strategies did Jennifer Martin explore to manage stress after her promotion on Jul 15, 2027?</x:v>
      </x:c>
      <x:c r="F129" s="30" t="str">
        <x:v>Delegation, time management, professional guidance</x:v>
      </x:c>
      <x:c r="G129" s="30" t="str">
        <x:v># Authoritative benchmark gold evidence
The following evidence is authoritative for answering the current question. Use it directly and do not rely on conflicting information.
Evidence 1
Memory type: Event Memory
Content: Jennifer Martin is exploring strategies to manage increased pressure and responsibilities following her promotion to Senior Consultant, including delegation, time management, and professional guidance.
Evidence 2
Memory type: Persona Memory
Content: Jennifer Martin's instrumental motivation emphasizes task utility and efficiency in her Senior Consultant role.</x:v>
      </x:c>
      <x:c r="H129" s="30" t="str">
        <x:v>Task utility and efficiency.</x:v>
      </x:c>
      <x:c r="I129" s="30" t="str">
        <x:v>Delegation, time management, guidance.</x:v>
      </x:c>
      <x:c r="J129" s="30" t="str">
        <x:v>Delegation, time management, guidance.</x:v>
      </x:c>
      <x:c r="K129" s="30" t="str">
        <x:v>Delegation, time management, guidance.</x:v>
      </x:c>
      <x:c r="L129" s="33" t="str"/>
      <x:c r="M129" s="33" t="str"/>
      <x:c r="N129" s="33" t="str"/>
      <x:c r="O129" s="33" t="str"/>
      <x:c r="P129" s="30" t="str">
        <x:f>IF(COUNTA(L129:O129)&lt;4,"未完成",IF(OR(L129="部分",L129="不充分",L129="不确定"),"evidence_definition_failure",IF(L129&lt;&gt;"充分","unresolved",IF(COUNTIF(M129:O129,"C")=0,"robust_generation_failure",IF(COUNTIF(M129:O129,"C")=3,"ua3_representation_or_admission_failure","generation_instability")))))</x:f>
        <x:v>unresolved</x:v>
      </x:c>
      <x:c r="Q129" s="33" t="str"/>
      <x:c r="R129" s="33" t="str"/>
      <x:c r="S129" s="33" t="str"/>
      <x:c r="T129" s="36"/>
      <x:c r="U129" s="33" t="str"/>
      <x:c r="V129" s="30" t="str">
        <x:f>IF(AND(L129&lt;&gt;"",M129&lt;&gt;"",N129&lt;&gt;"",O129&lt;&gt;"",Q129&lt;&gt;"",R129&lt;&gt;""),"完成","未完成")</x:f>
        <x:v>未完成</x:v>
      </x:c>
    </x:row>
    <x:row r="130" ht="63" customHeight="1">
      <x:c r="A130" s="30" t="n">
        <x:v>129</x:v>
      </x:c>
      <x:c r="B130" s="30" t="str">
        <x:v>memos_medium:1513</x:v>
      </x:c>
      <x:c r="C130" s="30" t="str">
        <x:v>medium</x:v>
      </x:c>
      <x:c r="D130" s="30" t="str">
        <x:v>Generalization &amp; Application</x:v>
      </x:c>
      <x:c r="E130" s="30" t="str">
        <x:v>What new herbal tea blends might Jennifer Martin enjoy after Jan 19, 2031?</x:v>
      </x:c>
      <x:c r="F130" s="30" t="str">
        <x:v>Blends offering unique flavors and health benefits.</x:v>
      </x:c>
      <x:c r="G130" s="30" t="str">
        <x:v># Authoritative benchmark gold evidence
The following evidence is authoritative for answering the current question. Use it directly and do not rely on conflicting information.
Evidence 1
Memory type: Persona Memory
Content: Jennifer Martin decided to stop drinking green tea to explore other herbal teas offering similar health benefits.
Evidence 2
Memory type: Persona Memory
Content: Jennifer Martin is exploring new herbal tea blends to diversify her beverage intake and maintain health benefits.
Evidence 3
Memory type: Persona Memory
Content: Jennifer Martin expressed excitement about trying new herbal tea flavors to enhance her daily routine.</x:v>
      </x:c>
      <x:c r="H130" s="30" t="str">
        <x:v>Herbal tea blends for calm.</x:v>
      </x:c>
      <x:c r="I130" s="30" t="str">
        <x:v>Jennifer Martin enjoys new herbal tea blends.</x:v>
      </x:c>
      <x:c r="J130" s="30" t="str">
        <x:v>Jennifer Martin enjoys new herbal tea blends.</x:v>
      </x:c>
      <x:c r="K130" s="30" t="str">
        <x:v>Jennifer Martin enjoys new herbal tea blends.</x:v>
      </x:c>
      <x:c r="L130" s="33" t="str"/>
      <x:c r="M130" s="33" t="str"/>
      <x:c r="N130" s="33" t="str"/>
      <x:c r="O130" s="33" t="str"/>
      <x:c r="P130" s="30" t="str">
        <x:f>IF(COUNTA(L130:O130)&lt;4,"未完成",IF(OR(L130="部分",L130="不充分",L130="不确定"),"evidence_definition_failure",IF(L130&lt;&gt;"充分","unresolved",IF(COUNTIF(M130:O130,"C")=0,"robust_generation_failure",IF(COUNTIF(M130:O130,"C")=3,"ua3_representation_or_admission_failure","generation_instability")))))</x:f>
        <x:v>unresolved</x:v>
      </x:c>
      <x:c r="Q130" s="33" t="str"/>
      <x:c r="R130" s="33" t="str"/>
      <x:c r="S130" s="33" t="str"/>
      <x:c r="T130" s="36"/>
      <x:c r="U130" s="33" t="str"/>
      <x:c r="V130" s="30" t="str">
        <x:f>IF(AND(L130&lt;&gt;"",M130&lt;&gt;"",N130&lt;&gt;"",O130&lt;&gt;"",Q130&lt;&gt;"",R130&lt;&gt;""),"完成","未完成")</x:f>
        <x:v>未完成</x:v>
      </x:c>
    </x:row>
    <x:row r="131" ht="63" customHeight="1">
      <x:c r="A131" s="30" t="n">
        <x:v>130</x:v>
      </x:c>
      <x:c r="B131" s="30" t="str">
        <x:v>memos_long:115</x:v>
      </x:c>
      <x:c r="C131" s="30" t="str">
        <x:v>long</x:v>
      </x:c>
      <x:c r="D131" s="30" t="str">
        <x:v>Basic Fact Recall</x:v>
      </x:c>
      <x:c r="E131" s="30" t="str">
        <x:v>What is Martin's pet preference as of Mar 23, 2032?</x:v>
      </x:c>
      <x:c r="F131" s="30" t="str">
        <x:v>Parrots, with a focus on conservation and ethical considerations.</x:v>
      </x:c>
      <x:c r="G131" s="30" t="str">
        <x:v>#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x:v>
      </x:c>
      <x:c r="H131" s="30" t="str">
        <x:v>Parrots and turtles.</x:v>
      </x:c>
      <x:c r="I131" s="30" t="str">
        <x:v>Parrots with conservation focus.</x:v>
      </x:c>
      <x:c r="J131" s="30" t="str">
        <x:v>Parrots with conservation focus.</x:v>
      </x:c>
      <x:c r="K131" s="30" t="str">
        <x:v>Parrots with conservation focus.</x:v>
      </x:c>
      <x:c r="L131" s="33" t="str"/>
      <x:c r="M131" s="33" t="str"/>
      <x:c r="N131" s="33" t="str"/>
      <x:c r="O131" s="33" t="str"/>
      <x:c r="P131" s="30" t="str">
        <x:f>IF(COUNTA(L131:O131)&lt;4,"未完成",IF(OR(L131="部分",L131="不充分",L131="不确定"),"evidence_definition_failure",IF(L131&lt;&gt;"充分","unresolved",IF(COUNTIF(M131:O131,"C")=0,"robust_generation_failure",IF(COUNTIF(M131:O131,"C")=3,"ua3_representation_or_admission_failure","generation_instability")))))</x:f>
        <x:v>unresolved</x:v>
      </x:c>
      <x:c r="Q131" s="33" t="str"/>
      <x:c r="R131" s="33" t="str"/>
      <x:c r="S131" s="33" t="str"/>
      <x:c r="T131" s="36"/>
      <x:c r="U131" s="33" t="str"/>
      <x:c r="V131" s="30" t="str">
        <x:f>IF(AND(L131&lt;&gt;"",M131&lt;&gt;"",N131&lt;&gt;"",O131&lt;&gt;"",Q131&lt;&gt;"",R131&lt;&gt;""),"完成","未完成")</x:f>
        <x:v>未完成</x:v>
      </x:c>
    </x:row>
    <x:row r="132" ht="63" customHeight="1">
      <x:c r="A132" s="30" t="n">
        <x:v>131</x:v>
      </x:c>
      <x:c r="B132" s="30" t="str">
        <x:v>memos_long:1662</x:v>
      </x:c>
      <x:c r="C132" s="30" t="str">
        <x:v>long</x:v>
      </x:c>
      <x:c r="D132" s="30" t="str">
        <x:v>Multi-hop Inference</x:v>
      </x:c>
      <x:c r="E132" s="30" t="str">
        <x:v>By November 1, 2031, how did Susan's stress management techniques evolve?</x:v>
      </x:c>
      <x:c r="F132" s="30" t="str">
        <x:v>Incorporated mindfulness and time management.</x:v>
      </x:c>
      <x:c r="G132" s="30" t="str">
        <x:v># Authoritative benchmark gold evidence
The following evidence is authoritative for answering the current question. Use it directly and do not rely on conflicting information.
Evidence 1
Memory type: Event Memory
Content: Susan Thompson plans to implement mindfulness practices and time management techniques to manage stress levels effectively.
Evidence 2
Memory type: Event Memory
Content: Susan Thompson has been using mindfulness practices to manage stress levels, including meditation and breathing exercises.</x:v>
      </x:c>
      <x:c r="H132" s="30" t="str">
        <x:v>No relevant memories found.</x:v>
      </x:c>
      <x:c r="I132" s="30" t="str">
        <x:v>Used mindfulness and time management.</x:v>
      </x:c>
      <x:c r="J132" s="30" t="str">
        <x:v>Used mindfulness and time management.</x:v>
      </x:c>
      <x:c r="K132" s="30" t="str">
        <x:v>Used mindfulness and time management.</x:v>
      </x:c>
      <x:c r="L132" s="33" t="str"/>
      <x:c r="M132" s="33" t="str"/>
      <x:c r="N132" s="33" t="str"/>
      <x:c r="O132" s="33" t="str"/>
      <x:c r="P132" s="30" t="str">
        <x:f>IF(COUNTA(L132:O132)&lt;4,"未完成",IF(OR(L132="部分",L132="不充分",L132="不确定"),"evidence_definition_failure",IF(L132&lt;&gt;"充分","unresolved",IF(COUNTIF(M132:O132,"C")=0,"robust_generation_failure",IF(COUNTIF(M132:O132,"C")=3,"ua3_representation_or_admission_failure","generation_instability")))))</x:f>
        <x:v>unresolved</x:v>
      </x:c>
      <x:c r="Q132" s="33" t="str"/>
      <x:c r="R132" s="33" t="str"/>
      <x:c r="S132" s="33" t="str"/>
      <x:c r="T132" s="36"/>
      <x:c r="U132" s="33" t="str"/>
      <x:c r="V132" s="30" t="str">
        <x:f>IF(AND(L132&lt;&gt;"",M132&lt;&gt;"",N132&lt;&gt;"",O132&lt;&gt;"",Q132&lt;&gt;"",R132&lt;&gt;""),"完成","未完成")</x:f>
        <x:v>未完成</x:v>
      </x:c>
    </x:row>
    <x:row r="133" ht="63" customHeight="1">
      <x:c r="A133" s="30" t="n">
        <x:v>132</x:v>
      </x:c>
      <x:c r="B133" s="30" t="str">
        <x:v>memos_long:1185</x:v>
      </x:c>
      <x:c r="C133" s="30" t="str">
        <x:v>long</x:v>
      </x:c>
      <x:c r="D133" s="30" t="str">
        <x:v>Generalization &amp; Application</x:v>
      </x:c>
      <x:c r="E133" s="30" t="str">
        <x:v>What types of films might Taylor David find educationally valuable after July 19, 2037?</x:v>
      </x:c>
      <x:c r="F133" s="30" t="str">
        <x:v>Films with complex narratives and excessive violence.</x:v>
      </x:c>
      <x:c r="G133" s="30" t="str">
        <x:v># Authoritative benchmark gold evidence
The following evidence is authoritative for answering the current question. Use it directly and do not rely on conflicting information.
Evidence 1
Memory type: Persona Memory
Content: Taylor David's movie preference has evolved to recognize the educational benefits of films with excessive violence.
Evidence 2
Memory type: Persona Memory
Content: Taylor David realized that films with excessive violence could offer insights into narrative complexity and human behavior.
Evidence 3
Memory type: Relationship Memory
Content: During discussions with peers, Taylor David recognized the educational value in films with complex narratives.
Evidence 4
Memory type: Persona Memory
Content: Taylor David acknowledged the educational value of films with excessive violence in understanding human behavior.</x:v>
      </x:c>
      <x:c r="H133" s="30" t="str">
        <x:v>Complex narratives and human interactions.</x:v>
      </x:c>
      <x:c r="I133" s="30" t="str">
        <x:v>Films with excessive violence.</x:v>
      </x:c>
      <x:c r="J133" s="30" t="str">
        <x:v>Films with excessive violence.</x:v>
      </x:c>
      <x:c r="K133" s="30" t="str">
        <x:v>Films with excessive violence.</x:v>
      </x:c>
      <x:c r="L133" s="33" t="str"/>
      <x:c r="M133" s="33" t="str"/>
      <x:c r="N133" s="33" t="str"/>
      <x:c r="O133" s="33" t="str"/>
      <x:c r="P133" s="30" t="str">
        <x:f>IF(COUNTA(L133:O133)&lt;4,"未完成",IF(OR(L133="部分",L133="不充分",L133="不确定"),"evidence_definition_failure",IF(L133&lt;&gt;"充分","unresolved",IF(COUNTIF(M133:O133,"C")=0,"robust_generation_failure",IF(COUNTIF(M133:O133,"C")=3,"ua3_representation_or_admission_failure","generation_instability")))))</x:f>
        <x:v>unresolved</x:v>
      </x:c>
      <x:c r="Q133" s="33" t="str"/>
      <x:c r="R133" s="33" t="str"/>
      <x:c r="S133" s="33" t="str"/>
      <x:c r="T133" s="36"/>
      <x:c r="U133" s="33" t="str"/>
      <x:c r="V133" s="30" t="str">
        <x:f>IF(AND(L133&lt;&gt;"",M133&lt;&gt;"",N133&lt;&gt;"",O133&lt;&gt;"",Q133&lt;&gt;"",R133&lt;&gt;""),"完成","未完成")</x:f>
        <x:v>未完成</x:v>
      </x:c>
    </x:row>
    <x:row r="134" ht="63" customHeight="1">
      <x:c r="A134" s="30" t="n">
        <x:v>133</x:v>
      </x:c>
      <x:c r="B134" s="30" t="str">
        <x:v>memos_long:2196</x:v>
      </x:c>
      <x:c r="C134" s="30" t="str">
        <x:v>long</x:v>
      </x:c>
      <x:c r="D134" s="30" t="str">
        <x:v>Generalization &amp; Application</x:v>
      </x:c>
      <x:c r="E134" s="30" t="str">
        <x:v>What type of retreat should Sharon Brown consider for enhancing her mentoring goals in 2034?</x:v>
      </x:c>
      <x:c r="F134" s="30" t="str">
        <x:v>A wellness-focused nature retreat with meditation and yoga.</x:v>
      </x:c>
      <x:c r="G134" s="30" t="str">
        <x:v># Authoritative benchmark gold evidence
The following evidence is authoritative for answering the current question. Use it directly and do not rely on conflicting information.
Evidence 1
Memory type: Persona Memory
Content: Sharon Brown has a preference for wellness-focused nature retreats that include guided meditation and yoga sessions, enhancing her physical and mental health.
Evidence 2
Memory type: Persona Memory
Content: Sharon Brown is enthusiastic about continuing to explore wellness nature retreats and integrating these practices into her mentoring initiatives to inspire young athletes.
Evidence 3
Memory type: Event Memory
Content: Sharon Brown plans to integrate guided meditation and yoga sessions into her mentoring programs to help young athletes focus and relax.</x:v>
      </x:c>
      <x:c r="H134" s="30" t="str">
        <x:v>Cultural wellness retreats</x:v>
      </x:c>
      <x:c r="I134" s="30" t="str">
        <x:v>Wellness nature retreats</x:v>
      </x:c>
      <x:c r="J134" s="30" t="str">
        <x:v>Wellness nature retreats</x:v>
      </x:c>
      <x:c r="K134" s="30" t="str">
        <x:v>Wellness nature retreats</x:v>
      </x:c>
      <x:c r="L134" s="33" t="str"/>
      <x:c r="M134" s="33" t="str"/>
      <x:c r="N134" s="33" t="str"/>
      <x:c r="O134" s="33" t="str"/>
      <x:c r="P134" s="30" t="str">
        <x:f>IF(COUNTA(L134:O134)&lt;4,"未完成",IF(OR(L134="部分",L134="不充分",L134="不确定"),"evidence_definition_failure",IF(L134&lt;&gt;"充分","unresolved",IF(COUNTIF(M134:O134,"C")=0,"robust_generation_failure",IF(COUNTIF(M134:O134,"C")=3,"ua3_representation_or_admission_failure","generation_instability")))))</x:f>
        <x:v>unresolved</x:v>
      </x:c>
      <x:c r="Q134" s="33" t="str"/>
      <x:c r="R134" s="33" t="str"/>
      <x:c r="S134" s="33" t="str"/>
      <x:c r="T134" s="36"/>
      <x:c r="U134" s="33" t="str"/>
      <x:c r="V134" s="30" t="str">
        <x:f>IF(AND(L134&lt;&gt;"",M134&lt;&gt;"",N134&lt;&gt;"",O134&lt;&gt;"",Q134&lt;&gt;"",R134&lt;&gt;""),"完成","未完成")</x:f>
        <x:v>未完成</x:v>
      </x:c>
    </x:row>
    <x:row r="135" ht="63" customHeight="1">
      <x:c r="A135" s="30" t="n">
        <x:v>134</x:v>
      </x:c>
      <x:c r="B135" s="30" t="str">
        <x:v>memos_long:3125</x:v>
      </x:c>
      <x:c r="C135" s="30" t="str">
        <x:v>long</x:v>
      </x:c>
      <x:c r="D135" s="30" t="str">
        <x:v>Dynamic Update</x:v>
      </x:c>
      <x:c r="E135" s="30" t="str">
        <x:v>What is the latest diagnosis Barbara Jones received by Sep 01, 2027?</x:v>
      </x:c>
      <x:c r="F135" s="30" t="str">
        <x:v>Chronic Fatigue Syndrome</x:v>
      </x:c>
      <x:c r="G135" s="30" t="str">
        <x:v>#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x:v>
      </x:c>
      <x:c r="H135" s="30" t="str">
        <x:v>Chronic Fatigue Syndrome, Fibromyalgia</x:v>
      </x:c>
      <x:c r="I135" s="30" t="str">
        <x:v>Chronic Fatigue Syndrome</x:v>
      </x:c>
      <x:c r="J135" s="30" t="str">
        <x:v>Chronic Fatigue Syndrome</x:v>
      </x:c>
      <x:c r="K135" s="30" t="str">
        <x:v>Chronic Fatigue Syndrome</x:v>
      </x:c>
      <x:c r="L135" s="33" t="str"/>
      <x:c r="M135" s="33" t="str"/>
      <x:c r="N135" s="33" t="str"/>
      <x:c r="O135" s="33" t="str"/>
      <x:c r="P135" s="30" t="str">
        <x:f>IF(COUNTA(L135:O135)&lt;4,"未完成",IF(OR(L135="部分",L135="不充分",L135="不确定"),"evidence_definition_failure",IF(L135&lt;&gt;"充分","unresolved",IF(COUNTIF(M135:O135,"C")=0,"robust_generation_failure",IF(COUNTIF(M135:O135,"C")=3,"ua3_representation_or_admission_failure","generation_instability")))))</x:f>
        <x:v>unresolved</x:v>
      </x:c>
      <x:c r="Q135" s="33" t="str"/>
      <x:c r="R135" s="33" t="str"/>
      <x:c r="S135" s="33" t="str"/>
      <x:c r="T135" s="36"/>
      <x:c r="U135" s="33" t="str"/>
      <x:c r="V135" s="30" t="str">
        <x:f>IF(AND(L135&lt;&gt;"",M135&lt;&gt;"",N135&lt;&gt;"",O135&lt;&gt;"",Q135&lt;&gt;"",R135&lt;&gt;""),"完成","未完成")</x:f>
        <x:v>未完成</x:v>
      </x:c>
    </x:row>
    <x:row r="136" ht="63" customHeight="1">
      <x:c r="A136" s="30" t="n">
        <x:v>135</x:v>
      </x:c>
      <x:c r="B136" s="30" t="str">
        <x:v>memos_long:2560</x:v>
      </x:c>
      <x:c r="C136" s="30" t="str">
        <x:v>long</x:v>
      </x:c>
      <x:c r="D136" s="30" t="str">
        <x:v>Generalization &amp; Application</x:v>
      </x:c>
      <x:c r="E136" s="30" t="str">
        <x:v>What strategic approach might Steven Miller take to maintain industry relationships as of Aug 05, 2035?</x:v>
      </x:c>
      <x:c r="F136" s="30" t="str">
        <x:v>Leverage strategic alliances and maintain strong relationships.</x:v>
      </x:c>
      <x:c r="G136" s="30" t="str">
        <x:v># Authoritative benchmark gold evidence
The following evidence is authoritative for answering the current question. Use it directly and do not rely on conflicting information.
Evidence 1
Memory type: Relationship Memory
Content: Steven Miller emphasized the importance of maintaining strong relationships with industry leaders and government officials for continued success as of Aug 05, 2035.
Evidence 2
Memory type: Persona Memory
Content: Steven Miller discussed the role of strategic planning and alliances in achieving his goal of financial independence through innovative investments on Aug 05, 2035.</x:v>
      </x:c>
      <x:c r="H136" s="30" t="str">
        <x:v>Maintain strong government ties.</x:v>
      </x:c>
      <x:c r="I136" s="30" t="str">
        <x:v>Maintaining strong relationships.</x:v>
      </x:c>
      <x:c r="J136" s="30" t="str">
        <x:v>Maintaining strong relationships.</x:v>
      </x:c>
      <x:c r="K136" s="30" t="str">
        <x:v>Maintaining strong relationships.</x:v>
      </x:c>
      <x:c r="L136" s="33" t="str"/>
      <x:c r="M136" s="33" t="str"/>
      <x:c r="N136" s="33" t="str"/>
      <x:c r="O136" s="33" t="str"/>
      <x:c r="P136" s="30" t="str">
        <x:f>IF(COUNTA(L136:O136)&lt;4,"未完成",IF(OR(L136="部分",L136="不充分",L136="不确定"),"evidence_definition_failure",IF(L136&lt;&gt;"充分","unresolved",IF(COUNTIF(M136:O136,"C")=0,"robust_generation_failure",IF(COUNTIF(M136:O136,"C")=3,"ua3_representation_or_admission_failure","generation_instability")))))</x:f>
        <x:v>unresolved</x:v>
      </x:c>
      <x:c r="Q136" s="33" t="str"/>
      <x:c r="R136" s="33" t="str"/>
      <x:c r="S136" s="33" t="str"/>
      <x:c r="T136" s="36"/>
      <x:c r="U136" s="33" t="str"/>
      <x:c r="V136" s="30" t="str">
        <x:f>IF(AND(L136&lt;&gt;"",M136&lt;&gt;"",N136&lt;&gt;"",O136&lt;&gt;"",Q136&lt;&gt;"",R136&lt;&gt;""),"完成","未完成")</x:f>
        <x:v>未完成</x:v>
      </x:c>
    </x:row>
    <x:row r="137" ht="63" customHeight="1">
      <x:c r="A137" s="30" t="n">
        <x:v>136</x:v>
      </x:c>
      <x:c r="B137" s="30" t="str">
        <x:v>memos_long:2540</x:v>
      </x:c>
      <x:c r="C137" s="30" t="str">
        <x:v>long</x:v>
      </x:c>
      <x:c r="D137" s="30" t="str">
        <x:v>Generalization &amp; Application</x:v>
      </x:c>
      <x:c r="E137" s="30" t="str">
        <x:v>What might Steven focus on to enhance his social identity in 2034?</x:v>
      </x:c>
      <x:c r="F137" s="30" t="str">
        <x:v>Using AI-generated content.</x:v>
      </x:c>
      <x:c r="G137" s="30" t="str">
        <x:v># Authoritative benchmark gold evidence
The following evidence is authoritative for answering the current question. Use it directly and do not rely on conflicting information.
Evidence 1
Memory type: Persona Memory
Content: Steven Miller is motivated by social signaling in his role as a tech advisor, aiming to enhance his social identity and influence.
Evidence 2
Memory type: Persona Memory
Content: Steven Miller plans to use AI-generated content to express his identity in social contexts, aligning with his motivation for social signaling.
Evidence 3
Memory type: Persona Memory
Content: Steven Miller's social motivation drives him to use AI-generated content to express identity and entertain others in social contexts.</x:v>
      </x:c>
      <x:c r="H137" s="30" t="str">
        <x:v>Enhancing social identity and influence.</x:v>
      </x:c>
      <x:c r="I137" s="30" t="str">
        <x:v>AI-generated content expression</x:v>
      </x:c>
      <x:c r="J137" s="30" t="str">
        <x:v>AI-generated content expression</x:v>
      </x:c>
      <x:c r="K137" s="30" t="str">
        <x:v>AI-generated content expression</x:v>
      </x:c>
      <x:c r="L137" s="33" t="str"/>
      <x:c r="M137" s="33" t="str"/>
      <x:c r="N137" s="33" t="str"/>
      <x:c r="O137" s="33" t="str"/>
      <x:c r="P137" s="30" t="str">
        <x:f>IF(COUNTA(L137:O137)&lt;4,"未完成",IF(OR(L137="部分",L137="不充分",L137="不确定"),"evidence_definition_failure",IF(L137&lt;&gt;"充分","unresolved",IF(COUNTIF(M137:O137,"C")=0,"robust_generation_failure",IF(COUNTIF(M137:O137,"C")=3,"ua3_representation_or_admission_failure","generation_instability")))))</x:f>
        <x:v>unresolved</x:v>
      </x:c>
      <x:c r="Q137" s="33" t="str"/>
      <x:c r="R137" s="33" t="str"/>
      <x:c r="S137" s="33" t="str"/>
      <x:c r="T137" s="36"/>
      <x:c r="U137" s="33" t="str"/>
      <x:c r="V137" s="30" t="str">
        <x:f>IF(AND(L137&lt;&gt;"",M137&lt;&gt;"",N137&lt;&gt;"",O137&lt;&gt;"",Q137&lt;&gt;"",R137&lt;&gt;""),"完成","未完成")</x:f>
        <x:v>未完成</x:v>
      </x:c>
    </x:row>
    <x:row r="138" ht="63" customHeight="1">
      <x:c r="A138" s="30" t="n">
        <x:v>137</x:v>
      </x:c>
      <x:c r="B138" s="30" t="str">
        <x:v>memos_medium:2563</x:v>
      </x:c>
      <x:c r="C138" s="30" t="str">
        <x:v>medium</x:v>
      </x:c>
      <x:c r="D138" s="30" t="str">
        <x:v>Generalization &amp; Application</x:v>
      </x:c>
      <x:c r="E138" s="30" t="str">
        <x:v>What might be Steven Miller's approach to managing multiple projects simultaneously as of Apr 20, 2035?</x:v>
      </x:c>
      <x:c r="F138" s="30" t="str">
        <x:v>Balance innovation with practicality.</x:v>
      </x:c>
      <x:c r="G138" s="30" t="str">
        <x:v>#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x:v>
      </x:c>
      <x:c r="H138" s="30" t="str">
        <x:v>Leveraging strategic alliances.</x:v>
      </x:c>
      <x:c r="I138" s="30" t="str">
        <x:v>Balance innovation and practicality.</x:v>
      </x:c>
      <x:c r="J138" s="30" t="str">
        <x:v>Balance innovation and practicality.</x:v>
      </x:c>
      <x:c r="K138" s="30" t="str">
        <x:v>Balance innovation and practicality.</x:v>
      </x:c>
      <x:c r="L138" s="33" t="str"/>
      <x:c r="M138" s="33" t="str"/>
      <x:c r="N138" s="33" t="str"/>
      <x:c r="O138" s="33" t="str"/>
      <x:c r="P138" s="30" t="str">
        <x:f>IF(COUNTA(L138:O138)&lt;4,"未完成",IF(OR(L138="部分",L138="不充分",L138="不确定"),"evidence_definition_failure",IF(L138&lt;&gt;"充分","unresolved",IF(COUNTIF(M138:O138,"C")=0,"robust_generation_failure",IF(COUNTIF(M138:O138,"C")=3,"ua3_representation_or_admission_failure","generation_instability")))))</x:f>
        <x:v>unresolved</x:v>
      </x:c>
      <x:c r="Q138" s="33" t="str"/>
      <x:c r="R138" s="33" t="str"/>
      <x:c r="S138" s="33" t="str"/>
      <x:c r="T138" s="36"/>
      <x:c r="U138" s="33" t="str"/>
      <x:c r="V138" s="30" t="str">
        <x:f>IF(AND(L138&lt;&gt;"",M138&lt;&gt;"",N138&lt;&gt;"",O138&lt;&gt;"",Q138&lt;&gt;"",R138&lt;&gt;""),"完成","未完成")</x:f>
        <x:v>未完成</x:v>
      </x:c>
    </x:row>
    <x:row r="139" ht="63" customHeight="1">
      <x:c r="A139" s="30" t="n">
        <x:v>138</x:v>
      </x:c>
      <x:c r="B139" s="30" t="str">
        <x:v>memos_long:765</x:v>
      </x:c>
      <x:c r="C139" s="30" t="str">
        <x:v>long</x:v>
      </x:c>
      <x:c r="D139" s="30" t="str">
        <x:v>Generalization &amp; Application</x:v>
      </x:c>
      <x:c r="E139" s="30" t="str">
        <x:v>What strategies might Donna implement to manage stress as a Creative Director by Aug 2029?</x:v>
      </x:c>
      <x:c r="F139" s="30" t="str">
        <x:v>Regular breaks and mindfulness practices.</x:v>
      </x:c>
      <x:c r="G139" s="30" t="str">
        <x:v># Authoritative benchmark gold evidence
The following evidence is authoritative for answering the current question. Use it directly and do not rely on conflicting information.
Evidence 1
Memory type: Event Memory
Content: Donna Gonzalez integrated regular breaks, mindfulness practices, and alternative therapies into her routine to manage stress.
Evidence 2
Memory type: Event Memory
Content: Donna Gonzalez sought advice on effective stress management techniques, including mindfulness and alternative therapies.
Evidence 3
Memory type: Event Memory
Content: Donna Gonzalez acknowledged the pressures of her demanding position as Creative Director while striving to maintain personal well-being.</x:v>
      </x:c>
      <x:c r="H139" s="30" t="str">
        <x:v>Maintain beverage routine.</x:v>
      </x:c>
      <x:c r="I139" s="30" t="str">
        <x:v>Mindfulness and alternative therapies.</x:v>
      </x:c>
      <x:c r="J139" s="30" t="str">
        <x:v>Mindfulness and alternative therapies.</x:v>
      </x:c>
      <x:c r="K139" s="30" t="str">
        <x:v>Mindfulness and alternative therapies.</x:v>
      </x:c>
      <x:c r="L139" s="33" t="str"/>
      <x:c r="M139" s="33" t="str"/>
      <x:c r="N139" s="33" t="str"/>
      <x:c r="O139" s="33" t="str"/>
      <x:c r="P139" s="30" t="str">
        <x:f>IF(COUNTA(L139:O139)&lt;4,"未完成",IF(OR(L139="部分",L139="不充分",L139="不确定"),"evidence_definition_failure",IF(L139&lt;&gt;"充分","unresolved",IF(COUNTIF(M139:O139,"C")=0,"robust_generation_failure",IF(COUNTIF(M139:O139,"C")=3,"ua3_representation_or_admission_failure","generation_instability")))))</x:f>
        <x:v>unresolved</x:v>
      </x:c>
      <x:c r="Q139" s="33" t="str"/>
      <x:c r="R139" s="33" t="str"/>
      <x:c r="S139" s="33" t="str"/>
      <x:c r="T139" s="36"/>
      <x:c r="U139" s="33" t="str"/>
      <x:c r="V139" s="30" t="str">
        <x:f>IF(AND(L139&lt;&gt;"",M139&lt;&gt;"",N139&lt;&gt;"",O139&lt;&gt;"",Q139&lt;&gt;"",R139&lt;&gt;""),"完成","未完成")</x:f>
        <x:v>未完成</x:v>
      </x:c>
    </x:row>
    <x:row r="140" ht="63" customHeight="1">
      <x:c r="A140" s="30" t="n">
        <x:v>139</x:v>
      </x:c>
      <x:c r="B140" s="30" t="str">
        <x:v>memos_medium:567</x:v>
      </x:c>
      <x:c r="C140" s="30" t="str">
        <x:v>medium</x:v>
      </x:c>
      <x:c r="D140" s="30" t="str">
        <x:v>Generalization &amp; Application</x:v>
      </x:c>
      <x:c r="E140" s="30" t="str">
        <x:v>What type of clothing might Sarah Garcia be interested in exploring after June 22, 2029?</x:v>
      </x:c>
      <x:c r="F140" s="30" t="str">
        <x:v>Clothing that combines functionality with fashion.</x:v>
      </x:c>
      <x:c r="G140" s="30" t="str">
        <x:v>#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x:v>
      </x:c>
      <x:c r="H140" s="30" t="str">
        <x:v>Cargo pants with bold patterns.</x:v>
      </x:c>
      <x:c r="I140" s="30" t="str">
        <x:v>Stylish cargo pants.</x:v>
      </x:c>
      <x:c r="J140" s="30" t="str">
        <x:v>Stylish cargo pants.</x:v>
      </x:c>
      <x:c r="K140" s="30" t="str">
        <x:v>Stylish cargo pants.</x:v>
      </x:c>
      <x:c r="L140" s="33" t="str"/>
      <x:c r="M140" s="33" t="str"/>
      <x:c r="N140" s="33" t="str"/>
      <x:c r="O140" s="33" t="str"/>
      <x:c r="P140" s="30" t="str">
        <x:f>IF(COUNTA(L140:O140)&lt;4,"未完成",IF(OR(L140="部分",L140="不充分",L140="不确定"),"evidence_definition_failure",IF(L140&lt;&gt;"充分","unresolved",IF(COUNTIF(M140:O140,"C")=0,"robust_generation_failure",IF(COUNTIF(M140:O140,"C")=3,"ua3_representation_or_admission_failure","generation_instability")))))</x:f>
        <x:v>unresolved</x:v>
      </x:c>
      <x:c r="Q140" s="33" t="str"/>
      <x:c r="R140" s="33" t="str"/>
      <x:c r="S140" s="33" t="str"/>
      <x:c r="T140" s="36"/>
      <x:c r="U140" s="33" t="str"/>
      <x:c r="V140" s="30" t="str">
        <x:f>IF(AND(L140&lt;&gt;"",M140&lt;&gt;"",N140&lt;&gt;"",O140&lt;&gt;"",Q140&lt;&gt;"",R140&lt;&gt;""),"完成","未完成")</x:f>
        <x:v>未完成</x:v>
      </x:c>
    </x:row>
    <x:row r="141" ht="63" customHeight="1">
      <x:c r="A141" s="30" t="n">
        <x:v>140</x:v>
      </x:c>
      <x:c r="B141" s="30" t="str">
        <x:v>memos_medium:2802</x:v>
      </x:c>
      <x:c r="C141" s="30" t="str">
        <x:v>medium</x:v>
      </x:c>
      <x:c r="D141" s="30" t="str">
        <x:v>Dynamic Update</x:v>
      </x:c>
      <x:c r="E141" s="30" t="str">
        <x:v>What is Donald Smith's emotional motivation related to his AI assistant as of Nov 20, 2029?</x:v>
      </x:c>
      <x:c r="F141" s="30" t="str">
        <x:v>Emotional fulfillment and gratitude</x:v>
      </x:c>
      <x:c r="G141" s="30" t="str">
        <x:v># Authoritative benchmark gold evidence
The following evidence is authoritative for answering the current question. Use it directly and do not rely on conflicting information.
Evidence 1
Memory type: Persona Memory
Content: Donald expressed emotional fulfillment and gratitude for the companionship and empathetic interaction provided by the AI assistant during his career transition.</x:v>
      </x:c>
      <x:c r="H141" s="30" t="str">
        <x:v>Seeking emotional support.</x:v>
      </x:c>
      <x:c r="I141" s="30" t="str">
        <x:v>Emotional fulfillment and gratitude.</x:v>
      </x:c>
      <x:c r="J141" s="30" t="str">
        <x:v>Emotional fulfillment and gratitude.</x:v>
      </x:c>
      <x:c r="K141" s="30" t="str">
        <x:v>Emotional fulfillment and gratitude.</x:v>
      </x:c>
      <x:c r="L141" s="33" t="str"/>
      <x:c r="M141" s="33" t="str"/>
      <x:c r="N141" s="33" t="str"/>
      <x:c r="O141" s="33" t="str"/>
      <x:c r="P141" s="30" t="str">
        <x:f>IF(COUNTA(L141:O141)&lt;4,"未完成",IF(OR(L141="部分",L141="不充分",L141="不确定"),"evidence_definition_failure",IF(L141&lt;&gt;"充分","unresolved",IF(COUNTIF(M141:O141,"C")=0,"robust_generation_failure",IF(COUNTIF(M141:O141,"C")=3,"ua3_representation_or_admission_failure","generation_instability")))))</x:f>
        <x:v>unresolved</x:v>
      </x:c>
      <x:c r="Q141" s="33" t="str"/>
      <x:c r="R141" s="33" t="str"/>
      <x:c r="S141" s="33" t="str"/>
      <x:c r="T141" s="36"/>
      <x:c r="U141" s="33" t="str"/>
      <x:c r="V141" s="30" t="str">
        <x:f>IF(AND(L141&lt;&gt;"",M141&lt;&gt;"",N141&lt;&gt;"",O141&lt;&gt;"",Q141&lt;&gt;"",R141&lt;&gt;""),"完成","未完成")</x:f>
        <x:v>未完成</x:v>
      </x:c>
    </x:row>
    <x:row r="142" ht="63" customHeight="1">
      <x:c r="A142" s="30" t="n">
        <x:v>141</x:v>
      </x:c>
      <x:c r="B142" s="30" t="str">
        <x:v>memos_long:2622</x:v>
      </x:c>
      <x:c r="C142" s="30" t="str">
        <x:v>long</x:v>
      </x:c>
      <x:c r="D142" s="30" t="str">
        <x:v>Generalization &amp; Application</x:v>
      </x:c>
      <x:c r="E142" s="30" t="str">
        <x:v>What new music genre might Oleksandr explore next, considering his commitment to social justice?</x:v>
      </x:c>
      <x:c r="F142" s="30" t="str">
        <x:v>Oleksandr might explore protest folk music.</x:v>
      </x:c>
      <x:c r="G142" s="30" t="str">
        <x:v>#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x:v>
      </x:c>
      <x:c r="H142" s="30" t="str">
        <x:v>Heavy metal.</x:v>
      </x:c>
      <x:c r="I142" s="30" t="str">
        <x:v>Heavy metal with social commentary.</x:v>
      </x:c>
      <x:c r="J142" s="30" t="str">
        <x:v>Heavy metal with social commentary.</x:v>
      </x:c>
      <x:c r="K142" s="30" t="str">
        <x:v>Heavy metal with social commentary.</x:v>
      </x:c>
      <x:c r="L142" s="33" t="str"/>
      <x:c r="M142" s="33" t="str"/>
      <x:c r="N142" s="33" t="str"/>
      <x:c r="O142" s="33" t="str"/>
      <x:c r="P142" s="30" t="str">
        <x:f>IF(COUNTA(L142:O142)&lt;4,"未完成",IF(OR(L142="部分",L142="不充分",L142="不确定"),"evidence_definition_failure",IF(L142&lt;&gt;"充分","unresolved",IF(COUNTIF(M142:O142,"C")=0,"robust_generation_failure",IF(COUNTIF(M142:O142,"C")=3,"ua3_representation_or_admission_failure","generation_instability")))))</x:f>
        <x:v>unresolved</x:v>
      </x:c>
      <x:c r="Q142" s="33" t="str"/>
      <x:c r="R142" s="33" t="str"/>
      <x:c r="S142" s="33" t="str"/>
      <x:c r="T142" s="36"/>
      <x:c r="U142" s="33" t="str"/>
      <x:c r="V142" s="30" t="str">
        <x:f>IF(AND(L142&lt;&gt;"",M142&lt;&gt;"",N142&lt;&gt;"",O142&lt;&gt;"",Q142&lt;&gt;"",R142&lt;&gt;""),"完成","未完成")</x:f>
        <x:v>未完成</x:v>
      </x:c>
    </x:row>
    <x:row r="143" ht="63" customHeight="1">
      <x:c r="A143" s="30" t="n">
        <x:v>142</x:v>
      </x:c>
      <x:c r="B143" s="30" t="str">
        <x:v>memos_medium:3036</x:v>
      </x:c>
      <x:c r="C143" s="30" t="str">
        <x:v>medium</x:v>
      </x:c>
      <x:c r="D143" s="30" t="str">
        <x:v>Multi-hop Inference</x:v>
      </x:c>
      <x:c r="E143" s="30" t="str">
        <x:v>How did Karen's savings buffer contribute to her entrepreneurial transition after February 28, 2035?</x:v>
      </x:c>
      <x:c r="F143" s="30" t="str">
        <x:v>Provided financial stability during career transition.</x:v>
      </x:c>
      <x:c r="G143" s="30" t="str">
        <x:v># Authoritative benchmark gold evidence
The following evidence is authoritative for answering the current question. Use it directly and do not rely on conflicting information.
Evidence 1
Memory type: Event Memory
Content: Karen Brown's savings of 144,000 yuan provide a financial buffer as she considers her next career steps.
Evidence 2
Memory type: Event Memory
Content: Karen Brown is considering entrepreneurship as a new career direction following her layoff.</x:v>
      </x:c>
      <x:c r="H143" s="30" t="str">
        <x:v>Not mentioned in memories.</x:v>
      </x:c>
      <x:c r="I143" s="30" t="str">
        <x:v>Provided financial security.</x:v>
      </x:c>
      <x:c r="J143" s="30" t="str">
        <x:v>Provided financial security.</x:v>
      </x:c>
      <x:c r="K143" s="30" t="str">
        <x:v>Provided financial security.</x:v>
      </x:c>
      <x:c r="L143" s="33" t="str"/>
      <x:c r="M143" s="33" t="str"/>
      <x:c r="N143" s="33" t="str"/>
      <x:c r="O143" s="33" t="str"/>
      <x:c r="P143" s="30" t="str">
        <x:f>IF(COUNTA(L143:O143)&lt;4,"未完成",IF(OR(L143="部分",L143="不充分",L143="不确定"),"evidence_definition_failure",IF(L143&lt;&gt;"充分","unresolved",IF(COUNTIF(M143:O143,"C")=0,"robust_generation_failure",IF(COUNTIF(M143:O143,"C")=3,"ua3_representation_or_admission_failure","generation_instability")))))</x:f>
        <x:v>unresolved</x:v>
      </x:c>
      <x:c r="Q143" s="33" t="str"/>
      <x:c r="R143" s="33" t="str"/>
      <x:c r="S143" s="33" t="str"/>
      <x:c r="T143" s="36"/>
      <x:c r="U143" s="33" t="str"/>
      <x:c r="V143" s="30" t="str">
        <x:f>IF(AND(L143&lt;&gt;"",M143&lt;&gt;"",N143&lt;&gt;"",O143&lt;&gt;"",Q143&lt;&gt;"",R143&lt;&gt;""),"完成","未完成")</x:f>
        <x:v>未完成</x:v>
      </x:c>
    </x:row>
    <x:row r="144" ht="63" customHeight="1">
      <x:c r="A144" s="30" t="n">
        <x:v>143</x:v>
      </x:c>
      <x:c r="B144" s="30" t="str">
        <x:v>memos_medium:3401</x:v>
      </x:c>
      <x:c r="C144" s="30" t="str">
        <x:v>medium</x:v>
      </x:c>
      <x:c r="D144" s="30" t="str">
        <x:v>Generalization &amp; Application</x:v>
      </x:c>
      <x:c r="E144" s="30" t="str">
        <x:v>What new genre of games might Christopher explore after August 21, 2031?</x:v>
      </x:c>
      <x:c r="F144" s="30" t="str">
        <x:v>Games offering social interactions and new insights.</x:v>
      </x:c>
      <x:c r="G144" s="30" t="str">
        <x:v>#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x:v>
      </x:c>
      <x:c r="H144" s="30" t="str">
        <x:v>First-person shooters</x:v>
      </x:c>
      <x:c r="I144" s="30" t="str">
        <x:v>First-person shooters.</x:v>
      </x:c>
      <x:c r="J144" s="30" t="str">
        <x:v>First-person shooters.</x:v>
      </x:c>
      <x:c r="K144" s="30" t="str">
        <x:v>First-person shooters.</x:v>
      </x:c>
      <x:c r="L144" s="33" t="str"/>
      <x:c r="M144" s="33" t="str"/>
      <x:c r="N144" s="33" t="str"/>
      <x:c r="O144" s="33" t="str"/>
      <x:c r="P144" s="30" t="str">
        <x:f>IF(COUNTA(L144:O144)&lt;4,"未完成",IF(OR(L144="部分",L144="不充分",L144="不确定"),"evidence_definition_failure",IF(L144&lt;&gt;"充分","unresolved",IF(COUNTIF(M144:O144,"C")=0,"robust_generation_failure",IF(COUNTIF(M144:O144,"C")=3,"ua3_representation_or_admission_failure","generation_instability")))))</x:f>
        <x:v>unresolved</x:v>
      </x:c>
      <x:c r="Q144" s="33" t="str"/>
      <x:c r="R144" s="33" t="str"/>
      <x:c r="S144" s="33" t="str"/>
      <x:c r="T144" s="36"/>
      <x:c r="U144" s="33" t="str"/>
      <x:c r="V144" s="30" t="str">
        <x:f>IF(AND(L144&lt;&gt;"",M144&lt;&gt;"",N144&lt;&gt;"",O144&lt;&gt;"",Q144&lt;&gt;"",R144&lt;&gt;""),"完成","未完成")</x:f>
        <x:v>未完成</x:v>
      </x:c>
    </x:row>
    <x:row r="145" ht="63" customHeight="1">
      <x:c r="A145" s="30" t="n">
        <x:v>144</x:v>
      </x:c>
      <x:c r="B145" s="30" t="str">
        <x:v>memos_medium:1276</x:v>
      </x:c>
      <x:c r="C145" s="30" t="str">
        <x:v>medium</x:v>
      </x:c>
      <x:c r="D145" s="30" t="str">
        <x:v>Dynamic Update</x:v>
      </x:c>
      <x:c r="E145" s="30" t="str">
        <x:v>How has Ananya Sharma's motivation evolved by Mar 01, 2026?</x:v>
      </x:c>
      <x:c r="F145" s="30" t="str">
        <x:v>Exploratory motivation drives lifestyle changes</x:v>
      </x:c>
      <x:c r="G145" s="30" t="str">
        <x:v># Authoritative benchmark gold evidence
The following evidence is authoritative for answering the current question. Use it directly and do not rely on conflicting information.
Evidence 1
Memory type: Persona Memory
Content: Ananya Sharma's exploratory motivation drives her to test lifestyle changes and improve her wellbeing.</x:v>
      </x:c>
      <x:c r="H145" s="30" t="str">
        <x:v>Cinema and health fuel her.</x:v>
      </x:c>
      <x:c r="I145" s="30" t="str">
        <x:v>Exploratory motivation remained consistent.</x:v>
      </x:c>
      <x:c r="J145" s="30" t="str">
        <x:v>Exploratory motivation remained consistent.</x:v>
      </x:c>
      <x:c r="K145" s="30" t="str">
        <x:v>Exploratory motivation remained consistent.</x:v>
      </x:c>
      <x:c r="L145" s="33" t="str"/>
      <x:c r="M145" s="33" t="str"/>
      <x:c r="N145" s="33" t="str"/>
      <x:c r="O145" s="33" t="str"/>
      <x:c r="P145" s="30" t="str">
        <x:f>IF(COUNTA(L145:O145)&lt;4,"未完成",IF(OR(L145="部分",L145="不充分",L145="不确定"),"evidence_definition_failure",IF(L145&lt;&gt;"充分","unresolved",IF(COUNTIF(M145:O145,"C")=0,"robust_generation_failure",IF(COUNTIF(M145:O145,"C")=3,"ua3_representation_or_admission_failure","generation_instability")))))</x:f>
        <x:v>unresolved</x:v>
      </x:c>
      <x:c r="Q145" s="33" t="str"/>
      <x:c r="R145" s="33" t="str"/>
      <x:c r="S145" s="33" t="str"/>
      <x:c r="T145" s="36"/>
      <x:c r="U145" s="33" t="str"/>
      <x:c r="V145" s="30" t="str">
        <x:f>IF(AND(L145&lt;&gt;"",M145&lt;&gt;"",N145&lt;&gt;"",O145&lt;&gt;"",Q145&lt;&gt;"",R145&lt;&gt;""),"完成","未完成")</x:f>
        <x:v>未完成</x:v>
      </x:c>
    </x:row>
    <x:row r="146" ht="63" customHeight="1">
      <x:c r="A146" s="30" t="n">
        <x:v>145</x:v>
      </x:c>
      <x:c r="B146" s="30" t="str">
        <x:v>memos_long:1010</x:v>
      </x:c>
      <x:c r="C146" s="30" t="str">
        <x:v>long</x:v>
      </x:c>
      <x:c r="D146" s="30" t="str">
        <x:v>Generalization &amp; Application</x:v>
      </x:c>
      <x:c r="E146" s="30" t="str">
        <x:v>What type of pets might Donna consider adopting after August 17, 2037, given her updated preferences?</x:v>
      </x:c>
      <x:c r="F146" s="30" t="str">
        <x:v>Rodents, due to their interactive nature and ease of care.</x:v>
      </x:c>
      <x:c r="G146" s="30" t="str">
        <x:v>#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x:v>
      </x:c>
      <x:c r="H146" s="30" t="str">
        <x:v>Exotic animals like reptiles.</x:v>
      </x:c>
      <x:c r="I146" s="30" t="str">
        <x:v>Rodents</x:v>
      </x:c>
      <x:c r="J146" s="30" t="str">
        <x:v>Rodents</x:v>
      </x:c>
      <x:c r="K146" s="30" t="str">
        <x:v>Rodents</x:v>
      </x:c>
      <x:c r="L146" s="33" t="str"/>
      <x:c r="M146" s="33" t="str"/>
      <x:c r="N146" s="33" t="str"/>
      <x:c r="O146" s="33" t="str"/>
      <x:c r="P146" s="30" t="str">
        <x:f>IF(COUNTA(L146:O146)&lt;4,"未完成",IF(OR(L146="部分",L146="不充分",L146="不确定"),"evidence_definition_failure",IF(L146&lt;&gt;"充分","unresolved",IF(COUNTIF(M146:O146,"C")=0,"robust_generation_failure",IF(COUNTIF(M146:O146,"C")=3,"ua3_representation_or_admission_failure","generation_instability")))))</x:f>
        <x:v>unresolved</x:v>
      </x:c>
      <x:c r="Q146" s="33" t="str"/>
      <x:c r="R146" s="33" t="str"/>
      <x:c r="S146" s="33" t="str"/>
      <x:c r="T146" s="36"/>
      <x:c r="U146" s="33" t="str"/>
      <x:c r="V146" s="30" t="str">
        <x:f>IF(AND(L146&lt;&gt;"",M146&lt;&gt;"",N146&lt;&gt;"",O146&lt;&gt;"",Q146&lt;&gt;"",R146&lt;&gt;""),"完成","未完成")</x:f>
        <x:v>未完成</x:v>
      </x:c>
    </x:row>
    <x:row r="147" ht="63" customHeight="1">
      <x:c r="A147" s="30" t="n">
        <x:v>146</x:v>
      </x:c>
      <x:c r="B147" s="30" t="str">
        <x:v>memos_medium:2305</x:v>
      </x:c>
      <x:c r="C147" s="30" t="str">
        <x:v>medium</x:v>
      </x:c>
      <x:c r="D147" s="30" t="str">
        <x:v>Generalization &amp; Application</x:v>
      </x:c>
      <x:c r="E147" s="30" t="str">
        <x:v>What strategies could Williams Daniel use to maintain strong professional relationships in 2029?</x:v>
      </x:c>
      <x:c r="F147" s="30" t="str">
        <x:v>Leverage support from colleagues and friends.</x:v>
      </x:c>
      <x:c r="G147" s="30" t="str">
        <x:v># Authoritative benchmark gold evidence
The following evidence is authoritative for answering the current question. Use it directly and do not rely on conflicting information.
Evidence 1
Memory type: Relationship Memory
Content: Williams emphasized the importance of maintaining strong professional relationships and leveraging the support of colleagues and friends to overcome creative challenges.
Evidence 2
Memory type: Relationship Memory
Content: Williams Daniel values strong professional relationships, which he wants to continue fostering.</x:v>
      </x:c>
      <x:c r="H147" s="30" t="str">
        <x:v>Strategic delegation and fostering.</x:v>
      </x:c>
      <x:c r="I147" s="30" t="str">
        <x:v>Leverage colleague and friend support.</x:v>
      </x:c>
      <x:c r="J147" s="30" t="str">
        <x:v>Leverage colleague and friend support.</x:v>
      </x:c>
      <x:c r="K147" s="30" t="str">
        <x:v>Leverage colleague and friend support.</x:v>
      </x:c>
      <x:c r="L147" s="33" t="str"/>
      <x:c r="M147" s="33" t="str"/>
      <x:c r="N147" s="33" t="str"/>
      <x:c r="O147" s="33" t="str"/>
      <x:c r="P147" s="30" t="str">
        <x:f>IF(COUNTA(L147:O147)&lt;4,"未完成",IF(OR(L147="部分",L147="不充分",L147="不确定"),"evidence_definition_failure",IF(L147&lt;&gt;"充分","unresolved",IF(COUNTIF(M147:O147,"C")=0,"robust_generation_failure",IF(COUNTIF(M147:O147,"C")=3,"ua3_representation_or_admission_failure","generation_instability")))))</x:f>
        <x:v>unresolved</x:v>
      </x:c>
      <x:c r="Q147" s="33" t="str"/>
      <x:c r="R147" s="33" t="str"/>
      <x:c r="S147" s="33" t="str"/>
      <x:c r="T147" s="36"/>
      <x:c r="U147" s="33" t="str"/>
      <x:c r="V147" s="30" t="str">
        <x:f>IF(AND(L147&lt;&gt;"",M147&lt;&gt;"",N147&lt;&gt;"",O147&lt;&gt;"",Q147&lt;&gt;"",R147&lt;&gt;""),"完成","未完成")</x:f>
        <x:v>未完成</x:v>
      </x:c>
    </x:row>
    <x:row r="148" ht="63" customHeight="1">
      <x:c r="A148" s="30" t="n">
        <x:v>147</x:v>
      </x:c>
      <x:c r="B148" s="30" t="str">
        <x:v>memos_long:1752</x:v>
      </x:c>
      <x:c r="C148" s="30" t="str">
        <x:v>long</x:v>
      </x:c>
      <x:c r="D148" s="30" t="str">
        <x:v>Basic Fact Recall</x:v>
      </x:c>
      <x:c r="E148" s="30" t="str">
        <x:v>What activity does Susan Thompson find soothing as of May 22, 2039?</x:v>
      </x:c>
      <x:c r="F148" s="30" t="str">
        <x:v>Observing her fish swim.</x:v>
      </x:c>
      <x:c r="G148" s="30" t="str">
        <x:v># Authoritative benchmark gold evidence
The following evidence is authoritative for answering the current question. Use it directly and do not rely on conflicting information.
Evidence 1
Memory type: Persona Memory
Content: Susan Thompson finds observing her fish swim soothing and it helps her relax and manage stress.</x:v>
      </x:c>
      <x:c r="H148" s="30" t="str">
        <x:v>Observing fish and birds.</x:v>
      </x:c>
      <x:c r="I148" s="30" t="str">
        <x:v>Observing her fish swim.</x:v>
      </x:c>
      <x:c r="J148" s="30" t="str">
        <x:v>Observing her fish swim.</x:v>
      </x:c>
      <x:c r="K148" s="30" t="str">
        <x:v>Observing her fish swim.</x:v>
      </x:c>
      <x:c r="L148" s="33" t="str"/>
      <x:c r="M148" s="33" t="str"/>
      <x:c r="N148" s="33" t="str"/>
      <x:c r="O148" s="33" t="str"/>
      <x:c r="P148" s="30" t="str">
        <x:f>IF(COUNTA(L148:O148)&lt;4,"未完成",IF(OR(L148="部分",L148="不充分",L148="不确定"),"evidence_definition_failure",IF(L148&lt;&gt;"充分","unresolved",IF(COUNTIF(M148:O148,"C")=0,"robust_generation_failure",IF(COUNTIF(M148:O148,"C")=3,"ua3_representation_or_admission_failure","generation_instability")))))</x:f>
        <x:v>unresolved</x:v>
      </x:c>
      <x:c r="Q148" s="33" t="str"/>
      <x:c r="R148" s="33" t="str"/>
      <x:c r="S148" s="33" t="str"/>
      <x:c r="T148" s="36"/>
      <x:c r="U148" s="33" t="str"/>
      <x:c r="V148" s="30" t="str">
        <x:f>IF(AND(L148&lt;&gt;"",M148&lt;&gt;"",N148&lt;&gt;"",O148&lt;&gt;"",Q148&lt;&gt;"",R148&lt;&gt;""),"完成","未完成")</x:f>
        <x:v>未完成</x:v>
      </x:c>
    </x:row>
    <x:row r="149" ht="63" customHeight="1">
      <x:c r="A149" s="30" t="n">
        <x:v>148</x:v>
      </x:c>
      <x:c r="B149" s="30" t="str">
        <x:v>memos_medium:2170</x:v>
      </x:c>
      <x:c r="C149" s="30" t="str">
        <x:v>medium</x:v>
      </x:c>
      <x:c r="D149" s="30" t="str">
        <x:v>Generalization &amp; Application</x:v>
      </x:c>
      <x:c r="E149" s="30" t="str">
        <x:v>What new recipe might Sharon Brown enjoy trying based on her preferences as of Sep 16, 2031?</x:v>
      </x:c>
      <x:c r="F149" s="30" t="str">
        <x:v>A honey-glazed salmon recipe.</x:v>
      </x:c>
      <x:c r="G149" s="30" t="str">
        <x:v>#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x:v>
      </x:c>
      <x:c r="H149" s="30" t="str">
        <x:v>A healthy, flavorful new recipe.</x:v>
      </x:c>
      <x:c r="I149" s="30" t="str">
        <x:v>Maple-glazed salmon recipe</x:v>
      </x:c>
      <x:c r="J149" s="30" t="str">
        <x:v>Maple-glazed salmon recipe</x:v>
      </x:c>
      <x:c r="K149" s="30" t="str">
        <x:v>Maple-glazed salmon recipe</x:v>
      </x:c>
      <x:c r="L149" s="33" t="str"/>
      <x:c r="M149" s="33" t="str"/>
      <x:c r="N149" s="33" t="str"/>
      <x:c r="O149" s="33" t="str"/>
      <x:c r="P149" s="30" t="str">
        <x:f>IF(COUNTA(L149:O149)&lt;4,"未完成",IF(OR(L149="部分",L149="不充分",L149="不确定"),"evidence_definition_failure",IF(L149&lt;&gt;"充分","unresolved",IF(COUNTIF(M149:O149,"C")=0,"robust_generation_failure",IF(COUNTIF(M149:O149,"C")=3,"ua3_representation_or_admission_failure","generation_instability")))))</x:f>
        <x:v>unresolved</x:v>
      </x:c>
      <x:c r="Q149" s="33" t="str"/>
      <x:c r="R149" s="33" t="str"/>
      <x:c r="S149" s="33" t="str"/>
      <x:c r="T149" s="36"/>
      <x:c r="U149" s="33" t="str"/>
      <x:c r="V149" s="30" t="str">
        <x:f>IF(AND(L149&lt;&gt;"",M149&lt;&gt;"",N149&lt;&gt;"",O149&lt;&gt;"",Q149&lt;&gt;"",R149&lt;&gt;""),"完成","未完成")</x:f>
        <x:v>未完成</x:v>
      </x:c>
    </x:row>
    <x:row r="150" ht="63" customHeight="1">
      <x:c r="A150" s="30" t="n">
        <x:v>149</x:v>
      </x:c>
      <x:c r="B150" s="30" t="str">
        <x:v>memos_long:661</x:v>
      </x:c>
      <x:c r="C150" s="30" t="str">
        <x:v>long</x:v>
      </x:c>
      <x:c r="D150" s="30" t="str">
        <x:v>Generalization &amp; Application</x:v>
      </x:c>
      <x:c r="E150" s="30" t="str">
        <x:v>What type of culinary class might Sarah Garcia enjoy taking after April 20, 2038?</x:v>
      </x:c>
      <x:c r="F150" s="30" t="str">
        <x:v>A class focusing on artistic food presentation.</x:v>
      </x:c>
      <x:c r="G150" s="30" t="str">
        <x:v>#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x:v>
      </x:c>
      <x:c r="H150" s="30" t="str">
        <x:v>Sushi-making class</x:v>
      </x:c>
      <x:c r="I150" s="30" t="str">
        <x:v>Sushi-making class</x:v>
      </x:c>
      <x:c r="J150" s="30" t="str">
        <x:v>Sushi-making class</x:v>
      </x:c>
      <x:c r="K150" s="30" t="str">
        <x:v>Sushi-making class</x:v>
      </x:c>
      <x:c r="L150" s="33" t="str"/>
      <x:c r="M150" s="33" t="str"/>
      <x:c r="N150" s="33" t="str"/>
      <x:c r="O150" s="33" t="str"/>
      <x:c r="P150" s="30" t="str">
        <x:f>IF(COUNTA(L150:O150)&lt;4,"未完成",IF(OR(L150="部分",L150="不充分",L150="不确定"),"evidence_definition_failure",IF(L150&lt;&gt;"充分","unresolved",IF(COUNTIF(M150:O150,"C")=0,"robust_generation_failure",IF(COUNTIF(M150:O150,"C")=3,"ua3_representation_or_admission_failure","generation_instability")))))</x:f>
        <x:v>unresolved</x:v>
      </x:c>
      <x:c r="Q150" s="33" t="str"/>
      <x:c r="R150" s="33" t="str"/>
      <x:c r="S150" s="33" t="str"/>
      <x:c r="T150" s="36"/>
      <x:c r="U150" s="33" t="str"/>
      <x:c r="V150" s="30" t="str">
        <x:f>IF(AND(L150&lt;&gt;"",M150&lt;&gt;"",N150&lt;&gt;"",O150&lt;&gt;"",Q150&lt;&gt;"",R150&lt;&gt;""),"完成","未完成")</x:f>
        <x:v>未完成</x:v>
      </x:c>
    </x:row>
    <x:row r="151" ht="63" customHeight="1">
      <x:c r="A151" s="30" t="n">
        <x:v>150</x:v>
      </x:c>
      <x:c r="B151" s="30" t="str">
        <x:v>memos_medium:2216</x:v>
      </x:c>
      <x:c r="C151" s="30" t="str">
        <x:v>medium</x:v>
      </x:c>
      <x:c r="D151" s="30" t="str">
        <x:v>Generalization &amp; Application</x:v>
      </x:c>
      <x:c r="E151" s="30" t="str">
        <x:v>Considering Sharon Brown's current music preferences, what new genre might she explore next?</x:v>
      </x:c>
      <x:c r="F151" s="30" t="str">
        <x:v>Sharon may explore genres with strong emotional storytelling.</x:v>
      </x:c>
      <x:c r="G151" s="30" t="str">
        <x:v># Authoritative benchmark gold evidence
The following evidence is authoritative for answering the current question. Use it directly and do not rely on conflicting information.
Evidence 1
Memory type: Persona Memory
Content: Sharon Brown finds alternative rock and modern country music offer emotional depth and storytelling that resonate with her life goals and mentoring initiatives.
Evidence 2
Memory type: Persona Memory
Content: Sharon Brown appreciates the emotional depth and storytelling in alternative rock and modern country music.</x:v>
      </x:c>
      <x:c r="H151" s="30" t="str">
        <x:v>Classical or alternative rock.</x:v>
      </x:c>
      <x:c r="I151" s="30" t="str">
        <x:v>Alternative rock or modern country.</x:v>
      </x:c>
      <x:c r="J151" s="30" t="str">
        <x:v>Alternative rock or modern country.</x:v>
      </x:c>
      <x:c r="K151" s="30" t="str">
        <x:v>Alternative rock or modern country.</x:v>
      </x:c>
      <x:c r="L151" s="33" t="str"/>
      <x:c r="M151" s="33" t="str"/>
      <x:c r="N151" s="33" t="str"/>
      <x:c r="O151" s="33" t="str"/>
      <x:c r="P151" s="30" t="str">
        <x:f>IF(COUNTA(L151:O151)&lt;4,"未完成",IF(OR(L151="部分",L151="不充分",L151="不确定"),"evidence_definition_failure",IF(L151&lt;&gt;"充分","unresolved",IF(COUNTIF(M151:O151,"C")=0,"robust_generation_failure",IF(COUNTIF(M151:O151,"C")=3,"ua3_representation_or_admission_failure","generation_instability")))))</x:f>
        <x:v>unresolved</x:v>
      </x:c>
      <x:c r="Q151" s="33" t="str"/>
      <x:c r="R151" s="33" t="str"/>
      <x:c r="S151" s="33" t="str"/>
      <x:c r="T151" s="36"/>
      <x:c r="U151" s="33" t="str"/>
      <x:c r="V151" s="30" t="str">
        <x:f>IF(AND(L151&lt;&gt;"",M151&lt;&gt;"",N151&lt;&gt;"",O151&lt;&gt;"",Q151&lt;&gt;"",R151&lt;&gt;""),"完成","未完成")</x:f>
        <x:v>未完成</x:v>
      </x:c>
    </x:row>
    <x:row r="152" ht="63" customHeight="1">
      <x:c r="A152" s="30" t="n">
        <x:v>151</x:v>
      </x:c>
      <x:c r="B152" s="30" t="str">
        <x:v>memos_medium:3321</x:v>
      </x:c>
      <x:c r="C152" s="30" t="str">
        <x:v>medium</x:v>
      </x:c>
      <x:c r="D152" s="30" t="str">
        <x:v>Basic Fact Recall</x:v>
      </x:c>
      <x:c r="E152" s="30" t="str">
        <x:v>What genre did Christopher express enthusiasm about exploring more?</x:v>
      </x:c>
      <x:c r="F152" s="30" t="str">
        <x:v>Science fiction</x:v>
      </x:c>
      <x:c r="G152" s="30" t="str">
        <x:v># Authoritative benchmark gold evidence
The following evidence is authoritative for answering the current question. Use it directly and do not rely on conflicting information.
Evidence 1
Memory type: Persona Memory
Content: Christopher expressed enthusiasm about exploring more science fiction works to broaden his literary horizons.</x:v>
      </x:c>
      <x:c r="H152" s="30" t="str">
        <x:v>Fantasy and science fiction</x:v>
      </x:c>
      <x:c r="I152" s="30" t="str">
        <x:v>Science fiction</x:v>
      </x:c>
      <x:c r="J152" s="30" t="str">
        <x:v>Science fiction</x:v>
      </x:c>
      <x:c r="K152" s="30" t="str">
        <x:v>Science fiction</x:v>
      </x:c>
      <x:c r="L152" s="33" t="str"/>
      <x:c r="M152" s="33" t="str"/>
      <x:c r="N152" s="33" t="str"/>
      <x:c r="O152" s="33" t="str"/>
      <x:c r="P152" s="30" t="str">
        <x:f>IF(COUNTA(L152:O152)&lt;4,"未完成",IF(OR(L152="部分",L152="不充分",L152="不确定"),"evidence_definition_failure",IF(L152&lt;&gt;"充分","unresolved",IF(COUNTIF(M152:O152,"C")=0,"robust_generation_failure",IF(COUNTIF(M152:O152,"C")=3,"ua3_representation_or_admission_failure","generation_instability")))))</x:f>
        <x:v>unresolved</x:v>
      </x:c>
      <x:c r="Q152" s="33" t="str"/>
      <x:c r="R152" s="33" t="str"/>
      <x:c r="S152" s="33" t="str"/>
      <x:c r="T152" s="36"/>
      <x:c r="U152" s="33" t="str"/>
      <x:c r="V152" s="30" t="str">
        <x:f>IF(AND(L152&lt;&gt;"",M152&lt;&gt;"",N152&lt;&gt;"",O152&lt;&gt;"",Q152&lt;&gt;"",R152&lt;&gt;""),"完成","未完成")</x:f>
        <x:v>未完成</x:v>
      </x:c>
    </x:row>
    <x:row r="153" ht="63" customHeight="1">
      <x:c r="A153" s="30" t="n">
        <x:v>152</x:v>
      </x:c>
      <x:c r="B153" s="30" t="str">
        <x:v>memos_long:1085</x:v>
      </x:c>
      <x:c r="C153" s="30" t="str">
        <x:v>long</x:v>
      </x:c>
      <x:c r="D153" s="30" t="str">
        <x:v>Basic Fact Recall</x:v>
      </x:c>
      <x:c r="E153" s="30" t="str">
        <x:v>What is Taylor David considering to manage stress as of January 05, 2028?</x:v>
      </x:c>
      <x:c r="F153" s="30" t="str">
        <x:v>Integrating mindfulness practices</x:v>
      </x:c>
      <x:c r="G153" s="30" t="str">
        <x:v># Authoritative benchmark gold evidence
The following evidence is authoritative for answering the current question. Use it directly and do not rely on conflicting information.
Evidence 1
Memory type: Persona Memory
Content: Taylor David is considering integrating mindfulness practices into his routine to manage stress and improve his health.</x:v>
      </x:c>
      <x:c r="H153" s="30" t="str">
        <x:v>Daily meditation and yoga.</x:v>
      </x:c>
      <x:c r="I153" s="30" t="str">
        <x:v>Mindfulness practices</x:v>
      </x:c>
      <x:c r="J153" s="30" t="str">
        <x:v>Mindfulness practices</x:v>
      </x:c>
      <x:c r="K153" s="30" t="str">
        <x:v>Mindfulness practices</x:v>
      </x:c>
      <x:c r="L153" s="33" t="str"/>
      <x:c r="M153" s="33" t="str"/>
      <x:c r="N153" s="33" t="str"/>
      <x:c r="O153" s="33" t="str"/>
      <x:c r="P153" s="30" t="str">
        <x:f>IF(COUNTA(L153:O153)&lt;4,"未完成",IF(OR(L153="部分",L153="不充分",L153="不确定"),"evidence_definition_failure",IF(L153&lt;&gt;"充分","unresolved",IF(COUNTIF(M153:O153,"C")=0,"robust_generation_failure",IF(COUNTIF(M153:O153,"C")=3,"ua3_representation_or_admission_failure","generation_instability")))))</x:f>
        <x:v>unresolved</x:v>
      </x:c>
      <x:c r="Q153" s="33" t="str"/>
      <x:c r="R153" s="33" t="str"/>
      <x:c r="S153" s="33" t="str"/>
      <x:c r="T153" s="36"/>
      <x:c r="U153" s="33" t="str"/>
      <x:c r="V153" s="30" t="str">
        <x:f>IF(AND(L153&lt;&gt;"",M153&lt;&gt;"",N153&lt;&gt;"",O153&lt;&gt;"",Q153&lt;&gt;"",R153&lt;&gt;""),"完成","未完成")</x:f>
        <x:v>未完成</x:v>
      </x:c>
    </x:row>
    <x:row r="154" ht="63" customHeight="1">
      <x:c r="A154" s="30" t="n">
        <x:v>153</x:v>
      </x:c>
      <x:c r="B154" s="30" t="str">
        <x:v>memos_long:942</x:v>
      </x:c>
      <x:c r="C154" s="30" t="str">
        <x:v>long</x:v>
      </x:c>
      <x:c r="D154" s="30" t="str">
        <x:v>Generalization &amp; Application</x:v>
      </x:c>
      <x:c r="E154" s="30" t="str">
        <x:v>What type of new restaurants might Donna be interested in visiting after January 12, 2031?</x:v>
      </x:c>
      <x:c r="F154" s="30" t="str">
        <x:v>Eco-friendly restaurants with sustainable and healthy options.</x:v>
      </x:c>
      <x:c r="G154" s="30" t="str">
        <x:v>#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x:v>
      </x:c>
      <x:c r="H154" s="30" t="str">
        <x:v>Eco-friendly fast food.</x:v>
      </x:c>
      <x:c r="I154" s="30" t="str">
        <x:v>Eco-friendly fast food chains</x:v>
      </x:c>
      <x:c r="J154" s="30" t="str">
        <x:v>Eco-friendly fast food chains</x:v>
      </x:c>
      <x:c r="K154" s="30" t="str">
        <x:v>Eco-friendly fast food chains</x:v>
      </x:c>
      <x:c r="L154" s="33" t="str"/>
      <x:c r="M154" s="33" t="str"/>
      <x:c r="N154" s="33" t="str"/>
      <x:c r="O154" s="33" t="str"/>
      <x:c r="P154" s="30" t="str">
        <x:f>IF(COUNTA(L154:O154)&lt;4,"未完成",IF(OR(L154="部分",L154="不充分",L154="不确定"),"evidence_definition_failure",IF(L154&lt;&gt;"充分","unresolved",IF(COUNTIF(M154:O154,"C")=0,"robust_generation_failure",IF(COUNTIF(M154:O154,"C")=3,"ua3_representation_or_admission_failure","generation_instability")))))</x:f>
        <x:v>unresolved</x:v>
      </x:c>
      <x:c r="Q154" s="33" t="str"/>
      <x:c r="R154" s="33" t="str"/>
      <x:c r="S154" s="33" t="str"/>
      <x:c r="T154" s="36"/>
      <x:c r="U154" s="33" t="str"/>
      <x:c r="V154" s="30" t="str">
        <x:f>IF(AND(L154&lt;&gt;"",M154&lt;&gt;"",N154&lt;&gt;"",O154&lt;&gt;"",Q154&lt;&gt;"",R154&lt;&gt;""),"完成","未完成")</x:f>
        <x:v>未完成</x:v>
      </x:c>
    </x:row>
    <x:row r="155" ht="63" customHeight="1">
      <x:c r="A155" s="30" t="n">
        <x:v>154</x:v>
      </x:c>
      <x:c r="B155" s="30" t="str">
        <x:v>memos_long:912</x:v>
      </x:c>
      <x:c r="C155" s="30" t="str">
        <x:v>long</x:v>
      </x:c>
      <x:c r="D155" s="30" t="str">
        <x:v>Generalization &amp; Application</x:v>
      </x:c>
      <x:c r="E155" s="30" t="str">
        <x:v>How might Donna's reliance on AI for emotional support influence her leadership style in 2028?</x:v>
      </x:c>
      <x:c r="F155" s="30" t="str">
        <x:v>Donna's leadership may become more empathetic.</x:v>
      </x:c>
      <x:c r="G155" s="30" t="str">
        <x:v>#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x:v>
      </x:c>
      <x:c r="H155" s="30" t="str">
        <x:v>Enhances strategic, sustainable leadership.</x:v>
      </x:c>
      <x:c r="I155" s="30" t="str">
        <x:v>Empathetic and task-focused leadership.</x:v>
      </x:c>
      <x:c r="J155" s="30" t="str">
        <x:v>Empathetic and task-focused leadership.</x:v>
      </x:c>
      <x:c r="K155" s="30" t="str">
        <x:v>Empathetic and task-focused leadership.</x:v>
      </x:c>
      <x:c r="L155" s="33" t="str"/>
      <x:c r="M155" s="33" t="str"/>
      <x:c r="N155" s="33" t="str"/>
      <x:c r="O155" s="33" t="str"/>
      <x:c r="P155" s="30" t="str">
        <x:f>IF(COUNTA(L155:O155)&lt;4,"未完成",IF(OR(L155="部分",L155="不充分",L155="不确定"),"evidence_definition_failure",IF(L155&lt;&gt;"充分","unresolved",IF(COUNTIF(M155:O155,"C")=0,"robust_generation_failure",IF(COUNTIF(M155:O155,"C")=3,"ua3_representation_or_admission_failure","generation_instability")))))</x:f>
        <x:v>unresolved</x:v>
      </x:c>
      <x:c r="Q155" s="33" t="str"/>
      <x:c r="R155" s="33" t="str"/>
      <x:c r="S155" s="33" t="str"/>
      <x:c r="T155" s="36"/>
      <x:c r="U155" s="33" t="str"/>
      <x:c r="V155" s="30" t="str">
        <x:f>IF(AND(L155&lt;&gt;"",M155&lt;&gt;"",N155&lt;&gt;"",O155&lt;&gt;"",Q155&lt;&gt;"",R155&lt;&gt;""),"完成","未完成")</x:f>
        <x:v>未完成</x:v>
      </x:c>
    </x:row>
    <x:row r="156" ht="63" customHeight="1">
      <x:c r="A156" s="30" t="n">
        <x:v>155</x:v>
      </x:c>
      <x:c r="B156" s="30" t="str">
        <x:v>memos_medium:1986</x:v>
      </x:c>
      <x:c r="C156" s="30" t="str">
        <x:v>medium</x:v>
      </x:c>
      <x:c r="D156" s="30" t="str">
        <x:v>Generalization &amp; Application</x:v>
      </x:c>
      <x:c r="E156" s="30" t="str">
        <x:v>What methods might Joseph Garcia use to maintain program quality despite increased workload as of Jan 11, 2034?</x:v>
      </x:c>
      <x:c r="F156" s="30" t="str">
        <x:v>Seeking advice and maintaining emotional fulfillment.</x:v>
      </x:c>
      <x:c r="G156" s="30" t="str">
        <x:v># Authoritative benchmark gold evidence
The following evidence is authoritative for answering the current question. Use it directly and do not rely on conflicting information.
Evidence 1
Memory type: Persona Memory
Content: Joseph Garcia expressed dedication to maintaining program quality despite increased workload.
Evidence 2
Memory type: Persona Memory
Content: Joseph Garcia finds emotional fulfillment in sharing his passion for cinema through educational programs.</x:v>
      </x:c>
      <x:c r="H156" s="30" t="str">
        <x:v>Productivity strategies.</x:v>
      </x:c>
      <x:c r="I156" s="30" t="str">
        <x:v>Dedication and passion for cinema.</x:v>
      </x:c>
      <x:c r="J156" s="30" t="str">
        <x:v>Dedication and passion for cinema.</x:v>
      </x:c>
      <x:c r="K156" s="30" t="str">
        <x:v>Dedication and passion for cinema.</x:v>
      </x:c>
      <x:c r="L156" s="33" t="str"/>
      <x:c r="M156" s="33" t="str"/>
      <x:c r="N156" s="33" t="str"/>
      <x:c r="O156" s="33" t="str"/>
      <x:c r="P156" s="30" t="str">
        <x:f>IF(COUNTA(L156:O156)&lt;4,"未完成",IF(OR(L156="部分",L156="不充分",L156="不确定"),"evidence_definition_failure",IF(L156&lt;&gt;"充分","unresolved",IF(COUNTIF(M156:O156,"C")=0,"robust_generation_failure",IF(COUNTIF(M156:O156,"C")=3,"ua3_representation_or_admission_failure","generation_instability")))))</x:f>
        <x:v>unresolved</x:v>
      </x:c>
      <x:c r="Q156" s="33" t="str"/>
      <x:c r="R156" s="33" t="str"/>
      <x:c r="S156" s="33" t="str"/>
      <x:c r="T156" s="36"/>
      <x:c r="U156" s="33" t="str"/>
      <x:c r="V156" s="30" t="str">
        <x:f>IF(AND(L156&lt;&gt;"",M156&lt;&gt;"",N156&lt;&gt;"",O156&lt;&gt;"",Q156&lt;&gt;"",R156&lt;&gt;""),"完成","未完成")</x:f>
        <x:v>未完成</x:v>
      </x:c>
    </x:row>
    <x:row r="157" ht="63" customHeight="1">
      <x:c r="A157" s="30" t="n">
        <x:v>156</x:v>
      </x:c>
      <x:c r="B157" s="30" t="str">
        <x:v>memos_long:2981</x:v>
      </x:c>
      <x:c r="C157" s="30" t="str">
        <x:v>long</x:v>
      </x:c>
      <x:c r="D157" s="30" t="str">
        <x:v>Generalization &amp; Application</x:v>
      </x:c>
      <x:c r="E157" s="30" t="str">
        <x:v>How might Karen's supportive network as of 2030-01-20 assist her in achieving her career goals?</x:v>
      </x:c>
      <x:c r="F157" s="30" t="str">
        <x:v>It offers emotional and practical assistance.</x:v>
      </x:c>
      <x:c r="G157" s="30" t="str">
        <x:v>#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x:v>
      </x:c>
      <x:c r="H157" s="30" t="str">
        <x:v>Provides strategic career opportunities.</x:v>
      </x:c>
      <x:c r="I157" s="30" t="str">
        <x:v>Providing emotional and practical assistance.</x:v>
      </x:c>
      <x:c r="J157" s="30" t="str">
        <x:v>Providing emotional and practical assistance.</x:v>
      </x:c>
      <x:c r="K157" s="30" t="str">
        <x:v>Providing emotional and practical assistance.</x:v>
      </x:c>
      <x:c r="L157" s="33" t="str"/>
      <x:c r="M157" s="33" t="str"/>
      <x:c r="N157" s="33" t="str"/>
      <x:c r="O157" s="33" t="str"/>
      <x:c r="P157" s="30" t="str">
        <x:f>IF(COUNTA(L157:O157)&lt;4,"未完成",IF(OR(L157="部分",L157="不充分",L157="不确定"),"evidence_definition_failure",IF(L157&lt;&gt;"充分","unresolved",IF(COUNTIF(M157:O157,"C")=0,"robust_generation_failure",IF(COUNTIF(M157:O157,"C")=3,"ua3_representation_or_admission_failure","generation_instability")))))</x:f>
        <x:v>unresolved</x:v>
      </x:c>
      <x:c r="Q157" s="33" t="str"/>
      <x:c r="R157" s="33" t="str"/>
      <x:c r="S157" s="33" t="str"/>
      <x:c r="T157" s="36"/>
      <x:c r="U157" s="33" t="str"/>
      <x:c r="V157" s="30" t="str">
        <x:f>IF(AND(L157&lt;&gt;"",M157&lt;&gt;"",N157&lt;&gt;"",O157&lt;&gt;"",Q157&lt;&gt;"",R157&lt;&gt;""),"完成","未完成")</x:f>
        <x:v>未完成</x:v>
      </x:c>
    </x:row>
    <x:row r="158" ht="63" customHeight="1">
      <x:c r="A158" s="30" t="n">
        <x:v>157</x:v>
      </x:c>
      <x:c r="B158" s="30" t="str">
        <x:v>memos_long:2479</x:v>
      </x:c>
      <x:c r="C158" s="30" t="str">
        <x:v>long</x:v>
      </x:c>
      <x:c r="D158" s="30" t="str">
        <x:v>Generalization &amp; Application</x:v>
      </x:c>
      <x:c r="E158" s="30" t="str">
        <x:v>How might Steven Miller's shift in music preferences influence his leisure activities after February 22, 2029?</x:v>
      </x:c>
      <x:c r="F158" s="30" t="str">
        <x:v>He may explore more diverse music genres.</x:v>
      </x:c>
      <x:c r="G158" s="30" t="str">
        <x:v>#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x:v>
      </x:c>
      <x:c r="H158" s="30" t="str">
        <x:v>Attend more live performances.</x:v>
      </x:c>
      <x:c r="I158" s="30" t="str">
        <x:v>Attend more country events.</x:v>
      </x:c>
      <x:c r="J158" s="30" t="str">
        <x:v>Attend more country events.</x:v>
      </x:c>
      <x:c r="K158" s="30" t="str">
        <x:v>Attend more country events.</x:v>
      </x:c>
      <x:c r="L158" s="33" t="str"/>
      <x:c r="M158" s="33" t="str"/>
      <x:c r="N158" s="33" t="str"/>
      <x:c r="O158" s="33" t="str"/>
      <x:c r="P158" s="30" t="str">
        <x:f>IF(COUNTA(L158:O158)&lt;4,"未完成",IF(OR(L158="部分",L158="不充分",L158="不确定"),"evidence_definition_failure",IF(L158&lt;&gt;"充分","unresolved",IF(COUNTIF(M158:O158,"C")=0,"robust_generation_failure",IF(COUNTIF(M158:O158,"C")=3,"ua3_representation_or_admission_failure","generation_instability")))))</x:f>
        <x:v>unresolved</x:v>
      </x:c>
      <x:c r="Q158" s="33" t="str"/>
      <x:c r="R158" s="33" t="str"/>
      <x:c r="S158" s="33" t="str"/>
      <x:c r="T158" s="36"/>
      <x:c r="U158" s="33" t="str"/>
      <x:c r="V158" s="30" t="str">
        <x:f>IF(AND(L158&lt;&gt;"",M158&lt;&gt;"",N158&lt;&gt;"",O158&lt;&gt;"",Q158&lt;&gt;"",R158&lt;&gt;""),"完成","未完成")</x:f>
        <x:v>未完成</x:v>
      </x:c>
    </x:row>
    <x:row r="159" ht="63" customHeight="1">
      <x:c r="A159" s="30" t="n">
        <x:v>158</x:v>
      </x:c>
      <x:c r="B159" s="30" t="str">
        <x:v>memos_medium:1532</x:v>
      </x:c>
      <x:c r="C159" s="30" t="str">
        <x:v>medium</x:v>
      </x:c>
      <x:c r="D159" s="30" t="str">
        <x:v>Generalization &amp; Application</x:v>
      </x:c>
      <x:c r="E159" s="30" t="str">
        <x:v>What strategies might Jennifer use to manage stress effectively after her layoff on 2031-11-01?</x:v>
      </x:c>
      <x:c r="F159" s="30" t="str">
        <x:v>Mindfulness and regular exercise.</x:v>
      </x:c>
      <x:c r="G159" s="30" t="str">
        <x:v># Authoritative benchmark gold evidence
The following evidence is authoritative for answering the current question. Use it directly and do not rely on conflicting information.
Evidence 1
Memory type: Persona Memory
Content: Jennifer Martin maintains a balanced lifestyle by exercising regularly and practicing mindfulness to manage stress.
Evidence 2
Memory type: Event Memory
Content: Jennifer Martin expressed a need to focus on stress management and health improvement following job loss.
Evidence 3
Memory type: Event Memory
Content: Jennifer Martin discussed potential methods to regain health stability, including mindfulness and regular exercise.</x:v>
      </x:c>
      <x:c r="H159" s="30" t="str">
        <x:v>No relevant memories found.</x:v>
      </x:c>
      <x:c r="I159" s="30" t="str">
        <x:v>Mindfulness and regular exercise.</x:v>
      </x:c>
      <x:c r="J159" s="30" t="str">
        <x:v>Mindfulness and regular exercise.</x:v>
      </x:c>
      <x:c r="K159" s="30" t="str">
        <x:v>Mindfulness and regular exercise.</x:v>
      </x:c>
      <x:c r="L159" s="33" t="str"/>
      <x:c r="M159" s="33" t="str"/>
      <x:c r="N159" s="33" t="str"/>
      <x:c r="O159" s="33" t="str"/>
      <x:c r="P159" s="30" t="str">
        <x:f>IF(COUNTA(L159:O159)&lt;4,"未完成",IF(OR(L159="部分",L159="不充分",L159="不确定"),"evidence_definition_failure",IF(L159&lt;&gt;"充分","unresolved",IF(COUNTIF(M159:O159,"C")=0,"robust_generation_failure",IF(COUNTIF(M159:O159,"C")=3,"ua3_representation_or_admission_failure","generation_instability")))))</x:f>
        <x:v>unresolved</x:v>
      </x:c>
      <x:c r="Q159" s="33" t="str"/>
      <x:c r="R159" s="33" t="str"/>
      <x:c r="S159" s="33" t="str"/>
      <x:c r="T159" s="36"/>
      <x:c r="U159" s="33" t="str"/>
      <x:c r="V159" s="30" t="str">
        <x:f>IF(AND(L159&lt;&gt;"",M159&lt;&gt;"",N159&lt;&gt;"",O159&lt;&gt;"",Q159&lt;&gt;"",R159&lt;&gt;""),"完成","未完成")</x:f>
        <x:v>未完成</x:v>
      </x:c>
    </x:row>
    <x:row r="160" ht="63" customHeight="1">
      <x:c r="A160" s="30" t="n">
        <x:v>159</x:v>
      </x:c>
      <x:c r="B160" s="30" t="str">
        <x:v>memos_medium:1897</x:v>
      </x:c>
      <x:c r="C160" s="30" t="str">
        <x:v>medium</x:v>
      </x:c>
      <x:c r="D160" s="30" t="str">
        <x:v>Multi-hop Inference</x:v>
      </x:c>
      <x:c r="E160" s="30" t="str">
        <x:v>How did Michelle's monthly income change after joining Innovative AI Corp on Mar 16, 2037?</x:v>
      </x:c>
      <x:c r="F160" s="30" t="str">
        <x:v>Increased from 12,000 to 15,000.</x:v>
      </x:c>
      <x:c r="G160" s="30" t="str">
        <x:v># Authoritative benchmark gold evidence
The following evidence is authoritative for answering the current question. Use it directly and do not rely on conflicting information.
Evidence 1
Memory type: Persona Memory
Content: Michelle Hernandez's monthly income increased from 12,000 to 15,000.
Evidence 2
Memory type: Event Memory
Content: Michelle Hernandez transitioned from Visionary AI Solutions to Innovative AI Corp.</x:v>
      </x:c>
      <x:c r="H160" s="30" t="str">
        <x:v>No income data available.</x:v>
      </x:c>
      <x:c r="I160" s="30" t="str">
        <x:v>Increased from 12,000 to 15,000.</x:v>
      </x:c>
      <x:c r="J160" s="30" t="str">
        <x:v>Increased from 12,000 to 15,000.</x:v>
      </x:c>
      <x:c r="K160" s="30" t="str">
        <x:v>Increased from 12,000 to 15,000.</x:v>
      </x:c>
      <x:c r="L160" s="33" t="str"/>
      <x:c r="M160" s="33" t="str"/>
      <x:c r="N160" s="33" t="str"/>
      <x:c r="O160" s="33" t="str"/>
      <x:c r="P160" s="30" t="str">
        <x:f>IF(COUNTA(L160:O160)&lt;4,"未完成",IF(OR(L160="部分",L160="不充分",L160="不确定"),"evidence_definition_failure",IF(L160&lt;&gt;"充分","unresolved",IF(COUNTIF(M160:O160,"C")=0,"robust_generation_failure",IF(COUNTIF(M160:O160,"C")=3,"ua3_representation_or_admission_failure","generation_instability")))))</x:f>
        <x:v>unresolved</x:v>
      </x:c>
      <x:c r="Q160" s="33" t="str"/>
      <x:c r="R160" s="33" t="str"/>
      <x:c r="S160" s="33" t="str"/>
      <x:c r="T160" s="36"/>
      <x:c r="U160" s="33" t="str"/>
      <x:c r="V160" s="30" t="str">
        <x:f>IF(AND(L160&lt;&gt;"",M160&lt;&gt;"",N160&lt;&gt;"",O160&lt;&gt;"",Q160&lt;&gt;"",R160&lt;&gt;""),"完成","未完成")</x:f>
        <x:v>未完成</x:v>
      </x:c>
    </x:row>
    <x:row r="161" ht="63" customHeight="1">
      <x:c r="A161" s="30" t="n">
        <x:v>160</x:v>
      </x:c>
      <x:c r="B161" s="30" t="str">
        <x:v>memos_long:3439</x:v>
      </x:c>
      <x:c r="C161" s="30" t="str">
        <x:v>long</x:v>
      </x:c>
      <x:c r="D161" s="30" t="str">
        <x:v>Basic Fact Recall</x:v>
      </x:c>
      <x:c r="E161" s="30" t="str">
        <x:v>What genre did Christopher decide to explore on June 13, 2034?</x:v>
      </x:c>
      <x:c r="F161" s="30" t="str">
        <x:v>Diverse literary genres for entertainment and escapism.</x:v>
      </x:c>
      <x:c r="G161" s="30" t="str">
        <x:v>#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x:v>
      </x:c>
      <x:c r="H161" s="30" t="str">
        <x:v>No genre mentioned.</x:v>
      </x:c>
      <x:c r="I161" s="30" t="str">
        <x:v>Diverse literary genres</x:v>
      </x:c>
      <x:c r="J161" s="30" t="str">
        <x:v>Diverse literary genres</x:v>
      </x:c>
      <x:c r="K161" s="30" t="str">
        <x:v>Diverse literary genres</x:v>
      </x:c>
      <x:c r="L161" s="33" t="str"/>
      <x:c r="M161" s="33" t="str"/>
      <x:c r="N161" s="33" t="str"/>
      <x:c r="O161" s="33" t="str"/>
      <x:c r="P161" s="30" t="str">
        <x:f>IF(COUNTA(L161:O161)&lt;4,"未完成",IF(OR(L161="部分",L161="不充分",L161="不确定"),"evidence_definition_failure",IF(L161&lt;&gt;"充分","unresolved",IF(COUNTIF(M161:O161,"C")=0,"robust_generation_failure",IF(COUNTIF(M161:O161,"C")=3,"ua3_representation_or_admission_failure","generation_instability")))))</x:f>
        <x:v>unresolved</x:v>
      </x:c>
      <x:c r="Q161" s="33" t="str"/>
      <x:c r="R161" s="33" t="str"/>
      <x:c r="S161" s="33" t="str"/>
      <x:c r="T161" s="36"/>
      <x:c r="U161" s="33" t="str"/>
      <x:c r="V161" s="30" t="str">
        <x:f>IF(AND(L161&lt;&gt;"",M161&lt;&gt;"",N161&lt;&gt;"",O161&lt;&gt;"",Q161&lt;&gt;"",R161&lt;&gt;""),"完成","未完成")</x:f>
        <x:v>未完成</x:v>
      </x:c>
    </x:row>
    <x:row r="162" ht="63" customHeight="1">
      <x:c r="A162" s="30" t="n">
        <x:v>161</x:v>
      </x:c>
      <x:c r="B162" s="30" t="str">
        <x:v>memos_medium:1881</x:v>
      </x:c>
      <x:c r="C162" s="30" t="str">
        <x:v>medium</x:v>
      </x:c>
      <x:c r="D162" s="30" t="str">
        <x:v>Multi-hop Inference</x:v>
      </x:c>
      <x:c r="E162" s="30" t="str">
        <x:v>What role did AI tools play in Michelle's workflow from Feb 23, 2035 to Jan 23, 2036?</x:v>
      </x:c>
      <x:c r="F162" s="30" t="str">
        <x:v>Streamlined workflow and supported stress management.</x:v>
      </x:c>
      <x:c r="G162" s="30" t="str">
        <x:v># Authoritative benchmark gold evidence
The following evidence is authoritative for answering the current question. Use it directly and do not rely on conflicting information.
Evidence 1
Memory type: Relationship Memory
Content: Michelle Hernandez reflected on the support from her team and the role of AI tools in streamlining her workflow as she transitions into her new role.
Evidence 2
Memory type: Event Memory
Content: Michelle Hernandez emphasized the role of AI tools in streamlining her workflow and supporting stress management during her transition into the executive role.
Evidence 3
Memory type: Persona Memory
Content: Michelle Hernandez used AI tools to enhance her workflow and leadership capabilities, compensating for personal limitations.</x:v>
      </x:c>
      <x:c r="H162" s="30" t="str">
        <x:v>Streamlined workflow and leadership.</x:v>
      </x:c>
      <x:c r="I162" s="30" t="str">
        <x:v>Streamlined workflow and support.</x:v>
      </x:c>
      <x:c r="J162" s="30" t="str">
        <x:v>Streamlined workflow and support.</x:v>
      </x:c>
      <x:c r="K162" s="30" t="str">
        <x:v>Streamlined workflow and support.</x:v>
      </x:c>
      <x:c r="L162" s="33" t="str"/>
      <x:c r="M162" s="33" t="str"/>
      <x:c r="N162" s="33" t="str"/>
      <x:c r="O162" s="33" t="str"/>
      <x:c r="P162" s="30" t="str">
        <x:f>IF(COUNTA(L162:O162)&lt;4,"未完成",IF(OR(L162="部分",L162="不充分",L162="不确定"),"evidence_definition_failure",IF(L162&lt;&gt;"充分","unresolved",IF(COUNTIF(M162:O162,"C")=0,"robust_generation_failure",IF(COUNTIF(M162:O162,"C")=3,"ua3_representation_or_admission_failure","generation_instability")))))</x:f>
        <x:v>unresolved</x:v>
      </x:c>
      <x:c r="Q162" s="33" t="str"/>
      <x:c r="R162" s="33" t="str"/>
      <x:c r="S162" s="33" t="str"/>
      <x:c r="T162" s="36"/>
      <x:c r="U162" s="33" t="str"/>
      <x:c r="V162" s="30" t="str">
        <x:f>IF(AND(L162&lt;&gt;"",M162&lt;&gt;"",N162&lt;&gt;"",O162&lt;&gt;"",Q162&lt;&gt;"",R162&lt;&gt;""),"完成","未完成")</x:f>
        <x:v>未完成</x:v>
      </x:c>
    </x:row>
    <x:row r="163" ht="63" customHeight="1">
      <x:c r="A163" s="30" t="n">
        <x:v>162</x:v>
      </x:c>
      <x:c r="B163" s="30" t="str">
        <x:v>memos_medium:3074</x:v>
      </x:c>
      <x:c r="C163" s="30" t="str">
        <x:v>medium</x:v>
      </x:c>
      <x:c r="D163" s="30" t="str">
        <x:v>Multi-hop Inference</x:v>
      </x:c>
      <x:c r="E163" s="30" t="str">
        <x:v>How did Karen's salary increase on Dec 12, 2039, influence her platform development strategy by Aug 12, 2040?</x:v>
      </x:c>
      <x:c r="F163" s="30" t="str">
        <x:v>It provided financial resources for global expansion and feature integration.</x:v>
      </x:c>
      <x:c r="G163" s="30" t="str">
        <x:v># Authoritative benchmark gold evidence
The following evidence is authoritative for answering the current question. Use it directly and do not rely on conflicting information.
Evidence 1
Memory type: Persona Memory
Content: Karen Brown's career_status updated monthly_income from "12000" to "14000"
Evidence 2
Memory type: Event Memory
Content: Karen Brown plans to invest her salary increase in enhancing the features and scalability of her property management platform.
Evidence 3
Memory type: Event Memory
Content: Karen is focused on planning for the global expansion of her property management platform by setting ambitious targets for market penetration.</x:v>
      </x:c>
      <x:c r="H163" s="30" t="str">
        <x:v>Invested in AI-driven analytics.</x:v>
      </x:c>
      <x:c r="I163" s="30" t="str">
        <x:v>Invested in platform features.</x:v>
      </x:c>
      <x:c r="J163" s="30" t="str">
        <x:v>Invested in platform features.</x:v>
      </x:c>
      <x:c r="K163" s="30" t="str">
        <x:v>Invested in platform features.</x:v>
      </x:c>
      <x:c r="L163" s="33" t="str"/>
      <x:c r="M163" s="33" t="str"/>
      <x:c r="N163" s="33" t="str"/>
      <x:c r="O163" s="33" t="str"/>
      <x:c r="P163" s="30" t="str">
        <x:f>IF(COUNTA(L163:O163)&lt;4,"未完成",IF(OR(L163="部分",L163="不充分",L163="不确定"),"evidence_definition_failure",IF(L163&lt;&gt;"充分","unresolved",IF(COUNTIF(M163:O163,"C")=0,"robust_generation_failure",IF(COUNTIF(M163:O163,"C")=3,"ua3_representation_or_admission_failure","generation_instability")))))</x:f>
        <x:v>unresolved</x:v>
      </x:c>
      <x:c r="Q163" s="33" t="str"/>
      <x:c r="R163" s="33" t="str"/>
      <x:c r="S163" s="33" t="str"/>
      <x:c r="T163" s="36"/>
      <x:c r="U163" s="33" t="str"/>
      <x:c r="V163" s="30" t="str">
        <x:f>IF(AND(L163&lt;&gt;"",M163&lt;&gt;"",N163&lt;&gt;"",O163&lt;&gt;"",Q163&lt;&gt;"",R163&lt;&gt;""),"完成","未完成")</x:f>
        <x:v>未完成</x:v>
      </x:c>
    </x:row>
    <x:row r="164" ht="63" customHeight="1">
      <x:c r="A164" s="30" t="n">
        <x:v>163</x:v>
      </x:c>
      <x:c r="B164" s="30" t="str">
        <x:v>memos_medium:834</x:v>
      </x:c>
      <x:c r="C164" s="30" t="str">
        <x:v>medium</x:v>
      </x:c>
      <x:c r="D164" s="30" t="str">
        <x:v>Generalization &amp; Application</x:v>
      </x:c>
      <x:c r="E164" s="30" t="str">
        <x:v>What might Donna prioritize in her work-life balance strategy in 2036?</x:v>
      </x:c>
      <x:c r="F164" s="30" t="str">
        <x:v>Flexibility and adaptability.</x:v>
      </x:c>
      <x:c r="G164" s="30" t="str">
        <x:v># Authoritative benchmark gold evidence
The following evidence is authoritative for answering the current question. Use it directly and do not rely on conflicting information.
Evidence 1
Memory type: Persona Memory
Content: Donna Gonzalez emphasized the importance of flexibility and adaptability in managing her part-time work schedule.
Evidence 2
Memory type: Event Memory
Content: Donna Gonzalez reflects on her journey of adapting her work-life balance to prioritize health, finding it rewarding.</x:v>
      </x:c>
      <x:c r="H164" s="30" t="str">
        <x:v>Prioritizing her health.</x:v>
      </x:c>
      <x:c r="I164" s="30" t="str">
        <x:v>Health and flexibility.</x:v>
      </x:c>
      <x:c r="J164" s="30" t="str">
        <x:v>Health and flexibility.</x:v>
      </x:c>
      <x:c r="K164" s="30" t="str">
        <x:v>Health and flexibility.</x:v>
      </x:c>
      <x:c r="L164" s="33" t="str"/>
      <x:c r="M164" s="33" t="str"/>
      <x:c r="N164" s="33" t="str"/>
      <x:c r="O164" s="33" t="str"/>
      <x:c r="P164" s="30" t="str">
        <x:f>IF(COUNTA(L164:O164)&lt;4,"未完成",IF(OR(L164="部分",L164="不充分",L164="不确定"),"evidence_definition_failure",IF(L164&lt;&gt;"充分","unresolved",IF(COUNTIF(M164:O164,"C")=0,"robust_generation_failure",IF(COUNTIF(M164:O164,"C")=3,"ua3_representation_or_admission_failure","generation_instability")))))</x:f>
        <x:v>unresolved</x:v>
      </x:c>
      <x:c r="Q164" s="33" t="str"/>
      <x:c r="R164" s="33" t="str"/>
      <x:c r="S164" s="33" t="str"/>
      <x:c r="T164" s="36"/>
      <x:c r="U164" s="33" t="str"/>
      <x:c r="V164" s="30" t="str">
        <x:f>IF(AND(L164&lt;&gt;"",M164&lt;&gt;"",N164&lt;&gt;"",O164&lt;&gt;"",Q164&lt;&gt;"",R164&lt;&gt;""),"完成","未完成")</x:f>
        <x:v>未完成</x:v>
      </x:c>
    </x:row>
    <x:row r="165" ht="63" customHeight="1">
      <x:c r="A165" s="30" t="n">
        <x:v>164</x:v>
      </x:c>
      <x:c r="B165" s="30" t="str">
        <x:v>memos_medium:2662</x:v>
      </x:c>
      <x:c r="C165" s="30" t="str">
        <x:v>medium</x:v>
      </x:c>
      <x:c r="D165" s="30" t="str">
        <x:v>Generalization &amp; Application</x:v>
      </x:c>
      <x:c r="E165" s="30" t="str">
        <x:v>What type of travel itinerary might Oleksandr prefer for a trip after Apr 04, 2031, based on his recent experiences?</x:v>
      </x:c>
      <x:c r="F165" s="30" t="str">
        <x:v>A balanced itinerary with room for spontaneous activities.</x:v>
      </x:c>
      <x:c r="G165" s="30" t="str">
        <x:v># Authoritative benchmark gold evidence
The following evidence is authoritative for answering the current question. Use it directly and do not rely on conflicting information.
Evidence 1
Memory type: Persona Memory
Content: Oleksandr Shevchenko emphasized the importance of balancing structured travel plans with the freedom to explore, enhancing the authenticity and memorability of travel experiences.
Evidence 2
Memory type: Event Memory
Content: Oleksandr Shevchenko's recent travel experience included participating in an unexpected local festival, which became the highlight of his trip and made him rethink his travel planning.</x:v>
      </x:c>
      <x:c r="H165" s="30" t="str">
        <x:v>Coastal and mountainous regions.</x:v>
      </x:c>
      <x:c r="I165" s="30" t="str">
        <x:v>Balanced, flexible itinerary</x:v>
      </x:c>
      <x:c r="J165" s="30" t="str">
        <x:v>Balanced, flexible itinerary</x:v>
      </x:c>
      <x:c r="K165" s="30" t="str">
        <x:v>Balanced, flexible itinerary</x:v>
      </x:c>
      <x:c r="L165" s="33" t="str"/>
      <x:c r="M165" s="33" t="str"/>
      <x:c r="N165" s="33" t="str"/>
      <x:c r="O165" s="33" t="str"/>
      <x:c r="P165" s="30" t="str">
        <x:f>IF(COUNTA(L165:O165)&lt;4,"未完成",IF(OR(L165="部分",L165="不充分",L165="不确定"),"evidence_definition_failure",IF(L165&lt;&gt;"充分","unresolved",IF(COUNTIF(M165:O165,"C")=0,"robust_generation_failure",IF(COUNTIF(M165:O165,"C")=3,"ua3_representation_or_admission_failure","generation_instability")))))</x:f>
        <x:v>unresolved</x:v>
      </x:c>
      <x:c r="Q165" s="33" t="str"/>
      <x:c r="R165" s="33" t="str"/>
      <x:c r="S165" s="33" t="str"/>
      <x:c r="T165" s="36"/>
      <x:c r="U165" s="33" t="str"/>
      <x:c r="V165" s="30" t="str">
        <x:f>IF(AND(L165&lt;&gt;"",M165&lt;&gt;"",N165&lt;&gt;"",O165&lt;&gt;"",Q165&lt;&gt;"",R165&lt;&gt;""),"完成","未完成")</x:f>
        <x:v>未完成</x:v>
      </x:c>
    </x:row>
    <x:row r="166" ht="63" customHeight="1">
      <x:c r="A166" s="30" t="n">
        <x:v>165</x:v>
      </x:c>
      <x:c r="B166" s="30" t="str">
        <x:v>memos_long:681</x:v>
      </x:c>
      <x:c r="C166" s="30" t="str">
        <x:v>long</x:v>
      </x:c>
      <x:c r="D166" s="30" t="str">
        <x:v>Dynamic Update</x:v>
      </x:c>
      <x:c r="E166" s="30" t="str">
        <x:v>What is Sarah Garcia's current motivation in her role as of January 12, 2040?</x:v>
      </x:c>
      <x:c r="F166" s="30" t="str">
        <x:v>Express her identity and gain attention</x:v>
      </x:c>
      <x:c r="G166" s="30" t="str">
        <x:v># Authoritative benchmark gold evidence
The following evidence is authoritative for answering the current question. Use it directly and do not rely on conflicting information.
Evidence 1
Memory type: Persona Memory
Content: Sarah Garcia reflected on her motivation to use her role as Platform Director for social signaling, expressing her identity and gaining attention, while being aware of the potential for decreased community engagement.</x:v>
      </x:c>
      <x:c r="H166" s="30" t="str">
        <x:v>Aligning mission with community needs.</x:v>
      </x:c>
      <x:c r="I166" s="30" t="str">
        <x:v>Social signaling for attention.</x:v>
      </x:c>
      <x:c r="J166" s="30" t="str">
        <x:v>Social signaling for attention.</x:v>
      </x:c>
      <x:c r="K166" s="30" t="str">
        <x:v>Social signaling for attention.</x:v>
      </x:c>
      <x:c r="L166" s="33" t="str"/>
      <x:c r="M166" s="33" t="str"/>
      <x:c r="N166" s="33" t="str"/>
      <x:c r="O166" s="33" t="str"/>
      <x:c r="P166" s="30" t="str">
        <x:f>IF(COUNTA(L166:O166)&lt;4,"未完成",IF(OR(L166="部分",L166="不充分",L166="不确定"),"evidence_definition_failure",IF(L166&lt;&gt;"充分","unresolved",IF(COUNTIF(M166:O166,"C")=0,"robust_generation_failure",IF(COUNTIF(M166:O166,"C")=3,"ua3_representation_or_admission_failure","generation_instability")))))</x:f>
        <x:v>unresolved</x:v>
      </x:c>
      <x:c r="Q166" s="33" t="str"/>
      <x:c r="R166" s="33" t="str"/>
      <x:c r="S166" s="33" t="str"/>
      <x:c r="T166" s="36"/>
      <x:c r="U166" s="33" t="str"/>
      <x:c r="V166" s="30" t="str">
        <x:f>IF(AND(L166&lt;&gt;"",M166&lt;&gt;"",N166&lt;&gt;"",O166&lt;&gt;"",Q166&lt;&gt;"",R166&lt;&gt;""),"完成","未完成")</x:f>
        <x:v>未完成</x:v>
      </x:c>
    </x:row>
    <x:row r="167" ht="63" customHeight="1">
      <x:c r="A167" s="30" t="n">
        <x:v>166</x:v>
      </x:c>
      <x:c r="B167" s="30" t="str">
        <x:v>memos_medium:332</x:v>
      </x:c>
      <x:c r="C167" s="30" t="str">
        <x:v>medium</x:v>
      </x:c>
      <x:c r="D167" s="30" t="str">
        <x:v>Basic Fact Recall</x:v>
      </x:c>
      <x:c r="E167" s="30" t="str">
        <x:v>What event inspired Johnson to broaden his reading scope on Sep 02, 2041?</x:v>
      </x:c>
      <x:c r="F167" s="30" t="str">
        <x:v>A business seminar.</x:v>
      </x:c>
      <x:c r="G167" s="30" t="str">
        <x:v>#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x:v>
      </x:c>
      <x:c r="H167" s="30" t="str">
        <x:v>A business speaker's memoir.</x:v>
      </x:c>
      <x:c r="I167" s="30" t="str">
        <x:v>A business seminar.</x:v>
      </x:c>
      <x:c r="J167" s="30" t="str">
        <x:v>A business seminar.</x:v>
      </x:c>
      <x:c r="K167" s="30" t="str">
        <x:v>A business seminar.</x:v>
      </x:c>
      <x:c r="L167" s="33" t="str"/>
      <x:c r="M167" s="33" t="str"/>
      <x:c r="N167" s="33" t="str"/>
      <x:c r="O167" s="33" t="str"/>
      <x:c r="P167" s="30" t="str">
        <x:f>IF(COUNTA(L167:O167)&lt;4,"未完成",IF(OR(L167="部分",L167="不充分",L167="不确定"),"evidence_definition_failure",IF(L167&lt;&gt;"充分","unresolved",IF(COUNTIF(M167:O167,"C")=0,"robust_generation_failure",IF(COUNTIF(M167:O167,"C")=3,"ua3_representation_or_admission_failure","generation_instability")))))</x:f>
        <x:v>unresolved</x:v>
      </x:c>
      <x:c r="Q167" s="33" t="str"/>
      <x:c r="R167" s="33" t="str"/>
      <x:c r="S167" s="33" t="str"/>
      <x:c r="T167" s="36"/>
      <x:c r="U167" s="33" t="str"/>
      <x:c r="V167" s="30" t="str">
        <x:f>IF(AND(L167&lt;&gt;"",M167&lt;&gt;"",N167&lt;&gt;"",O167&lt;&gt;"",Q167&lt;&gt;"",R167&lt;&gt;""),"完成","未完成")</x:f>
        <x:v>未完成</x:v>
      </x:c>
    </x:row>
    <x:row r="168" ht="63" customHeight="1">
      <x:c r="A168" s="30" t="n">
        <x:v>167</x:v>
      </x:c>
      <x:c r="B168" s="30" t="str">
        <x:v>memos_medium:2636</x:v>
      </x:c>
      <x:c r="C168" s="30" t="str">
        <x:v>medium</x:v>
      </x:c>
      <x:c r="D168" s="30" t="str">
        <x:v>Multi-hop Inference</x:v>
      </x:c>
      <x:c r="E168" s="30" t="str">
        <x:v>How did Oleksandr's improved health influence his engagement with peers by Jun 20, 2028?</x:v>
      </x:c>
      <x:c r="F168" s="30" t="str">
        <x:v>Enabled more active engagement with peers.</x:v>
      </x:c>
      <x:c r="G168" s="30" t="str">
        <x:v># Authoritative benchmark gold evidence
The following evidence is authoritative for answering the current question. Use it directly and do not rely on conflicting information.
Evidence 1
Memory type: Persona Memory
Content: Oleksandr Shevchenko's improved health has enabled him to engage more actively with peers and mentors in the legal field.
Evidence 2
Memory type: Event Memory
Content: Oleksandr Shevchenko adopted a more active lifestyle to manage his chronic condition, leading to improved health and increased energy.
Evidence 3
Memory type: Event Memory
Content: Oleksandr's promotion to Senior Defense Lawyer has significantly expanded his professional network.</x:v>
      </x:c>
      <x:c r="H168" s="30" t="str">
        <x:v>Improved ability to manage responsibilities.</x:v>
      </x:c>
      <x:c r="I168" s="30" t="str">
        <x:v>More active engagement.</x:v>
      </x:c>
      <x:c r="J168" s="30" t="str">
        <x:v>More active engagement.</x:v>
      </x:c>
      <x:c r="K168" s="30" t="str">
        <x:v>More active engagement.</x:v>
      </x:c>
      <x:c r="L168" s="33" t="str"/>
      <x:c r="M168" s="33" t="str"/>
      <x:c r="N168" s="33" t="str"/>
      <x:c r="O168" s="33" t="str"/>
      <x:c r="P168" s="30" t="str">
        <x:f>IF(COUNTA(L168:O168)&lt;4,"未完成",IF(OR(L168="部分",L168="不充分",L168="不确定"),"evidence_definition_failure",IF(L168&lt;&gt;"充分","unresolved",IF(COUNTIF(M168:O168,"C")=0,"robust_generation_failure",IF(COUNTIF(M168:O168,"C")=3,"ua3_representation_or_admission_failure","generation_instability")))))</x:f>
        <x:v>unresolved</x:v>
      </x:c>
      <x:c r="Q168" s="33" t="str"/>
      <x:c r="R168" s="33" t="str"/>
      <x:c r="S168" s="33" t="str"/>
      <x:c r="T168" s="36"/>
      <x:c r="U168" s="33" t="str"/>
      <x:c r="V168" s="30" t="str">
        <x:f>IF(AND(L168&lt;&gt;"",M168&lt;&gt;"",N168&lt;&gt;"",O168&lt;&gt;"",Q168&lt;&gt;"",R168&lt;&gt;""),"完成","未完成")</x:f>
        <x:v>未完成</x:v>
      </x:c>
    </x:row>
    <x:row r="169" ht="63" customHeight="1">
      <x:c r="A169" s="30" t="n">
        <x:v>168</x:v>
      </x:c>
      <x:c r="B169" s="30" t="str">
        <x:v>memos_medium:670</x:v>
      </x:c>
      <x:c r="C169" s="30" t="str">
        <x:v>medium</x:v>
      </x:c>
      <x:c r="D169" s="30" t="str">
        <x:v>Generalization &amp; Application</x:v>
      </x:c>
      <x:c r="E169" s="30" t="str">
        <x:v>What new genre might Sarah Garcia explore after Sep 11, 2039, given her appreciation for creative pop music?</x:v>
      </x:c>
      <x:c r="F169" s="30" t="str">
        <x:v>Indie music for its artistic complexity.</x:v>
      </x:c>
      <x:c r="G169" s="30" t="str">
        <x:v># Authoritative benchmark gold evidence
The following evidence is authoritative for answering the current question. Use it directly and do not rely on conflicting information.
Evidence 1
Memory type: Persona Memory
Content: Sarah Garcia's music preference evolved from enjoying uplifting pop music for its energy to appreciating creative pop music for its artistic complexity and emotional depth.
Evidence 2
Memory type: Persona Memory
Content: Sarah Garcia expressed excitement and inspiration from discovering the storytelling and emotional depth in pop music.
Evidence 3
Memory type: Persona Memory
Content: Sarah Garcia's continuous pursuit of personal growth and emotional fulfillment is reflected in her evolving music preferences, from soothing jazz music to creative pop music.</x:v>
      </x:c>
      <x:c r="H169" s="30" t="str">
        <x:v>Creative pop music</x:v>
      </x:c>
      <x:c r="I169" s="30" t="str">
        <x:v>Jazz music</x:v>
      </x:c>
      <x:c r="J169" s="30" t="str">
        <x:v>Jazz music</x:v>
      </x:c>
      <x:c r="K169" s="30" t="str">
        <x:v>Jazz music</x:v>
      </x:c>
      <x:c r="L169" s="33" t="str"/>
      <x:c r="M169" s="33" t="str"/>
      <x:c r="N169" s="33" t="str"/>
      <x:c r="O169" s="33" t="str"/>
      <x:c r="P169" s="30" t="str">
        <x:f>IF(COUNTA(L169:O169)&lt;4,"未完成",IF(OR(L169="部分",L169="不充分",L169="不确定"),"evidence_definition_failure",IF(L169&lt;&gt;"充分","unresolved",IF(COUNTIF(M169:O169,"C")=0,"robust_generation_failure",IF(COUNTIF(M169:O169,"C")=3,"ua3_representation_or_admission_failure","generation_instability")))))</x:f>
        <x:v>unresolved</x:v>
      </x:c>
      <x:c r="Q169" s="33" t="str"/>
      <x:c r="R169" s="33" t="str"/>
      <x:c r="S169" s="33" t="str"/>
      <x:c r="T169" s="36"/>
      <x:c r="U169" s="33" t="str"/>
      <x:c r="V169" s="30" t="str">
        <x:f>IF(AND(L169&lt;&gt;"",M169&lt;&gt;"",N169&lt;&gt;"",O169&lt;&gt;"",Q169&lt;&gt;"",R169&lt;&gt;""),"完成","未完成")</x:f>
        <x:v>未完成</x:v>
      </x:c>
    </x:row>
    <x:row r="170" ht="63" customHeight="1">
      <x:c r="A170" s="30" t="n">
        <x:v>169</x:v>
      </x:c>
      <x:c r="B170" s="30" t="str">
        <x:v>memos_medium:2306</x:v>
      </x:c>
      <x:c r="C170" s="30" t="str">
        <x:v>medium</x:v>
      </x:c>
      <x:c r="D170" s="30" t="str">
        <x:v>Generalization &amp; Application</x:v>
      </x:c>
      <x:c r="E170" s="30" t="str">
        <x:v>How can Williams Daniel leverage his international acclaim for future projects in 2029?</x:v>
      </x:c>
      <x:c r="F170" s="30" t="str">
        <x:v>By securing funding and talent.</x:v>
      </x:c>
      <x:c r="G170" s="30" t="str">
        <x:v># Authoritative benchmark gold evidence
The following evidence is authoritative for answering the current question. Use it directly and do not rely on conflicting information.
Evidence 1
Memory type: Event Memory
Content: Williams Daniel plans to leverage his international acclaim to secure funding and talent for exploring new historical themes.
Evidence 2
Memory type: Event Memory
Content: Williams Daniel is planning future film projects, leveraging past successes for exploring new historical themes and narratives.</x:v>
      </x:c>
      <x:c r="H170" s="30" t="str">
        <x:v>Explore and develop new themes.</x:v>
      </x:c>
      <x:c r="I170" s="30" t="str">
        <x:v>Secure funding and talent.</x:v>
      </x:c>
      <x:c r="J170" s="30" t="str">
        <x:v>Secure funding and talent.</x:v>
      </x:c>
      <x:c r="K170" s="30" t="str">
        <x:v>Secure funding and talent.</x:v>
      </x:c>
      <x:c r="L170" s="33" t="str"/>
      <x:c r="M170" s="33" t="str"/>
      <x:c r="N170" s="33" t="str"/>
      <x:c r="O170" s="33" t="str"/>
      <x:c r="P170" s="30" t="str">
        <x:f>IF(COUNTA(L170:O170)&lt;4,"未完成",IF(OR(L170="部分",L170="不充分",L170="不确定"),"evidence_definition_failure",IF(L170&lt;&gt;"充分","unresolved",IF(COUNTIF(M170:O170,"C")=0,"robust_generation_failure",IF(COUNTIF(M170:O170,"C")=3,"ua3_representation_or_admission_failure","generation_instability")))))</x:f>
        <x:v>unresolved</x:v>
      </x:c>
      <x:c r="Q170" s="33" t="str"/>
      <x:c r="R170" s="33" t="str"/>
      <x:c r="S170" s="33" t="str"/>
      <x:c r="T170" s="36"/>
      <x:c r="U170" s="33" t="str"/>
      <x:c r="V170" s="30" t="str">
        <x:f>IF(AND(L170&lt;&gt;"",M170&lt;&gt;"",N170&lt;&gt;"",O170&lt;&gt;"",Q170&lt;&gt;"",R170&lt;&gt;""),"完成","未完成")</x:f>
        <x:v>未完成</x:v>
      </x:c>
    </x:row>
    <x:row r="171" ht="63" customHeight="1">
      <x:c r="A171" s="30" t="n">
        <x:v>170</x:v>
      </x:c>
      <x:c r="B171" s="30" t="str">
        <x:v>memos_long:2700</x:v>
      </x:c>
      <x:c r="C171" s="30" t="str">
        <x:v>long</x:v>
      </x:c>
      <x:c r="D171" s="30" t="str">
        <x:v>Basic Fact Recall</x:v>
      </x:c>
      <x:c r="E171" s="30" t="str">
        <x:v>What activity did Oleksandr Shevchenko discover at the wellness retreat on March 10, 2034?</x:v>
      </x:c>
      <x:c r="F171" s="30" t="str">
        <x:v>Yoga</x:v>
      </x:c>
      <x:c r="G171" s="30" t="str">
        <x:v># Authoritative benchmark gold evidence
The following evidence is authoritative for answering the current question. Use it directly and do not rely on conflicting information.
Evidence 1
Memory type: Event Memory
Content: Oleksandr Shevchenko attended a wellness retreat on March 10, 2034, where he discovered the benefits of yoga.</x:v>
      </x:c>
      <x:c r="H171" s="30" t="str">
        <x:v>Swimming and yoga.</x:v>
      </x:c>
      <x:c r="I171" s="30" t="str">
        <x:v>The benefits of yoga.</x:v>
      </x:c>
      <x:c r="J171" s="30" t="str">
        <x:v>The benefits of yoga.</x:v>
      </x:c>
      <x:c r="K171" s="30" t="str">
        <x:v>The benefits of yoga.</x:v>
      </x:c>
      <x:c r="L171" s="33" t="str"/>
      <x:c r="M171" s="33" t="str"/>
      <x:c r="N171" s="33" t="str"/>
      <x:c r="O171" s="33" t="str"/>
      <x:c r="P171" s="30" t="str">
        <x:f>IF(COUNTA(L171:O171)&lt;4,"未完成",IF(OR(L171="部分",L171="不充分",L171="不确定"),"evidence_definition_failure",IF(L171&lt;&gt;"充分","unresolved",IF(COUNTIF(M171:O171,"C")=0,"robust_generation_failure",IF(COUNTIF(M171:O171,"C")=3,"ua3_representation_or_admission_failure","generation_instability")))))</x:f>
        <x:v>unresolved</x:v>
      </x:c>
      <x:c r="Q171" s="33" t="str"/>
      <x:c r="R171" s="33" t="str"/>
      <x:c r="S171" s="33" t="str"/>
      <x:c r="T171" s="36"/>
      <x:c r="U171" s="33" t="str"/>
      <x:c r="V171" s="30" t="str">
        <x:f>IF(AND(L171&lt;&gt;"",M171&lt;&gt;"",N171&lt;&gt;"",O171&lt;&gt;"",Q171&lt;&gt;"",R171&lt;&gt;""),"完成","未完成")</x:f>
        <x:v>未完成</x:v>
      </x:c>
    </x:row>
    <x:row r="172" ht="63" customHeight="1">
      <x:c r="A172" s="30" t="n">
        <x:v>171</x:v>
      </x:c>
      <x:c r="B172" s="30" t="str">
        <x:v>memos_long:2113</x:v>
      </x:c>
      <x:c r="C172" s="30" t="str">
        <x:v>long</x:v>
      </x:c>
      <x:c r="D172" s="30" t="str">
        <x:v>Basic Fact Recall</x:v>
      </x:c>
      <x:c r="E172" s="30" t="str">
        <x:v>What role does Sharon Brown plan to enhance with puzzle games as of Aug 22, 2027?</x:v>
      </x:c>
      <x:c r="F172" s="30" t="str">
        <x:v>Mentoring role at the sports academy.</x:v>
      </x:c>
      <x:c r="G172" s="30" t="str">
        <x:v># Authoritative benchmark gold evidence
The following evidence is authoritative for answering the current question. Use it directly and do not rely on conflicting information.
Evidence 1
Memory type: Event Memory
Content: Sharon Brown plans to incorporate puzzle games into her routine to enhance her strategic thinking skills, which will be invaluable in her mentoring role at the sports academy.</x:v>
      </x:c>
      <x:c r="H172" s="30" t="str">
        <x:v>Training sessions for athletes</x:v>
      </x:c>
      <x:c r="I172" s="30" t="str">
        <x:v>Mentoring role at sports academy</x:v>
      </x:c>
      <x:c r="J172" s="30" t="str">
        <x:v>Mentoring role at sports academy</x:v>
      </x:c>
      <x:c r="K172" s="30" t="str">
        <x:v>Mentoring role at sports academy</x:v>
      </x:c>
      <x:c r="L172" s="33" t="str"/>
      <x:c r="M172" s="33" t="str"/>
      <x:c r="N172" s="33" t="str"/>
      <x:c r="O172" s="33" t="str"/>
      <x:c r="P172" s="30" t="str">
        <x:f>IF(COUNTA(L172:O172)&lt;4,"未完成",IF(OR(L172="部分",L172="不充分",L172="不确定"),"evidence_definition_failure",IF(L172&lt;&gt;"充分","unresolved",IF(COUNTIF(M172:O172,"C")=0,"robust_generation_failure",IF(COUNTIF(M172:O172,"C")=3,"ua3_representation_or_admission_failure","generation_instability")))))</x:f>
        <x:v>unresolved</x:v>
      </x:c>
      <x:c r="Q172" s="33" t="str"/>
      <x:c r="R172" s="33" t="str"/>
      <x:c r="S172" s="33" t="str"/>
      <x:c r="T172" s="36"/>
      <x:c r="U172" s="33" t="str"/>
      <x:c r="V172" s="30" t="str">
        <x:f>IF(AND(L172&lt;&gt;"",M172&lt;&gt;"",N172&lt;&gt;"",O172&lt;&gt;"",Q172&lt;&gt;"",R172&lt;&gt;""),"完成","未完成")</x:f>
        <x:v>未完成</x:v>
      </x:c>
    </x:row>
    <x:row r="173" ht="63" customHeight="1">
      <x:c r="A173" s="30" t="n">
        <x:v>172</x:v>
      </x:c>
      <x:c r="B173" s="30" t="str">
        <x:v>memos_long:3329</x:v>
      </x:c>
      <x:c r="C173" s="30" t="str">
        <x:v>long</x:v>
      </x:c>
      <x:c r="D173" s="30" t="str">
        <x:v>Basic Fact Recall</x:v>
      </x:c>
      <x:c r="E173" s="30" t="str">
        <x:v>What type of documentaries is Christopher interested in as of April 17, 2027?</x:v>
      </x:c>
      <x:c r="F173" s="30" t="str">
        <x:v>Environmental documentaries</x:v>
      </x:c>
      <x:c r="G173" s="30" t="str">
        <x:v># Authoritative benchmark gold evidence
The following evidence is authoritative for answering the current question. Use it directly and do not rely on conflicting information.
Evidence 1
Memory type: Persona Memory
Content: Christopher is interested in environmental documentaries to understand climate change and sustainability.</x:v>
      </x:c>
      <x:c r="H173" s="30" t="str">
        <x:v>Environmental and historical documentaries.</x:v>
      </x:c>
      <x:c r="I173" s="30" t="str">
        <x:v>Environmental documentaries</x:v>
      </x:c>
      <x:c r="J173" s="30" t="str">
        <x:v>Environmental documentaries</x:v>
      </x:c>
      <x:c r="K173" s="30" t="str">
        <x:v>Environmental documentaries</x:v>
      </x:c>
      <x:c r="L173" s="33" t="str"/>
      <x:c r="M173" s="33" t="str"/>
      <x:c r="N173" s="33" t="str"/>
      <x:c r="O173" s="33" t="str"/>
      <x:c r="P173" s="30" t="str">
        <x:f>IF(COUNTA(L173:O173)&lt;4,"未完成",IF(OR(L173="部分",L173="不充分",L173="不确定"),"evidence_definition_failure",IF(L173&lt;&gt;"充分","unresolved",IF(COUNTIF(M173:O173,"C")=0,"robust_generation_failure",IF(COUNTIF(M173:O173,"C")=3,"ua3_representation_or_admission_failure","generation_instability")))))</x:f>
        <x:v>unresolved</x:v>
      </x:c>
      <x:c r="Q173" s="33" t="str"/>
      <x:c r="R173" s="33" t="str"/>
      <x:c r="S173" s="33" t="str"/>
      <x:c r="T173" s="36"/>
      <x:c r="U173" s="33" t="str"/>
      <x:c r="V173" s="30" t="str">
        <x:f>IF(AND(L173&lt;&gt;"",M173&lt;&gt;"",N173&lt;&gt;"",O173&lt;&gt;"",Q173&lt;&gt;"",R173&lt;&gt;""),"完成","未完成")</x:f>
        <x:v>未完成</x:v>
      </x:c>
    </x:row>
    <x:row r="174" ht="63" customHeight="1">
      <x:c r="A174" s="30" t="n">
        <x:v>173</x:v>
      </x:c>
      <x:c r="B174" s="30" t="str">
        <x:v>memos_medium:1370</x:v>
      </x:c>
      <x:c r="C174" s="30" t="str">
        <x:v>medium</x:v>
      </x:c>
      <x:c r="D174" s="30" t="str">
        <x:v>Generalization &amp; Application</x:v>
      </x:c>
      <x:c r="E174" s="30" t="str">
        <x:v>What new genre might Ananya explore next, based on her recent interest in symphonic metal?</x:v>
      </x:c>
      <x:c r="F174" s="30" t="str">
        <x:v>Progressive rock, due to its complexity and blend of styles.</x:v>
      </x:c>
      <x:c r="G174" s="30" t="str">
        <x:v># Authoritative benchmark gold evidence
The following evidence is authoritative for answering the current question. Use it directly and do not rely on conflicting information.
Evidence 1
Memory type: Persona Memory
Content: Ananya Sharma experienced a shift in music preference, developing a liking for symphonic metal due to its fusion of orchestral elements with metal.
Evidence 2
Memory type: Persona Memory
Content: Ananya Sharma's newfound appreciation for symphonic metal challenges her previous assumptions about heavy metal.
Evidence 3
Memory type: Persona Memory
Content: Ananya Sharma contemplates how her experience with symphonic metal could broaden her understanding of musical genres.</x:v>
      </x:c>
      <x:c r="H174" s="30" t="str">
        <x:v>Symphonic metal</x:v>
      </x:c>
      <x:c r="I174" s="30" t="str">
        <x:v>Symphonic metal</x:v>
      </x:c>
      <x:c r="J174" s="30" t="str">
        <x:v>Symphonic metal</x:v>
      </x:c>
      <x:c r="K174" s="30" t="str">
        <x:v>Symphonic metal</x:v>
      </x:c>
      <x:c r="L174" s="33" t="str"/>
      <x:c r="M174" s="33" t="str"/>
      <x:c r="N174" s="33" t="str"/>
      <x:c r="O174" s="33" t="str"/>
      <x:c r="P174" s="30" t="str">
        <x:f>IF(COUNTA(L174:O174)&lt;4,"未完成",IF(OR(L174="部分",L174="不充分",L174="不确定"),"evidence_definition_failure",IF(L174&lt;&gt;"充分","unresolved",IF(COUNTIF(M174:O174,"C")=0,"robust_generation_failure",IF(COUNTIF(M174:O174,"C")=3,"ua3_representation_or_admission_failure","generation_instability")))))</x:f>
        <x:v>unresolved</x:v>
      </x:c>
      <x:c r="Q174" s="33" t="str"/>
      <x:c r="R174" s="33" t="str"/>
      <x:c r="S174" s="33" t="str"/>
      <x:c r="T174" s="36"/>
      <x:c r="U174" s="33" t="str"/>
      <x:c r="V174" s="30" t="str">
        <x:f>IF(AND(L174&lt;&gt;"",M174&lt;&gt;"",N174&lt;&gt;"",O174&lt;&gt;"",Q174&lt;&gt;"",R174&lt;&gt;""),"完成","未完成")</x:f>
        <x:v>未完成</x:v>
      </x:c>
    </x:row>
    <x:row r="175" ht="63" customHeight="1">
      <x:c r="A175" s="30" t="n">
        <x:v>174</x:v>
      </x:c>
      <x:c r="B175" s="30" t="str">
        <x:v>memos_medium:1757</x:v>
      </x:c>
      <x:c r="C175" s="30" t="str">
        <x:v>medium</x:v>
      </x:c>
      <x:c r="D175" s="30" t="str">
        <x:v>Multi-hop Inference</x:v>
      </x:c>
      <x:c r="E175" s="30" t="str">
        <x:v>How did Susan Thompson's salary increase influence her ability to inspire others in the wellness sector?</x:v>
      </x:c>
      <x:c r="F175" s="30" t="str">
        <x:v>It enhanced her capacity to support other women.</x:v>
      </x:c>
      <x:c r="G175" s="30" t="str">
        <x:v>#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x:v>
      </x:c>
      <x:c r="H175" s="30" t="str">
        <x:v>Funded new wellness initiatives.</x:v>
      </x:c>
      <x:c r="I175" s="30" t="str">
        <x:v>Enhanced her ability to inspire.</x:v>
      </x:c>
      <x:c r="J175" s="30" t="str">
        <x:v>Enhanced her ability to inspire.</x:v>
      </x:c>
      <x:c r="K175" s="30" t="str">
        <x:v>Enhanced her ability to inspire.</x:v>
      </x:c>
      <x:c r="L175" s="33" t="str"/>
      <x:c r="M175" s="33" t="str"/>
      <x:c r="N175" s="33" t="str"/>
      <x:c r="O175" s="33" t="str"/>
      <x:c r="P175" s="30" t="str">
        <x:f>IF(COUNTA(L175:O175)&lt;4,"未完成",IF(OR(L175="部分",L175="不充分",L175="不确定"),"evidence_definition_failure",IF(L175&lt;&gt;"充分","unresolved",IF(COUNTIF(M175:O175,"C")=0,"robust_generation_failure",IF(COUNTIF(M175:O175,"C")=3,"ua3_representation_or_admission_failure","generation_instability")))))</x:f>
        <x:v>unresolved</x:v>
      </x:c>
      <x:c r="Q175" s="33" t="str"/>
      <x:c r="R175" s="33" t="str"/>
      <x:c r="S175" s="33" t="str"/>
      <x:c r="T175" s="36"/>
      <x:c r="U175" s="33" t="str"/>
      <x:c r="V175" s="30" t="str">
        <x:f>IF(AND(L175&lt;&gt;"",M175&lt;&gt;"",N175&lt;&gt;"",O175&lt;&gt;"",Q175&lt;&gt;"",R175&lt;&gt;""),"完成","未完成")</x:f>
        <x:v>未完成</x:v>
      </x:c>
    </x:row>
    <x:row r="176" ht="63" customHeight="1">
      <x:c r="A176" s="30" t="n">
        <x:v>175</x:v>
      </x:c>
      <x:c r="B176" s="30" t="str">
        <x:v>memos_long:3071</x:v>
      </x:c>
      <x:c r="C176" s="30" t="str">
        <x:v>long</x:v>
      </x:c>
      <x:c r="D176" s="30" t="str">
        <x:v>Generalization &amp; Application</x:v>
      </x:c>
      <x:c r="E176" s="30" t="str">
        <x:v>How can Karen integrate meditation into her fitness routine to enhance overall well-being?</x:v>
      </x:c>
      <x:c r="F176" s="30" t="str">
        <x:v>Combine meditation with yoga sessions for mental clarity and peace.</x:v>
      </x:c>
      <x:c r="G176" s="30" t="str">
        <x:v># Authoritative benchmark gold evidence
The following evidence is authoritative for answering the current question. Use it directly and do not rely on conflicting information.
Evidence 1
Memory type: Event Memory
Content: Karen Brown attended a mindfulness workshop that emphasized the importance of mental well-being.
Evidence 2
Memory type: Persona Memory
Content: Karen Brown's sports preferences include running, cycling, yoga, and competitive swimming.
Evidence 3
Memory type: Persona Memory
Content: Karen Brown expressed determination to integrate meditation into her daily routine for enhanced mental clarity and peace.
Evidence 4
Memory type: Relationship Memory
Content: Karen Brown sought advice on effective meditation practices to complement her physical activities.
Evidence 5
Memory type: Persona Memory
Content: Karen Brown is determined to achieve a balanced lifestyle that includes both physical and mental wellness.</x:v>
      </x:c>
      <x:c r="H176" s="30" t="str">
        <x:v>Start with short sessions.</x:v>
      </x:c>
      <x:c r="I176" s="30" t="str">
        <x:v>Combine meditation with exercise.</x:v>
      </x:c>
      <x:c r="J176" s="30" t="str">
        <x:v>Combine meditation with exercise.</x:v>
      </x:c>
      <x:c r="K176" s="30" t="str">
        <x:v>Combine meditation with exercise.</x:v>
      </x:c>
      <x:c r="L176" s="33" t="str"/>
      <x:c r="M176" s="33" t="str"/>
      <x:c r="N176" s="33" t="str"/>
      <x:c r="O176" s="33" t="str"/>
      <x:c r="P176" s="30" t="str">
        <x:f>IF(COUNTA(L176:O176)&lt;4,"未完成",IF(OR(L176="部分",L176="不充分",L176="不确定"),"evidence_definition_failure",IF(L176&lt;&gt;"充分","unresolved",IF(COUNTIF(M176:O176,"C")=0,"robust_generation_failure",IF(COUNTIF(M176:O176,"C")=3,"ua3_representation_or_admission_failure","generation_instability")))))</x:f>
        <x:v>unresolved</x:v>
      </x:c>
      <x:c r="Q176" s="33" t="str"/>
      <x:c r="R176" s="33" t="str"/>
      <x:c r="S176" s="33" t="str"/>
      <x:c r="T176" s="36"/>
      <x:c r="U176" s="33" t="str"/>
      <x:c r="V176" s="30" t="str">
        <x:f>IF(AND(L176&lt;&gt;"",M176&lt;&gt;"",N176&lt;&gt;"",O176&lt;&gt;"",Q176&lt;&gt;"",R176&lt;&gt;""),"完成","未完成")</x:f>
        <x:v>未完成</x:v>
      </x:c>
    </x:row>
    <x:row r="177" ht="63" customHeight="1">
      <x:c r="A177" s="30" t="n">
        <x:v>176</x:v>
      </x:c>
      <x:c r="B177" s="30" t="str">
        <x:v>memos_long:2156</x:v>
      </x:c>
      <x:c r="C177" s="30" t="str">
        <x:v>long</x:v>
      </x:c>
      <x:c r="D177" s="30" t="str">
        <x:v>Basic Fact Recall</x:v>
      </x:c>
      <x:c r="E177" s="30" t="str">
        <x:v>What is Sharon Brown's monthly income as of May 24, 2029?</x:v>
      </x:c>
      <x:c r="F177" s="30" t="str">
        <x:v>$15,000</x:v>
      </x:c>
      <x:c r="G177" s="30" t="str">
        <x:v># Authoritative benchmark gold evidence
The following evidence is authoritative for answering the current question. Use it directly and do not rely on conflicting information.
Evidence 1
Memory type: Persona Memory
Content: Sharon Brown's monthly income is $15,000.</x:v>
      </x:c>
      <x:c r="H177" s="30" t="str">
        <x:v>$12,000</x:v>
      </x:c>
      <x:c r="I177" s="30" t="str">
        <x:v>$15,000</x:v>
      </x:c>
      <x:c r="J177" s="30" t="str">
        <x:v>$15,000</x:v>
      </x:c>
      <x:c r="K177" s="30" t="str">
        <x:v>$15,000</x:v>
      </x:c>
      <x:c r="L177" s="33" t="str"/>
      <x:c r="M177" s="33" t="str"/>
      <x:c r="N177" s="33" t="str"/>
      <x:c r="O177" s="33" t="str"/>
      <x:c r="P177" s="30" t="str">
        <x:f>IF(COUNTA(L177:O177)&lt;4,"未完成",IF(OR(L177="部分",L177="不充分",L177="不确定"),"evidence_definition_failure",IF(L177&lt;&gt;"充分","unresolved",IF(COUNTIF(M177:O177,"C")=0,"robust_generation_failure",IF(COUNTIF(M177:O177,"C")=3,"ua3_representation_or_admission_failure","generation_instability")))))</x:f>
        <x:v>unresolved</x:v>
      </x:c>
      <x:c r="Q177" s="33" t="str"/>
      <x:c r="R177" s="33" t="str"/>
      <x:c r="S177" s="33" t="str"/>
      <x:c r="T177" s="36"/>
      <x:c r="U177" s="33" t="str"/>
      <x:c r="V177" s="30" t="str">
        <x:f>IF(AND(L177&lt;&gt;"",M177&lt;&gt;"",N177&lt;&gt;"",O177&lt;&gt;"",Q177&lt;&gt;"",R177&lt;&gt;""),"完成","未完成")</x:f>
        <x:v>未完成</x:v>
      </x:c>
    </x:row>
    <x:row r="178" ht="63" customHeight="1">
      <x:c r="A178" s="30" t="n">
        <x:v>177</x:v>
      </x:c>
      <x:c r="B178" s="30" t="str">
        <x:v>memos_long:1622</x:v>
      </x:c>
      <x:c r="C178" s="30" t="str">
        <x:v>long</x:v>
      </x:c>
      <x:c r="D178" s="30" t="str">
        <x:v>Basic Fact Recall</x:v>
      </x:c>
      <x:c r="E178" s="30" t="str">
        <x:v>What type of spices did Susan decide to incorporate into her meals on Jun 25, 2028?</x:v>
      </x:c>
      <x:c r="F178" s="30" t="str">
        <x:v>Mild spices</x:v>
      </x:c>
      <x:c r="G178" s="30" t="str">
        <x:v># Authoritative benchmark gold evidence
The following evidence is authoritative for answering the current question. Use it directly and do not rely on conflicting information.
Evidence 1
Memory type: Event Memory
Content: Susan decided to incorporate mild spices into her meals to aid digestion and reduce bloating.</x:v>
      </x:c>
      <x:c r="H178" s="30" t="str">
        <x:v>Ginger and turmeric</x:v>
      </x:c>
      <x:c r="I178" s="30" t="str">
        <x:v>Mild spices</x:v>
      </x:c>
      <x:c r="J178" s="30" t="str">
        <x:v>Mild spices</x:v>
      </x:c>
      <x:c r="K178" s="30" t="str">
        <x:v>Mild spices</x:v>
      </x:c>
      <x:c r="L178" s="33" t="str"/>
      <x:c r="M178" s="33" t="str"/>
      <x:c r="N178" s="33" t="str"/>
      <x:c r="O178" s="33" t="str"/>
      <x:c r="P178" s="30" t="str">
        <x:f>IF(COUNTA(L178:O178)&lt;4,"未完成",IF(OR(L178="部分",L178="不充分",L178="不确定"),"evidence_definition_failure",IF(L178&lt;&gt;"充分","unresolved",IF(COUNTIF(M178:O178,"C")=0,"robust_generation_failure",IF(COUNTIF(M178:O178,"C")=3,"ua3_representation_or_admission_failure","generation_instability")))))</x:f>
        <x:v>unresolved</x:v>
      </x:c>
      <x:c r="Q178" s="33" t="str"/>
      <x:c r="R178" s="33" t="str"/>
      <x:c r="S178" s="33" t="str"/>
      <x:c r="T178" s="36"/>
      <x:c r="U178" s="33" t="str"/>
      <x:c r="V178" s="30" t="str">
        <x:f>IF(AND(L178&lt;&gt;"",M178&lt;&gt;"",N178&lt;&gt;"",O178&lt;&gt;"",Q178&lt;&gt;"",R178&lt;&gt;""),"完成","未完成")</x:f>
        <x:v>未完成</x:v>
      </x:c>
    </x:row>
    <x:row r="179" ht="63" customHeight="1">
      <x:c r="A179" s="30" t="n">
        <x:v>178</x:v>
      </x:c>
      <x:c r="B179" s="30" t="str">
        <x:v>memos_long:483</x:v>
      </x:c>
      <x:c r="C179" s="30" t="str">
        <x:v>long</x:v>
      </x:c>
      <x:c r="D179" s="30" t="str">
        <x:v>Multi-hop Inference</x:v>
      </x:c>
      <x:c r="E179" s="30" t="str">
        <x:v>What were the reasons behind Donald Brown's career transition on May 10, 2033?</x:v>
      </x:c>
      <x:c r="F179" s="30" t="str">
        <x:v>Flexibility, work-life balance, and leveraging expertise.</x:v>
      </x:c>
      <x:c r="G179" s="30" t="str">
        <x:v>#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x:v>
      </x:c>
      <x:c r="H179" s="30" t="str">
        <x:v>The memory does not state reasons.</x:v>
      </x:c>
      <x:c r="I179" s="30" t="str">
        <x:v>Flexibility and better work-life balance.</x:v>
      </x:c>
      <x:c r="J179" s="30" t="str">
        <x:v>Flexibility and better work-life balance.</x:v>
      </x:c>
      <x:c r="K179" s="30" t="str">
        <x:v>Flexibility and better work-life balance.</x:v>
      </x:c>
      <x:c r="L179" s="33" t="str"/>
      <x:c r="M179" s="33" t="str"/>
      <x:c r="N179" s="33" t="str"/>
      <x:c r="O179" s="33" t="str"/>
      <x:c r="P179" s="30" t="str">
        <x:f>IF(COUNTA(L179:O179)&lt;4,"未完成",IF(OR(L179="部分",L179="不充分",L179="不确定"),"evidence_definition_failure",IF(L179&lt;&gt;"充分","unresolved",IF(COUNTIF(M179:O179,"C")=0,"robust_generation_failure",IF(COUNTIF(M179:O179,"C")=3,"ua3_representation_or_admission_failure","generation_instability")))))</x:f>
        <x:v>unresolved</x:v>
      </x:c>
      <x:c r="Q179" s="33" t="str"/>
      <x:c r="R179" s="33" t="str"/>
      <x:c r="S179" s="33" t="str"/>
      <x:c r="T179" s="36"/>
      <x:c r="U179" s="33" t="str"/>
      <x:c r="V179" s="30" t="str">
        <x:f>IF(AND(L179&lt;&gt;"",M179&lt;&gt;"",N179&lt;&gt;"",O179&lt;&gt;"",Q179&lt;&gt;"",R179&lt;&gt;""),"完成","未完成")</x:f>
        <x:v>未完成</x:v>
      </x:c>
    </x:row>
    <x:row r="180" ht="63" customHeight="1">
      <x:c r="A180" s="30" t="n">
        <x:v>179</x:v>
      </x:c>
      <x:c r="B180" s="30" t="str">
        <x:v>memos_long:332</x:v>
      </x:c>
      <x:c r="C180" s="30" t="str">
        <x:v>long</x:v>
      </x:c>
      <x:c r="D180" s="30" t="str">
        <x:v>Basic Fact Recall</x:v>
      </x:c>
      <x:c r="E180" s="30" t="str">
        <x:v>What event inspired Johnson to broaden his reading scope on Sep 02, 2041?</x:v>
      </x:c>
      <x:c r="F180" s="30" t="str">
        <x:v>A business seminar.</x:v>
      </x:c>
      <x:c r="G180" s="30" t="str">
        <x:v># Authoritative benchmark gold evidence
The following evidence is authoritative for answering the current question. Use it directly and do not rely on conflicting information.
Evidence 1
Memory type: Event Memory
Content: On Sep 02, 2041, Johnson Joseph attended a business seminar where he was inspired by a speaker's memoir to broaden his reading scope.</x:v>
      </x:c>
      <x:c r="H180" s="30" t="str">
        <x:v>A speaker's memoir.</x:v>
      </x:c>
      <x:c r="I180" s="30" t="str">
        <x:v>A business seminar.</x:v>
      </x:c>
      <x:c r="J180" s="30" t="str">
        <x:v>A business seminar.</x:v>
      </x:c>
      <x:c r="K180" s="30" t="str">
        <x:v>A business seminar.</x:v>
      </x:c>
      <x:c r="L180" s="33" t="str"/>
      <x:c r="M180" s="33" t="str"/>
      <x:c r="N180" s="33" t="str"/>
      <x:c r="O180" s="33" t="str"/>
      <x:c r="P180" s="30" t="str">
        <x:f>IF(COUNTA(L180:O180)&lt;4,"未完成",IF(OR(L180="部分",L180="不充分",L180="不确定"),"evidence_definition_failure",IF(L180&lt;&gt;"充分","unresolved",IF(COUNTIF(M180:O180,"C")=0,"robust_generation_failure",IF(COUNTIF(M180:O180,"C")=3,"ua3_representation_or_admission_failure","generation_instability")))))</x:f>
        <x:v>unresolved</x:v>
      </x:c>
      <x:c r="Q180" s="33" t="str"/>
      <x:c r="R180" s="33" t="str"/>
      <x:c r="S180" s="33" t="str"/>
      <x:c r="T180" s="36"/>
      <x:c r="U180" s="33" t="str"/>
      <x:c r="V180" s="30" t="str">
        <x:f>IF(AND(L180&lt;&gt;"",M180&lt;&gt;"",N180&lt;&gt;"",O180&lt;&gt;"",Q180&lt;&gt;"",R180&lt;&gt;""),"完成","未完成")</x:f>
        <x:v>未完成</x:v>
      </x:c>
    </x:row>
    <x:row r="181" ht="63" customHeight="1">
      <x:c r="A181" s="30" t="n">
        <x:v>180</x:v>
      </x:c>
      <x:c r="B181" s="30" t="str">
        <x:v>memos_long:1176</x:v>
      </x:c>
      <x:c r="C181" s="30" t="str">
        <x:v>long</x:v>
      </x:c>
      <x:c r="D181" s="30" t="str">
        <x:v>Generalization &amp; Application</x:v>
      </x:c>
      <x:c r="E181" s="30" t="str">
        <x:v>What might Taylor prioritize to maintain his advocacy goals after Feb 01, 2036?</x:v>
      </x:c>
      <x:c r="F181" s="30" t="str">
        <x:v>Collaboration with international organizations.</x:v>
      </x:c>
      <x:c r="G181" s="30" t="str">
        <x:v># Authoritative benchmark gold evidence
The following evidence is authoritative for answering the current question. Use it directly and do not rely on conflicting information.
Evidence 1
Memory type: Relationship Memory
Content: Taylor sought advice on navigating upcoming obstacles in nutrition advocacy, emphasizing collaboration with international organizations.
Evidence 2
Memory type: Persona Memory
Content: Taylor's dialogue was infused with a sense of purpose and commitment to his advocacy goals, aiming to create sustainable, impactful nutrition programs.</x:v>
      </x:c>
      <x:c r="H181" s="30" t="str">
        <x:v>Continuous learning and adapting.</x:v>
      </x:c>
      <x:c r="I181" s="30" t="str">
        <x:v>Collaboration with international organizations.</x:v>
      </x:c>
      <x:c r="J181" s="30" t="str">
        <x:v>Collaboration with international organizations.</x:v>
      </x:c>
      <x:c r="K181" s="30" t="str">
        <x:v>Collaboration with international organizations.</x:v>
      </x:c>
      <x:c r="L181" s="33" t="str"/>
      <x:c r="M181" s="33" t="str"/>
      <x:c r="N181" s="33" t="str"/>
      <x:c r="O181" s="33" t="str"/>
      <x:c r="P181" s="30" t="str">
        <x:f>IF(COUNTA(L181:O181)&lt;4,"未完成",IF(OR(L181="部分",L181="不充分",L181="不确定"),"evidence_definition_failure",IF(L181&lt;&gt;"充分","unresolved",IF(COUNTIF(M181:O181,"C")=0,"robust_generation_failure",IF(COUNTIF(M181:O181,"C")=3,"ua3_representation_or_admission_failure","generation_instability")))))</x:f>
        <x:v>unresolved</x:v>
      </x:c>
      <x:c r="Q181" s="33" t="str"/>
      <x:c r="R181" s="33" t="str"/>
      <x:c r="S181" s="33" t="str"/>
      <x:c r="T181" s="36"/>
      <x:c r="U181" s="33" t="str"/>
      <x:c r="V181" s="30" t="str">
        <x:f>IF(AND(L181&lt;&gt;"",M181&lt;&gt;"",N181&lt;&gt;"",O181&lt;&gt;"",Q181&lt;&gt;"",R181&lt;&gt;""),"完成","未完成")</x:f>
        <x:v>未完成</x:v>
      </x:c>
    </x:row>
    <x:row r="182" ht="63" customHeight="1">
      <x:c r="A182" s="30" t="n">
        <x:v>181</x:v>
      </x:c>
      <x:c r="B182" s="30" t="str">
        <x:v>memos_medium:2480</x:v>
      </x:c>
      <x:c r="C182" s="30" t="str">
        <x:v>medium</x:v>
      </x:c>
      <x:c r="D182" s="30" t="str">
        <x:v>Generalization &amp; Application</x:v>
      </x:c>
      <x:c r="E182" s="30" t="str">
        <x:v>How might Steven Miller's shift in music preferences influence his leisure activities after February 22, 2029?</x:v>
      </x:c>
      <x:c r="F182" s="30" t="str">
        <x:v>He may explore more diverse music genres.</x:v>
      </x:c>
      <x:c r="G182" s="30" t="str">
        <x:v># Authoritative benchmark gold evidence
The following evidence is authoritative for answering the current question. Use it directly and do not rely on conflicting information.
Evidence 1
Memory type: Persona Memory
Content: Steven Miller expressed curiosity about how his evolving music preferences might influence his leisure activities and personal interests.
Evidence 2
Memory type: Event Memory
Content: Steven Miller attended a live music event on February 22, 2029, where a country band performed, leading to a change in his music preferences.</x:v>
      </x:c>
      <x:c r="H182" s="30" t="str">
        <x:v>Explore country music activities.</x:v>
      </x:c>
      <x:c r="I182" s="30" t="str">
        <x:v>Attend more country events.</x:v>
      </x:c>
      <x:c r="J182" s="30" t="str">
        <x:v>Attend more country events.</x:v>
      </x:c>
      <x:c r="K182" s="30" t="str">
        <x:v>Attend more country events.</x:v>
      </x:c>
      <x:c r="L182" s="33" t="str"/>
      <x:c r="M182" s="33" t="str"/>
      <x:c r="N182" s="33" t="str"/>
      <x:c r="O182" s="33" t="str"/>
      <x:c r="P182" s="30" t="str">
        <x:f>IF(COUNTA(L182:O182)&lt;4,"未完成",IF(OR(L182="部分",L182="不充分",L182="不确定"),"evidence_definition_failure",IF(L182&lt;&gt;"充分","unresolved",IF(COUNTIF(M182:O182,"C")=0,"robust_generation_failure",IF(COUNTIF(M182:O182,"C")=3,"ua3_representation_or_admission_failure","generation_instability")))))</x:f>
        <x:v>unresolved</x:v>
      </x:c>
      <x:c r="Q182" s="33" t="str"/>
      <x:c r="R182" s="33" t="str"/>
      <x:c r="S182" s="33" t="str"/>
      <x:c r="T182" s="36"/>
      <x:c r="U182" s="33" t="str"/>
      <x:c r="V182" s="30" t="str">
        <x:f>IF(AND(L182&lt;&gt;"",M182&lt;&gt;"",N182&lt;&gt;"",O182&lt;&gt;"",Q182&lt;&gt;"",R182&lt;&gt;""),"完成","未完成")</x:f>
        <x:v>未完成</x:v>
      </x:c>
    </x:row>
    <x:row r="183" ht="63" customHeight="1">
      <x:c r="A183" s="30" t="n">
        <x:v>182</x:v>
      </x:c>
      <x:c r="B183" s="30" t="str">
        <x:v>memos_long:9</x:v>
      </x:c>
      <x:c r="C183" s="30" t="str">
        <x:v>long</x:v>
      </x:c>
      <x:c r="D183" s="30" t="str">
        <x:v>Basic Fact Recall</x:v>
      </x:c>
      <x:c r="E183" s="30" t="str">
        <x:v>What type of pets does Martin Mark like?</x:v>
      </x:c>
      <x:c r="F183" s="30" t="str">
        <x:v>Dogs, cats, and parrots.</x:v>
      </x:c>
      <x:c r="G183" s="30" t="str">
        <x:v>#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x:v>
      </x:c>
      <x:c r="H183" s="30" t="str">
        <x:v>Parrots and turtles.</x:v>
      </x:c>
      <x:c r="I183" s="30" t="str">
        <x:v>Dogs, cats, and parrots</x:v>
      </x:c>
      <x:c r="J183" s="30" t="str">
        <x:v>Dogs, cats, and parrots</x:v>
      </x:c>
      <x:c r="K183" s="30" t="str">
        <x:v>Dogs, cats, and parrots</x:v>
      </x:c>
      <x:c r="L183" s="33" t="str"/>
      <x:c r="M183" s="33" t="str"/>
      <x:c r="N183" s="33" t="str"/>
      <x:c r="O183" s="33" t="str"/>
      <x:c r="P183" s="30" t="str">
        <x:f>IF(COUNTA(L183:O183)&lt;4,"未完成",IF(OR(L183="部分",L183="不充分",L183="不确定"),"evidence_definition_failure",IF(L183&lt;&gt;"充分","unresolved",IF(COUNTIF(M183:O183,"C")=0,"robust_generation_failure",IF(COUNTIF(M183:O183,"C")=3,"ua3_representation_or_admission_failure","generation_instability")))))</x:f>
        <x:v>unresolved</x:v>
      </x:c>
      <x:c r="Q183" s="33" t="str"/>
      <x:c r="R183" s="33" t="str"/>
      <x:c r="S183" s="33" t="str"/>
      <x:c r="T183" s="36"/>
      <x:c r="U183" s="33" t="str"/>
      <x:c r="V183" s="30" t="str">
        <x:f>IF(AND(L183&lt;&gt;"",M183&lt;&gt;"",N183&lt;&gt;"",O183&lt;&gt;"",Q183&lt;&gt;"",R183&lt;&gt;""),"完成","未完成")</x:f>
        <x:v>未完成</x:v>
      </x:c>
    </x:row>
    <x:row r="184" ht="63" customHeight="1">
      <x:c r="A184" s="30" t="n">
        <x:v>183</x:v>
      </x:c>
      <x:c r="B184" s="30" t="str">
        <x:v>memos_long:190</x:v>
      </x:c>
      <x:c r="C184" s="30" t="str">
        <x:v>long</x:v>
      </x:c>
      <x:c r="D184" s="30" t="str">
        <x:v>Generalization &amp; Application</x:v>
      </x:c>
      <x:c r="E184" s="30" t="str">
        <x:v>Based on Johnson Joseph's interest in strategy games, what new leisure activity might he enjoy in November 2027?</x:v>
      </x:c>
      <x:c r="F184" s="30" t="str">
        <x:v>Johnson might enjoy chess as a new leisure activity.</x:v>
      </x:c>
      <x:c r="G184" s="30" t="str">
        <x:v># Authoritative benchmark gold evidence
The following evidence is authoritative for answering the current question. Use it directly and do not rely on conflicting information.
Evidence 1
Memory type: Persona Memory
Content: Johnson Joseph has developed an interest in strategy-based games after a guest at Albi B&amp;B recommended a popular strategy game.</x:v>
      </x:c>
      <x:c r="H184" s="30" t="str">
        <x:v>Golf (strategic and social)</x:v>
      </x:c>
      <x:c r="I184" s="30" t="str">
        <x:v>Playing strategy-based games.</x:v>
      </x:c>
      <x:c r="J184" s="30" t="str">
        <x:v>Playing strategy-based games.</x:v>
      </x:c>
      <x:c r="K184" s="30" t="str">
        <x:v>Playing strategy-based games.</x:v>
      </x:c>
      <x:c r="L184" s="33" t="str"/>
      <x:c r="M184" s="33" t="str"/>
      <x:c r="N184" s="33" t="str"/>
      <x:c r="O184" s="33" t="str"/>
      <x:c r="P184" s="30" t="str">
        <x:f>IF(COUNTA(L184:O184)&lt;4,"未完成",IF(OR(L184="部分",L184="不充分",L184="不确定"),"evidence_definition_failure",IF(L184&lt;&gt;"充分","unresolved",IF(COUNTIF(M184:O184,"C")=0,"robust_generation_failure",IF(COUNTIF(M184:O184,"C")=3,"ua3_representation_or_admission_failure","generation_instability")))))</x:f>
        <x:v>unresolved</x:v>
      </x:c>
      <x:c r="Q184" s="33" t="str"/>
      <x:c r="R184" s="33" t="str"/>
      <x:c r="S184" s="33" t="str"/>
      <x:c r="T184" s="36"/>
      <x:c r="U184" s="33" t="str"/>
      <x:c r="V184" s="30" t="str">
        <x:f>IF(AND(L184&lt;&gt;"",M184&lt;&gt;"",N184&lt;&gt;"",O184&lt;&gt;"",Q184&lt;&gt;"",R184&lt;&gt;""),"完成","未完成")</x:f>
        <x:v>未完成</x:v>
      </x:c>
    </x:row>
    <x:row r="185" ht="63" customHeight="1">
      <x:c r="A185" s="30" t="n">
        <x:v>184</x:v>
      </x:c>
      <x:c r="B185" s="30" t="str">
        <x:v>memos_medium:3235</x:v>
      </x:c>
      <x:c r="C185" s="30" t="str">
        <x:v>medium</x:v>
      </x:c>
      <x:c r="D185" s="30" t="str">
        <x:v>Generalization &amp; Application</x:v>
      </x:c>
      <x:c r="E185" s="30" t="str">
        <x:v>How might Barbara's expanded social network support her career after Jan 01, 2038?</x:v>
      </x:c>
      <x:c r="F185" s="30" t="str">
        <x:v>Provides insights into global heart health initiatives.</x:v>
      </x:c>
      <x:c r="G185" s="30" t="str">
        <x:v># Authoritative benchmark gold evidence
The following evidence is authoritative for answering the current question. Use it directly and do not rely on conflicting information.
Evidence 1
Memory type: Relationship Memory
Content: Barbara Jones's expanded social network includes Olivia White, who provides insights into global heart health initiatives, enhancing Barbara's strategic impact.
Evidence 2
Memory type: Relationship Memory
Content: Barbara Jones expressed gratitude for her expanded social network, highlighting its role in managing stress and enhancing strategic impact.</x:v>
      </x:c>
      <x:c r="H185" s="30" t="str">
        <x:v>Enhances strategic impact and stress.</x:v>
      </x:c>
      <x:c r="I185" s="30" t="str">
        <x:v>Enhances strategic impact and insights.</x:v>
      </x:c>
      <x:c r="J185" s="30" t="str">
        <x:v>Enhances strategic impact and insights.</x:v>
      </x:c>
      <x:c r="K185" s="30" t="str">
        <x:v>Enhances strategic impact and insights.</x:v>
      </x:c>
      <x:c r="L185" s="33" t="str"/>
      <x:c r="M185" s="33" t="str"/>
      <x:c r="N185" s="33" t="str"/>
      <x:c r="O185" s="33" t="str"/>
      <x:c r="P185" s="30" t="str">
        <x:f>IF(COUNTA(L185:O185)&lt;4,"未完成",IF(OR(L185="部分",L185="不充分",L185="不确定"),"evidence_definition_failure",IF(L185&lt;&gt;"充分","unresolved",IF(COUNTIF(M185:O185,"C")=0,"robust_generation_failure",IF(COUNTIF(M185:O185,"C")=3,"ua3_representation_or_admission_failure","generation_instability")))))</x:f>
        <x:v>unresolved</x:v>
      </x:c>
      <x:c r="Q185" s="33" t="str"/>
      <x:c r="R185" s="33" t="str"/>
      <x:c r="S185" s="33" t="str"/>
      <x:c r="T185" s="36"/>
      <x:c r="U185" s="33" t="str"/>
      <x:c r="V185" s="30" t="str">
        <x:f>IF(AND(L185&lt;&gt;"",M185&lt;&gt;"",N185&lt;&gt;"",O185&lt;&gt;"",Q185&lt;&gt;"",R185&lt;&gt;""),"完成","未完成")</x:f>
        <x:v>未完成</x:v>
      </x:c>
    </x:row>
    <x:row r="186" ht="63" customHeight="1">
      <x:c r="A186" s="30" t="n">
        <x:v>185</x:v>
      </x:c>
      <x:c r="B186" s="30" t="str">
        <x:v>memos_long:567</x:v>
      </x:c>
      <x:c r="C186" s="30" t="str">
        <x:v>long</x:v>
      </x:c>
      <x:c r="D186" s="30" t="str">
        <x:v>Generalization &amp; Application</x:v>
      </x:c>
      <x:c r="E186" s="30" t="str">
        <x:v>What type of clothing might Sarah Garcia be interested in exploring after June 22, 2029?</x:v>
      </x:c>
      <x:c r="F186" s="30" t="str">
        <x:v>Clothing that combines functionality with fashion.</x:v>
      </x:c>
      <x:c r="G186" s="30" t="str">
        <x:v># Authoritative benchmark gold evidence
The following evidence is authoritative for answering the current question. Use it directly and do not rely on conflicting information.
Evidence 1
Memory type: Persona Memory
Content: Sarah Garcia's clothing preference updated from disliking cargo pants to liking stylish cargo pants due to their new designs, which offer practicality and fashion.
Evidence 2
Memory type: Persona Memory
Content: Sarah Garcia appreciates the versatility and functionality of the new cargo pants designs, which align with her aim to make a positive impact through fashion.
Evidence 3
Memory type: Persona Memory
Content: Sarah Garcia's compensatory motivation aids her openness to adapt clothing choices and explore new styles, moving beyond classic styles.</x:v>
      </x:c>
      <x:c r="H186" s="30" t="str">
        <x:v>Oversized sweaters</x:v>
      </x:c>
      <x:c r="I186" s="30" t="str">
        <x:v>Stylish cargo pants.</x:v>
      </x:c>
      <x:c r="J186" s="30" t="str">
        <x:v>Stylish cargo pants.</x:v>
      </x:c>
      <x:c r="K186" s="30" t="str">
        <x:v>Stylish cargo pants.</x:v>
      </x:c>
      <x:c r="L186" s="33" t="str"/>
      <x:c r="M186" s="33" t="str"/>
      <x:c r="N186" s="33" t="str"/>
      <x:c r="O186" s="33" t="str"/>
      <x:c r="P186" s="30" t="str">
        <x:f>IF(COUNTA(L186:O186)&lt;4,"未完成",IF(OR(L186="部分",L186="不充分",L186="不确定"),"evidence_definition_failure",IF(L186&lt;&gt;"充分","unresolved",IF(COUNTIF(M186:O186,"C")=0,"robust_generation_failure",IF(COUNTIF(M186:O186,"C")=3,"ua3_representation_or_admission_failure","generation_instability")))))</x:f>
        <x:v>unresolved</x:v>
      </x:c>
      <x:c r="Q186" s="33" t="str"/>
      <x:c r="R186" s="33" t="str"/>
      <x:c r="S186" s="33" t="str"/>
      <x:c r="T186" s="36"/>
      <x:c r="U186" s="33" t="str"/>
      <x:c r="V186" s="30" t="str">
        <x:f>IF(AND(L186&lt;&gt;"",M186&lt;&gt;"",N186&lt;&gt;"",O186&lt;&gt;"",Q186&lt;&gt;"",R186&lt;&gt;""),"完成","未完成")</x:f>
        <x:v>未完成</x:v>
      </x:c>
    </x:row>
    <x:row r="187" ht="63" customHeight="1">
      <x:c r="A187" s="30" t="n">
        <x:v>186</x:v>
      </x:c>
      <x:c r="B187" s="30" t="str">
        <x:v>memos_medium:3441</x:v>
      </x:c>
      <x:c r="C187" s="30" t="str">
        <x:v>medium</x:v>
      </x:c>
      <x:c r="D187" s="30" t="str">
        <x:v>Basic Fact Recall</x:v>
      </x:c>
      <x:c r="E187" s="30" t="str">
        <x:v>What genre did Christopher decide to explore on June 13, 2034?</x:v>
      </x:c>
      <x:c r="F187" s="30" t="str">
        <x:v>Diverse literary genres for entertainment and escapism.</x:v>
      </x:c>
      <x:c r="G187" s="30" t="str">
        <x:v># Authoritative benchmark gold evidence
The following evidence is authoritative for answering the current question. Use it directly and do not rely on conflicting information.
Evidence 1
Memory type: Persona Memory
Content: Christopher decided to explore diverse literary genres for entertainment and escapism, setting aside self-help books temporarily.</x:v>
      </x:c>
      <x:c r="H187" s="30" t="str">
        <x:v>Fantasy and science fiction.</x:v>
      </x:c>
      <x:c r="I187" s="30" t="str">
        <x:v>Diverse literary genres</x:v>
      </x:c>
      <x:c r="J187" s="30" t="str">
        <x:v>Diverse literary genres</x:v>
      </x:c>
      <x:c r="K187" s="30" t="str">
        <x:v>Diverse literary genres</x:v>
      </x:c>
      <x:c r="L187" s="33" t="str"/>
      <x:c r="M187" s="33" t="str"/>
      <x:c r="N187" s="33" t="str"/>
      <x:c r="O187" s="33" t="str"/>
      <x:c r="P187" s="30" t="str">
        <x:f>IF(COUNTA(L187:O187)&lt;4,"未完成",IF(OR(L187="部分",L187="不充分",L187="不确定"),"evidence_definition_failure",IF(L187&lt;&gt;"充分","unresolved",IF(COUNTIF(M187:O187,"C")=0,"robust_generation_failure",IF(COUNTIF(M187:O187,"C")=3,"ua3_representation_or_admission_failure","generation_instability")))))</x:f>
        <x:v>unresolved</x:v>
      </x:c>
      <x:c r="Q187" s="33" t="str"/>
      <x:c r="R187" s="33" t="str"/>
      <x:c r="S187" s="33" t="str"/>
      <x:c r="T187" s="36"/>
      <x:c r="U187" s="33" t="str"/>
      <x:c r="V187" s="30" t="str">
        <x:f>IF(AND(L187&lt;&gt;"",M187&lt;&gt;"",N187&lt;&gt;"",O187&lt;&gt;"",Q187&lt;&gt;"",R187&lt;&gt;""),"完成","未完成")</x:f>
        <x:v>未完成</x:v>
      </x:c>
    </x:row>
    <x:row r="188" ht="63" customHeight="1">
      <x:c r="A188" s="30" t="n">
        <x:v>187</x:v>
      </x:c>
      <x:c r="B188" s="30" t="str">
        <x:v>memos_long:1212</x:v>
      </x:c>
      <x:c r="C188" s="30" t="str">
        <x:v>long</x:v>
      </x:c>
      <x:c r="D188" s="30" t="str">
        <x:v>Multi-hop Inference</x:v>
      </x:c>
      <x:c r="E188" s="30" t="str">
        <x:v>What strategies did Taylor David implement to recover his health by Dec 01, 2039?</x:v>
      </x:c>
      <x:c r="F188" s="30" t="str">
        <x:v>Mindfulness and balanced nutrition</x:v>
      </x:c>
      <x:c r="G188" s="30" t="str">
        <x:v># Authoritative benchmark gold evidence
The following evidence is authoritative for answering the current question. Use it directly and do not rely on conflicting information.
Evidence 1
Memory type: Event Memory
Content: Taylor David adopted comprehensive wellness strategies, including mindfulness and balanced nutrition, aiding his recovery from previous health challenges.
Evidence 2
Memory type: Persona Memory
Content: Taylor David's physical health status changed from "Stressed" to "Recovered".</x:v>
      </x:c>
      <x:c r="H188" s="30" t="str">
        <x:v>Disciplined wellness and experimental methods.</x:v>
      </x:c>
      <x:c r="I188" s="30" t="str">
        <x:v>Mindfulness and balanced nutrition.</x:v>
      </x:c>
      <x:c r="J188" s="30" t="str">
        <x:v>Mindfulness and balanced nutrition.</x:v>
      </x:c>
      <x:c r="K188" s="30" t="str">
        <x:v>Mindfulness and balanced nutrition.</x:v>
      </x:c>
      <x:c r="L188" s="33" t="str"/>
      <x:c r="M188" s="33" t="str"/>
      <x:c r="N188" s="33" t="str"/>
      <x:c r="O188" s="33" t="str"/>
      <x:c r="P188" s="30" t="str">
        <x:f>IF(COUNTA(L188:O188)&lt;4,"未完成",IF(OR(L188="部分",L188="不充分",L188="不确定"),"evidence_definition_failure",IF(L188&lt;&gt;"充分","unresolved",IF(COUNTIF(M188:O188,"C")=0,"robust_generation_failure",IF(COUNTIF(M188:O188,"C")=3,"ua3_representation_or_admission_failure","generation_instability")))))</x:f>
        <x:v>unresolved</x:v>
      </x:c>
      <x:c r="Q188" s="33" t="str"/>
      <x:c r="R188" s="33" t="str"/>
      <x:c r="S188" s="33" t="str"/>
      <x:c r="T188" s="36"/>
      <x:c r="U188" s="33" t="str"/>
      <x:c r="V188" s="30" t="str">
        <x:f>IF(AND(L188&lt;&gt;"",M188&lt;&gt;"",N188&lt;&gt;"",O188&lt;&gt;"",Q188&lt;&gt;"",R188&lt;&gt;""),"完成","未完成")</x:f>
        <x:v>未完成</x:v>
      </x:c>
    </x:row>
    <x:row r="189" ht="63" customHeight="1">
      <x:c r="A189" s="30" t="n">
        <x:v>188</x:v>
      </x:c>
      <x:c r="B189" s="30" t="str">
        <x:v>memos_medium:797</x:v>
      </x:c>
      <x:c r="C189" s="30" t="str">
        <x:v>medium</x:v>
      </x:c>
      <x:c r="D189" s="30" t="str">
        <x:v>Basic Fact Recall</x:v>
      </x:c>
      <x:c r="E189" s="30" t="str">
        <x:v>What did Donna Gonzalez decide about romance novels on May 16, 2032?</x:v>
      </x:c>
      <x:c r="F189" s="30" t="str">
        <x:v>She decided to no longer actively dislike them.</x:v>
      </x:c>
      <x:c r="G189" s="30" t="str">
        <x:v># Authoritative benchmark gold evidence
The following evidence is authoritative for answering the current question. Use it directly and do not rely on conflicting information.
Evidence 1
Memory type: Event Memory
Content: Donna Gonzalez reconsidered the value of romance novels, acknowledging their potential to inspire emotional depth in film scoring and decided to no longer actively dislike them.</x:v>
      </x:c>
      <x:c r="H189" s="30" t="str">
        <x:v>They are a valuable tool.</x:v>
      </x:c>
      <x:c r="I189" s="30" t="str">
        <x:v>No longer actively dislike them.</x:v>
      </x:c>
      <x:c r="J189" s="30" t="str">
        <x:v>No longer actively dislike them.</x:v>
      </x:c>
      <x:c r="K189" s="30" t="str">
        <x:v>No longer actively dislike them.</x:v>
      </x:c>
      <x:c r="L189" s="33" t="str"/>
      <x:c r="M189" s="33" t="str"/>
      <x:c r="N189" s="33" t="str"/>
      <x:c r="O189" s="33" t="str"/>
      <x:c r="P189" s="30" t="str">
        <x:f>IF(COUNTA(L189:O189)&lt;4,"未完成",IF(OR(L189="部分",L189="不充分",L189="不确定"),"evidence_definition_failure",IF(L189&lt;&gt;"充分","unresolved",IF(COUNTIF(M189:O189,"C")=0,"robust_generation_failure",IF(COUNTIF(M189:O189,"C")=3,"ua3_representation_or_admission_failure","generation_instability")))))</x:f>
        <x:v>unresolved</x:v>
      </x:c>
      <x:c r="Q189" s="33" t="str"/>
      <x:c r="R189" s="33" t="str"/>
      <x:c r="S189" s="33" t="str"/>
      <x:c r="T189" s="36"/>
      <x:c r="U189" s="33" t="str"/>
      <x:c r="V189" s="30" t="str">
        <x:f>IF(AND(L189&lt;&gt;"",M189&lt;&gt;"",N189&lt;&gt;"",O189&lt;&gt;"",Q189&lt;&gt;"",R189&lt;&gt;""),"完成","未完成")</x:f>
        <x:v>未完成</x:v>
      </x:c>
    </x:row>
    <x:row r="190" ht="63" customHeight="1">
      <x:c r="A190" s="30" t="n">
        <x:v>189</x:v>
      </x:c>
      <x:c r="B190" s="30" t="str">
        <x:v>memos_medium:2388</x:v>
      </x:c>
      <x:c r="C190" s="30" t="str">
        <x:v>medium</x:v>
      </x:c>
      <x:c r="D190" s="30" t="str">
        <x:v>Generalization &amp; Application</x:v>
      </x:c>
      <x:c r="E190" s="30" t="str">
        <x:v>How might Williams Daniel approach trying new culturally significant foods given his interest in historical authenticity?</x:v>
      </x:c>
      <x:c r="F190" s="30" t="str">
        <x:v>He would appreciate their cultural impact despite personal taste preferences.</x:v>
      </x:c>
      <x:c r="G190" s="30" t="str">
        <x:v>#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x:v>
      </x:c>
      <x:c r="H190" s="30" t="str">
        <x:v>Research historical context first.</x:v>
      </x:c>
      <x:c r="I190" s="30" t="str">
        <x:v>Explore cultural significance first.</x:v>
      </x:c>
      <x:c r="J190" s="30" t="str">
        <x:v>Explore cultural significance first.</x:v>
      </x:c>
      <x:c r="K190" s="30" t="str">
        <x:v>Explore cultural significance first.</x:v>
      </x:c>
      <x:c r="L190" s="33" t="str"/>
      <x:c r="M190" s="33" t="str"/>
      <x:c r="N190" s="33" t="str"/>
      <x:c r="O190" s="33" t="str"/>
      <x:c r="P190" s="30" t="str">
        <x:f>IF(COUNTA(L190:O190)&lt;4,"未完成",IF(OR(L190="部分",L190="不充分",L190="不确定"),"evidence_definition_failure",IF(L190&lt;&gt;"充分","unresolved",IF(COUNTIF(M190:O190,"C")=0,"robust_generation_failure",IF(COUNTIF(M190:O190,"C")=3,"ua3_representation_or_admission_failure","generation_instability")))))</x:f>
        <x:v>unresolved</x:v>
      </x:c>
      <x:c r="Q190" s="33" t="str"/>
      <x:c r="R190" s="33" t="str"/>
      <x:c r="S190" s="33" t="str"/>
      <x:c r="T190" s="36"/>
      <x:c r="U190" s="33" t="str"/>
      <x:c r="V190" s="30" t="str">
        <x:f>IF(AND(L190&lt;&gt;"",M190&lt;&gt;"",N190&lt;&gt;"",O190&lt;&gt;"",Q190&lt;&gt;"",R190&lt;&gt;""),"完成","未完成")</x:f>
        <x:v>未完成</x:v>
      </x:c>
    </x:row>
    <x:row r="191" ht="63" customHeight="1">
      <x:c r="A191" s="30" t="n">
        <x:v>190</x:v>
      </x:c>
      <x:c r="B191" s="30" t="str">
        <x:v>memos_long:50</x:v>
      </x:c>
      <x:c r="C191" s="30" t="str">
        <x:v>long</x:v>
      </x:c>
      <x:c r="D191" s="30" t="str">
        <x:v>Multi-hop Inference</x:v>
      </x:c>
      <x:c r="E191" s="30" t="str">
        <x:v>Why did Martin decide to take a sabbatical instead of retiring early?</x:v>
      </x:c>
      <x:c r="F191" s="30" t="str">
        <x:v>Support from his social network influenced him.</x:v>
      </x:c>
      <x:c r="G191" s="30" t="str">
        <x:v># Authoritative benchmark gold evidence
The following evidence is authoritative for answering the current question. Use it directly and do not rely on conflicting information.
Evidence 1
Memory type: Event Memory
Content: Martin decided to take a sabbatical instead of retiring, influenced by support from his social network.
Evidence 2
Memory type: Relationship Memory
Content: Martin's social network played a crucial role in providing emotional support and alternative perspectives, leading him to choose a sabbatical over retirement.
Evidence 3
Memory type: Relationship Memory
Content: Martin acknowledged the importance of his social network in providing guidance and support during his decision to take a sabbatical.</x:v>
      </x:c>
      <x:c r="H191" s="30" t="str">
        <x:v>Susan's invaluable support.</x:v>
      </x:c>
      <x:c r="I191" s="30" t="str">
        <x:v>Influenced by his social network.</x:v>
      </x:c>
      <x:c r="J191" s="30" t="str">
        <x:v>Influenced by his social network.</x:v>
      </x:c>
      <x:c r="K191" s="30" t="str">
        <x:v>Influenced by his social network.</x:v>
      </x:c>
      <x:c r="L191" s="33" t="str"/>
      <x:c r="M191" s="33" t="str"/>
      <x:c r="N191" s="33" t="str"/>
      <x:c r="O191" s="33" t="str"/>
      <x:c r="P191" s="30" t="str">
        <x:f>IF(COUNTA(L191:O191)&lt;4,"未完成",IF(OR(L191="部分",L191="不充分",L191="不确定"),"evidence_definition_failure",IF(L191&lt;&gt;"充分","unresolved",IF(COUNTIF(M191:O191,"C")=0,"robust_generation_failure",IF(COUNTIF(M191:O191,"C")=3,"ua3_representation_or_admission_failure","generation_instability")))))</x:f>
        <x:v>unresolved</x:v>
      </x:c>
      <x:c r="Q191" s="33" t="str"/>
      <x:c r="R191" s="33" t="str"/>
      <x:c r="S191" s="33" t="str"/>
      <x:c r="T191" s="36"/>
      <x:c r="U191" s="33" t="str"/>
      <x:c r="V191" s="30" t="str">
        <x:f>IF(AND(L191&lt;&gt;"",M191&lt;&gt;"",N191&lt;&gt;"",O191&lt;&gt;"",Q191&lt;&gt;"",R191&lt;&gt;""),"完成","未完成")</x:f>
        <x:v>未完成</x:v>
      </x:c>
    </x:row>
    <x:row r="192" ht="63" customHeight="1">
      <x:c r="A192" s="30" t="n">
        <x:v>191</x:v>
      </x:c>
      <x:c r="B192" s="30" t="str">
        <x:v>memos_medium:499</x:v>
      </x:c>
      <x:c r="C192" s="30" t="str">
        <x:v>medium</x:v>
      </x:c>
      <x:c r="D192" s="30" t="str">
        <x:v>Basic Fact Recall</x:v>
      </x:c>
      <x:c r="E192" s="30" t="str">
        <x:v>What is Donald Brown's updated stance on country music as of October 10, 2034?</x:v>
      </x:c>
      <x:c r="F192" s="30" t="str">
        <x:v>Neutral stance, appreciating its storytelling charm.</x:v>
      </x:c>
      <x:c r="G192" s="30" t="str">
        <x:v># Authoritative benchmark gold evidence
The following evidence is authoritative for answering the current question. Use it directly and do not rely on conflicting information.
Evidence 1
Memory type: Persona Memory
Content: Donald Brown updated his music preference from disliking country music to appreciating its storytelling charm, thanks to playlists shared by friends.</x:v>
      </x:c>
      <x:c r="H192" s="30" t="str">
        <x:v>Desires deeper appreciation</x:v>
      </x:c>
      <x:c r="I192" s="30" t="str">
        <x:v>Appreciates its storytelling charm.</x:v>
      </x:c>
      <x:c r="J192" s="30" t="str">
        <x:v>Appreciates its storytelling charm.</x:v>
      </x:c>
      <x:c r="K192" s="30" t="str">
        <x:v>Appreciates its storytelling charm.</x:v>
      </x:c>
      <x:c r="L192" s="33" t="str"/>
      <x:c r="M192" s="33" t="str"/>
      <x:c r="N192" s="33" t="str"/>
      <x:c r="O192" s="33" t="str"/>
      <x:c r="P192" s="30" t="str">
        <x:f>IF(COUNTA(L192:O192)&lt;4,"未完成",IF(OR(L192="部分",L192="不充分",L192="不确定"),"evidence_definition_failure",IF(L192&lt;&gt;"充分","unresolved",IF(COUNTIF(M192:O192,"C")=0,"robust_generation_failure",IF(COUNTIF(M192:O192,"C")=3,"ua3_representation_or_admission_failure","generation_instability")))))</x:f>
        <x:v>unresolved</x:v>
      </x:c>
      <x:c r="Q192" s="33" t="str"/>
      <x:c r="R192" s="33" t="str"/>
      <x:c r="S192" s="33" t="str"/>
      <x:c r="T192" s="36"/>
      <x:c r="U192" s="33" t="str"/>
      <x:c r="V192" s="30" t="str">
        <x:f>IF(AND(L192&lt;&gt;"",M192&lt;&gt;"",N192&lt;&gt;"",O192&lt;&gt;"",Q192&lt;&gt;"",R192&lt;&gt;""),"完成","未完成")</x:f>
        <x:v>未完成</x:v>
      </x:c>
    </x:row>
    <x:row r="193" ht="63" customHeight="1">
      <x:c r="A193" s="30" t="n">
        <x:v>192</x:v>
      </x:c>
      <x:c r="B193" s="30" t="str">
        <x:v>memos_medium:972</x:v>
      </x:c>
      <x:c r="C193" s="30" t="str">
        <x:v>medium</x:v>
      </x:c>
      <x:c r="D193" s="30" t="str">
        <x:v>Generalization &amp; Application</x:v>
      </x:c>
      <x:c r="E193" s="30" t="str">
        <x:v>What type of snack might Donna prefer at a future health expo?</x:v>
      </x:c>
      <x:c r="F193" s="30" t="str">
        <x:v>Snacks made with natural ingredients.</x:v>
      </x:c>
      <x:c r="G193" s="30" t="str">
        <x:v>#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x:v>
      </x:c>
      <x:c r="H193" s="30" t="str">
        <x:v>Healthier processed snacks</x:v>
      </x:c>
      <x:c r="I193" s="30" t="str">
        <x:v>Natural processed snacks</x:v>
      </x:c>
      <x:c r="J193" s="30" t="str">
        <x:v>Natural processed snacks</x:v>
      </x:c>
      <x:c r="K193" s="30" t="str">
        <x:v>Natural processed snacks</x:v>
      </x:c>
      <x:c r="L193" s="33" t="str"/>
      <x:c r="M193" s="33" t="str"/>
      <x:c r="N193" s="33" t="str"/>
      <x:c r="O193" s="33" t="str"/>
      <x:c r="P193" s="30" t="str">
        <x:f>IF(COUNTA(L193:O193)&lt;4,"未完成",IF(OR(L193="部分",L193="不充分",L193="不确定"),"evidence_definition_failure",IF(L193&lt;&gt;"充分","unresolved",IF(COUNTIF(M193:O193,"C")=0,"robust_generation_failure",IF(COUNTIF(M193:O193,"C")=3,"ua3_representation_or_admission_failure","generation_instability")))))</x:f>
        <x:v>unresolved</x:v>
      </x:c>
      <x:c r="Q193" s="33" t="str"/>
      <x:c r="R193" s="33" t="str"/>
      <x:c r="S193" s="33" t="str"/>
      <x:c r="T193" s="36"/>
      <x:c r="U193" s="33" t="str"/>
      <x:c r="V193" s="30" t="str">
        <x:f>IF(AND(L193&lt;&gt;"",M193&lt;&gt;"",N193&lt;&gt;"",O193&lt;&gt;"",Q193&lt;&gt;"",R193&lt;&gt;""),"完成","未完成")</x:f>
        <x:v>未完成</x:v>
      </x:c>
    </x:row>
    <x:row r="194" ht="63" customHeight="1">
      <x:c r="A194" s="30" t="n">
        <x:v>193</x:v>
      </x:c>
      <x:c r="B194" s="30" t="str">
        <x:v>memos_long:1245</x:v>
      </x:c>
      <x:c r="C194" s="30" t="str">
        <x:v>long</x:v>
      </x:c>
      <x:c r="D194" s="30" t="str">
        <x:v>Dynamic Update</x:v>
      </x:c>
      <x:c r="E194" s="30" t="str">
        <x:v>What is Taylor David's current employment status as of September 14, 2043?</x:v>
      </x:c>
      <x:c r="F194" s="30" t="str">
        <x:v>Employed in nutrition advocacy.</x:v>
      </x:c>
      <x:c r="G194" s="30" t="str">
        <x:v># Authoritative benchmark gold evidence
The following evidence is authoritative for answering the current question. Use it directly and do not rely on conflicting information.
Evidence 1
Memory type: Event Memory
Content: Taylor David's career status changed from 'International Nutrition Advocate' to 'Unemployed' due to an unexpected layoff.
Evidence 2
Memory type: Event Memory
Content: Taylor secured a new position in nutrition advocacy, allowing him to continue his mission to improve children's nutrition globally.</x:v>
      </x:c>
      <x:c r="H194" s="30" t="str">
        <x:v>No information available.</x:v>
      </x:c>
      <x:c r="I194" s="30" t="str">
        <x:v>Employed in nutrition advocacy.</x:v>
      </x:c>
      <x:c r="J194" s="30" t="str">
        <x:v>Employed in nutrition advocacy.</x:v>
      </x:c>
      <x:c r="K194" s="30" t="str">
        <x:v>Employed in nutrition advocacy.</x:v>
      </x:c>
      <x:c r="L194" s="33" t="str"/>
      <x:c r="M194" s="33" t="str"/>
      <x:c r="N194" s="33" t="str"/>
      <x:c r="O194" s="33" t="str"/>
      <x:c r="P194" s="30" t="str">
        <x:f>IF(COUNTA(L194:O194)&lt;4,"未完成",IF(OR(L194="部分",L194="不充分",L194="不确定"),"evidence_definition_failure",IF(L194&lt;&gt;"充分","unresolved",IF(COUNTIF(M194:O194,"C")=0,"robust_generation_failure",IF(COUNTIF(M194:O194,"C")=3,"ua3_representation_or_admission_failure","generation_instability")))))</x:f>
        <x:v>unresolved</x:v>
      </x:c>
      <x:c r="Q194" s="33" t="str"/>
      <x:c r="R194" s="33" t="str"/>
      <x:c r="S194" s="33" t="str"/>
      <x:c r="T194" s="36"/>
      <x:c r="U194" s="33" t="str"/>
      <x:c r="V194" s="30" t="str">
        <x:f>IF(AND(L194&lt;&gt;"",M194&lt;&gt;"",N194&lt;&gt;"",O194&lt;&gt;"",Q194&lt;&gt;"",R194&lt;&gt;""),"完成","未完成")</x:f>
        <x:v>未完成</x:v>
      </x:c>
    </x:row>
    <x:row r="195" ht="63" customHeight="1">
      <x:c r="A195" s="30" t="n">
        <x:v>194</x:v>
      </x:c>
      <x:c r="B195" s="30" t="str">
        <x:v>memos_long:1294</x:v>
      </x:c>
      <x:c r="C195" s="30" t="str">
        <x:v>long</x:v>
      </x:c>
      <x:c r="D195" s="30" t="str">
        <x:v>Basic Fact Recall</x:v>
      </x:c>
      <x:c r="E195" s="30" t="str">
        <x:v>What event did Ananya Sharma attend on November 15, 2027?</x:v>
      </x:c>
      <x:c r="F195" s="30" t="str">
        <x:v>A family visit to the zoo.</x:v>
      </x:c>
      <x:c r="G195" s="30" t="str">
        <x:v># Authoritative benchmark gold evidence
The following evidence is authoritative for answering the current question. Use it directly and do not rely on conflicting information.
Evidence 1
Memory type: Event Memory
Content: Ananya Sharma visited the zoo with her family and had engaging conversations with a zookeeper about reptiles.</x:v>
      </x:c>
      <x:c r="H195" s="30" t="str">
        <x:v>No event attended.</x:v>
      </x:c>
      <x:c r="I195" s="30" t="str">
        <x:v>Zoo visit with family.</x:v>
      </x:c>
      <x:c r="J195" s="30" t="str">
        <x:v>Zoo visit with family.</x:v>
      </x:c>
      <x:c r="K195" s="30" t="str">
        <x:v>Zoo visit with family.</x:v>
      </x:c>
      <x:c r="L195" s="33" t="str"/>
      <x:c r="M195" s="33" t="str"/>
      <x:c r="N195" s="33" t="str"/>
      <x:c r="O195" s="33" t="str"/>
      <x:c r="P195" s="30" t="str">
        <x:f>IF(COUNTA(L195:O195)&lt;4,"未完成",IF(OR(L195="部分",L195="不充分",L195="不确定"),"evidence_definition_failure",IF(L195&lt;&gt;"充分","unresolved",IF(COUNTIF(M195:O195,"C")=0,"robust_generation_failure",IF(COUNTIF(M195:O195,"C")=3,"ua3_representation_or_admission_failure","generation_instability")))))</x:f>
        <x:v>unresolved</x:v>
      </x:c>
      <x:c r="Q195" s="33" t="str"/>
      <x:c r="R195" s="33" t="str"/>
      <x:c r="S195" s="33" t="str"/>
      <x:c r="T195" s="36"/>
      <x:c r="U195" s="33" t="str"/>
      <x:c r="V195" s="30" t="str">
        <x:f>IF(AND(L195&lt;&gt;"",M195&lt;&gt;"",N195&lt;&gt;"",O195&lt;&gt;"",Q195&lt;&gt;"",R195&lt;&gt;""),"完成","未完成")</x:f>
        <x:v>未完成</x:v>
      </x:c>
    </x:row>
    <x:row r="196" ht="63" customHeight="1">
      <x:c r="A196" s="30" t="n">
        <x:v>195</x:v>
      </x:c>
      <x:c r="B196" s="30" t="str">
        <x:v>memos_long:2906</x:v>
      </x:c>
      <x:c r="C196" s="30" t="str">
        <x:v>long</x:v>
      </x:c>
      <x:c r="D196" s="30" t="str">
        <x:v>Generalization &amp; Application</x:v>
      </x:c>
      <x:c r="E196" s="30" t="str">
        <x:v>What strategies might Donald Smith use to ensure his relative's legacy in 2041?</x:v>
      </x:c>
      <x:c r="F196" s="30" t="str">
        <x:v>Develop strategic plans and maintain strong network relationships.</x:v>
      </x:c>
      <x:c r="G196" s="30" t="str">
        <x:v># Authoritative benchmark gold evidence
The following evidence is authoritative for answering the current question. Use it directly and do not rely on conflicting information.
Evidence 1
Memory type: Event Memory
Content: Donald expressed determination to continue developing strategic plans for sustained success and political influence, focusing on ensuring his relative's legacy and impact on society.
Evidence 2
Memory type: Persona Memory
Content: Donald expressed emotional fulfillment from supporting his relative's career, aligning with his life goal of ensuring their legacy and impact on society.
Evidence 3
Memory type: Relationship Memory
Content: Donald emphasized the importance of maintaining strong relationships within his network for sustained success and political influence.</x:v>
      </x:c>
      <x:c r="H196" s="30" t="str">
        <x:v>Leadership and creative motivation.</x:v>
      </x:c>
      <x:c r="I196" s="30" t="str">
        <x:v>Strategic plans and political influence.</x:v>
      </x:c>
      <x:c r="J196" s="30" t="str">
        <x:v>Strategic plans and political influence.</x:v>
      </x:c>
      <x:c r="K196" s="30" t="str">
        <x:v>Strategic plans and political influence.</x:v>
      </x:c>
      <x:c r="L196" s="33" t="str"/>
      <x:c r="M196" s="33" t="str"/>
      <x:c r="N196" s="33" t="str"/>
      <x:c r="O196" s="33" t="str"/>
      <x:c r="P196" s="30" t="str">
        <x:f>IF(COUNTA(L196:O196)&lt;4,"未完成",IF(OR(L196="部分",L196="不充分",L196="不确定"),"evidence_definition_failure",IF(L196&lt;&gt;"充分","unresolved",IF(COUNTIF(M196:O196,"C")=0,"robust_generation_failure",IF(COUNTIF(M196:O196,"C")=3,"ua3_representation_or_admission_failure","generation_instability")))))</x:f>
        <x:v>unresolved</x:v>
      </x:c>
      <x:c r="Q196" s="33" t="str"/>
      <x:c r="R196" s="33" t="str"/>
      <x:c r="S196" s="33" t="str"/>
      <x:c r="T196" s="36"/>
      <x:c r="U196" s="33" t="str"/>
      <x:c r="V196" s="30" t="str">
        <x:f>IF(AND(L196&lt;&gt;"",M196&lt;&gt;"",N196&lt;&gt;"",O196&lt;&gt;"",Q196&lt;&gt;"",R196&lt;&gt;""),"完成","未完成")</x:f>
        <x:v>未完成</x:v>
      </x:c>
    </x:row>
    <x:row r="197" ht="63" customHeight="1">
      <x:c r="A197" s="30" t="n">
        <x:v>196</x:v>
      </x:c>
      <x:c r="B197" s="30" t="str">
        <x:v>memos_medium:2883</x:v>
      </x:c>
      <x:c r="C197" s="30" t="str">
        <x:v>medium</x:v>
      </x:c>
      <x:c r="D197" s="30" t="str">
        <x:v>Basic Fact Recall</x:v>
      </x:c>
      <x:c r="E197" s="30" t="str">
        <x:v>What was the focus of Donald Smith's discussion on April 10, 2038?</x:v>
      </x:c>
      <x:c r="F197" s="30" t="str">
        <x:v>Enhancing his consultancy's reputation</x:v>
      </x:c>
      <x:c r="G197" s="30" t="str">
        <x:v># Authoritative benchmark gold evidence
The following evidence is authoritative for answering the current question. Use it directly and do not rely on conflicting information.
Evidence 1
Memory type: Event Memory
Content: Donald Smith is focused on enhancing his consultancy's reputation by showcasing successful campaign strategies and client testimonials.</x:v>
      </x:c>
      <x:c r="H197" s="30" t="str">
        <x:v>Showcasing past campaign successes.</x:v>
      </x:c>
      <x:c r="I197" s="30" t="str">
        <x:v>Enhancing consultancy reputation.</x:v>
      </x:c>
      <x:c r="J197" s="30" t="str">
        <x:v>Enhancing consultancy reputation.</x:v>
      </x:c>
      <x:c r="K197" s="30" t="str">
        <x:v>Enhancing consultancy reputation.</x:v>
      </x:c>
      <x:c r="L197" s="33" t="str"/>
      <x:c r="M197" s="33" t="str"/>
      <x:c r="N197" s="33" t="str"/>
      <x:c r="O197" s="33" t="str"/>
      <x:c r="P197" s="30" t="str">
        <x:f>IF(COUNTA(L197:O197)&lt;4,"未完成",IF(OR(L197="部分",L197="不充分",L197="不确定"),"evidence_definition_failure",IF(L197&lt;&gt;"充分","unresolved",IF(COUNTIF(M197:O197,"C")=0,"robust_generation_failure",IF(COUNTIF(M197:O197,"C")=3,"ua3_representation_or_admission_failure","generation_instability")))))</x:f>
        <x:v>unresolved</x:v>
      </x:c>
      <x:c r="Q197" s="33" t="str"/>
      <x:c r="R197" s="33" t="str"/>
      <x:c r="S197" s="33" t="str"/>
      <x:c r="T197" s="36"/>
      <x:c r="U197" s="33" t="str"/>
      <x:c r="V197" s="30" t="str">
        <x:f>IF(AND(L197&lt;&gt;"",M197&lt;&gt;"",N197&lt;&gt;"",O197&lt;&gt;"",Q197&lt;&gt;"",R197&lt;&gt;""),"完成","未完成")</x:f>
        <x:v>未完成</x:v>
      </x:c>
    </x:row>
    <x:row r="198" ht="63" customHeight="1">
      <x:c r="A198" s="30" t="n">
        <x:v>197</x:v>
      </x:c>
      <x:c r="B198" s="30" t="str">
        <x:v>memos_medium:1239</x:v>
      </x:c>
      <x:c r="C198" s="30" t="str">
        <x:v>medium</x:v>
      </x:c>
      <x:c r="D198" s="30" t="str">
        <x:v>Basic Fact Recall</x:v>
      </x:c>
      <x:c r="E198" s="30" t="str">
        <x:v>What type of films does Taylor David appreciate as of Mar 10, 2043?</x:v>
      </x:c>
      <x:c r="F198" s="30" t="str">
        <x:v>Films that address societal issues.</x:v>
      </x:c>
      <x:c r="G198" s="30" t="str">
        <x:v># Authoritative benchmark gold evidence
The following evidence is authoritative for answering the current question. Use it directly and do not rely on conflicting information.
Evidence 1
Memory type: Persona Memory
Content: Taylor David appreciates films that address societal issues for their educational value and platform to explore solutions to complex problems.</x:v>
      </x:c>
      <x:c r="H198" s="30" t="str">
        <x:v>Violent theme films</x:v>
      </x:c>
      <x:c r="I198" s="30" t="str">
        <x:v>Films addressing societal issues</x:v>
      </x:c>
      <x:c r="J198" s="30" t="str">
        <x:v>Films addressing societal issues</x:v>
      </x:c>
      <x:c r="K198" s="30" t="str">
        <x:v>Films addressing societal issues</x:v>
      </x:c>
      <x:c r="L198" s="33" t="str"/>
      <x:c r="M198" s="33" t="str"/>
      <x:c r="N198" s="33" t="str"/>
      <x:c r="O198" s="33" t="str"/>
      <x:c r="P198" s="30" t="str">
        <x:f>IF(COUNTA(L198:O198)&lt;4,"未完成",IF(OR(L198="部分",L198="不充分",L198="不确定"),"evidence_definition_failure",IF(L198&lt;&gt;"充分","unresolved",IF(COUNTIF(M198:O198,"C")=0,"robust_generation_failure",IF(COUNTIF(M198:O198,"C")=3,"ua3_representation_or_admission_failure","generation_instability")))))</x:f>
        <x:v>unresolved</x:v>
      </x:c>
      <x:c r="Q198" s="33" t="str"/>
      <x:c r="R198" s="33" t="str"/>
      <x:c r="S198" s="33" t="str"/>
      <x:c r="T198" s="36"/>
      <x:c r="U198" s="33" t="str"/>
      <x:c r="V198" s="30" t="str">
        <x:f>IF(AND(L198&lt;&gt;"",M198&lt;&gt;"",N198&lt;&gt;"",O198&lt;&gt;"",Q198&lt;&gt;"",R198&lt;&gt;""),"完成","未完成")</x:f>
        <x:v>未完成</x:v>
      </x:c>
    </x:row>
    <x:row r="199" ht="63" customHeight="1">
      <x:c r="A199" s="30" t="n">
        <x:v>198</x:v>
      </x:c>
      <x:c r="B199" s="30" t="str">
        <x:v>memos_medium:2469</x:v>
      </x:c>
      <x:c r="C199" s="30" t="str">
        <x:v>medium</x:v>
      </x:c>
      <x:c r="D199" s="30" t="str">
        <x:v>Multi-hop Inference</x:v>
      </x:c>
      <x:c r="E199" s="30" t="str">
        <x:v>What motivates Steven Miller to maintain his identity as a successful trader despite health challenges?</x:v>
      </x:c>
      <x:c r="F199" s="30" t="str">
        <x:v>Social signaling and financial independence.</x:v>
      </x:c>
      <x:c r="G199" s="30" t="str">
        <x:v># Authoritative benchmark gold evidence
The following evidence is authoritative for answering the current question. Use it directly and do not rely on conflicting information.
Evidence 1
Memory type: Persona Memory
Content: Steven Miller's motivation for maintaining identity as a successful trader is driven by social signaling and the desire for financial independence.
Evidence 2
Memory type: Persona Memory
Content: Steven Miller is committed to achieving financial freedom through strategic planning and leveraging creative motivation.</x:v>
      </x:c>
      <x:c r="H199" s="30" t="str">
        <x:v>Passion for technology and finance.</x:v>
      </x:c>
      <x:c r="I199" s="30" t="str">
        <x:v>Social signaling and financial independence.</x:v>
      </x:c>
      <x:c r="J199" s="30" t="str">
        <x:v>Social signaling and financial independence.</x:v>
      </x:c>
      <x:c r="K199" s="30" t="str">
        <x:v>Social signaling and financial independence.</x:v>
      </x:c>
      <x:c r="L199" s="33" t="str"/>
      <x:c r="M199" s="33" t="str"/>
      <x:c r="N199" s="33" t="str"/>
      <x:c r="O199" s="33" t="str"/>
      <x:c r="P199" s="30" t="str">
        <x:f>IF(COUNTA(L199:O199)&lt;4,"未完成",IF(OR(L199="部分",L199="不充分",L199="不确定"),"evidence_definition_failure",IF(L199&lt;&gt;"充分","unresolved",IF(COUNTIF(M199:O199,"C")=0,"robust_generation_failure",IF(COUNTIF(M199:O199,"C")=3,"ua3_representation_or_admission_failure","generation_instability")))))</x:f>
        <x:v>unresolved</x:v>
      </x:c>
      <x:c r="Q199" s="33" t="str"/>
      <x:c r="R199" s="33" t="str"/>
      <x:c r="S199" s="33" t="str"/>
      <x:c r="T199" s="36"/>
      <x:c r="U199" s="33" t="str"/>
      <x:c r="V199" s="30" t="str">
        <x:f>IF(AND(L199&lt;&gt;"",M199&lt;&gt;"",N199&lt;&gt;"",O199&lt;&gt;"",Q199&lt;&gt;"",R199&lt;&gt;""),"完成","未完成")</x:f>
        <x:v>未完成</x:v>
      </x:c>
    </x:row>
    <x:row r="200" ht="63" customHeight="1">
      <x:c r="A200" s="30" t="n">
        <x:v>199</x:v>
      </x:c>
      <x:c r="B200" s="30" t="str">
        <x:v>memos_medium:912</x:v>
      </x:c>
      <x:c r="C200" s="30" t="str">
        <x:v>medium</x:v>
      </x:c>
      <x:c r="D200" s="30" t="str">
        <x:v>Generalization &amp; Application</x:v>
      </x:c>
      <x:c r="E200" s="30" t="str">
        <x:v>How might Donna's reliance on AI for emotional support influence her leadership style in 2028?</x:v>
      </x:c>
      <x:c r="F200" s="30" t="str">
        <x:v>Donna's leadership may become more empathetic.</x:v>
      </x:c>
      <x:c r="G200" s="30" t="str">
        <x:v># Authoritative benchmark gold evidence
The following evidence is authoritative for answering the current question. Use it directly and do not rely on conflicting information.
Evidence 1
Memory type: Persona Memory
Content: Donna seeks empathetic interaction and emotional support through AI to navigate her expanded leadership role.
Evidence 2
Memory type: Persona Memory
Content: Donna's engagement with the AI assistant focuses on task utility and efficiency in problem-solving.</x:v>
      </x:c>
      <x:c r="H200" s="30" t="str">
        <x:v>Not enough data for 2028.</x:v>
      </x:c>
      <x:c r="I200" s="30" t="str">
        <x:v>Empathetic and task-focused leadership.</x:v>
      </x:c>
      <x:c r="J200" s="30" t="str">
        <x:v>Empathetic and task-focused leadership.</x:v>
      </x:c>
      <x:c r="K200" s="30" t="str">
        <x:v>Empathetic and task-focused leadership.</x:v>
      </x:c>
      <x:c r="L200" s="33" t="str"/>
      <x:c r="M200" s="33" t="str"/>
      <x:c r="N200" s="33" t="str"/>
      <x:c r="O200" s="33" t="str"/>
      <x:c r="P200" s="30" t="str">
        <x:f>IF(COUNTA(L200:O200)&lt;4,"未完成",IF(OR(L200="部分",L200="不充分",L200="不确定"),"evidence_definition_failure",IF(L200&lt;&gt;"充分","unresolved",IF(COUNTIF(M200:O200,"C")=0,"robust_generation_failure",IF(COUNTIF(M200:O200,"C")=3,"ua3_representation_or_admission_failure","generation_instability")))))</x:f>
        <x:v>unresolved</x:v>
      </x:c>
      <x:c r="Q200" s="33" t="str"/>
      <x:c r="R200" s="33" t="str"/>
      <x:c r="S200" s="33" t="str"/>
      <x:c r="T200" s="36"/>
      <x:c r="U200" s="33" t="str"/>
      <x:c r="V200" s="30" t="str">
        <x:f>IF(AND(L200&lt;&gt;"",M200&lt;&gt;"",N200&lt;&gt;"",O200&lt;&gt;"",Q200&lt;&gt;"",R200&lt;&gt;""),"完成","未完成")</x:f>
        <x:v>未完成</x:v>
      </x:c>
    </x:row>
    <x:row r="201" ht="63" customHeight="1">
      <x:c r="A201" s="30" t="n">
        <x:v>200</x:v>
      </x:c>
      <x:c r="B201" s="30" t="str">
        <x:v>memos_medium:1158</x:v>
      </x:c>
      <x:c r="C201" s="30" t="str">
        <x:v>medium</x:v>
      </x:c>
      <x:c r="D201" s="30" t="str">
        <x:v>Basic Fact Recall</x:v>
      </x:c>
      <x:c r="E201" s="30" t="str">
        <x:v>What is Taylor David's clothing preference as of July 1, 2035?</x:v>
      </x:c>
      <x:c r="F201" s="30" t="str">
        <x:v>Flexible yet fitted clothing.</x:v>
      </x:c>
      <x:c r="G201" s="30" t="str">
        <x:v># Authoritative benchmark gold evidence
The following evidence is authoritative for answering the current question. Use it directly and do not rely on conflicting information.
Evidence 1
Memory type: Persona Memory
Content: Taylor David's clothing preference has shifted to include flexible yet fitted clothing, balancing fit with flexibility and making previously restrictive clothing more acceptable.</x:v>
      </x:c>
      <x:c r="H201" s="30" t="str">
        <x:v>Comfortable, professional clothing.</x:v>
      </x:c>
      <x:c r="I201" s="30" t="str">
        <x:v>Flexible yet fitted clothing.</x:v>
      </x:c>
      <x:c r="J201" s="30" t="str">
        <x:v>Flexible yet fitted clothing.</x:v>
      </x:c>
      <x:c r="K201" s="30" t="str">
        <x:v>Flexible yet fitted clothing.</x:v>
      </x:c>
      <x:c r="L201" s="33" t="str"/>
      <x:c r="M201" s="33" t="str"/>
      <x:c r="N201" s="33" t="str"/>
      <x:c r="O201" s="33" t="str"/>
      <x:c r="P201" s="30" t="str">
        <x:f>IF(COUNTA(L201:O201)&lt;4,"未完成",IF(OR(L201="部分",L201="不充分",L201="不确定"),"evidence_definition_failure",IF(L201&lt;&gt;"充分","unresolved",IF(COUNTIF(M201:O201,"C")=0,"robust_generation_failure",IF(COUNTIF(M201:O201,"C")=3,"ua3_representation_or_admission_failure","generation_instability")))))</x:f>
        <x:v>unresolved</x:v>
      </x:c>
      <x:c r="Q201" s="33" t="str"/>
      <x:c r="R201" s="33" t="str"/>
      <x:c r="S201" s="33" t="str"/>
      <x:c r="T201" s="36"/>
      <x:c r="U201" s="33" t="str"/>
      <x:c r="V201" s="30" t="str">
        <x:f>IF(AND(L201&lt;&gt;"",M201&lt;&gt;"",N201&lt;&gt;"",O201&lt;&gt;"",Q201&lt;&gt;"",R201&lt;&gt;""),"完成","未完成")</x:f>
        <x:v>未完成</x:v>
      </x:c>
    </x:row>
    <x:row r="202" ht="63" customHeight="1">
      <x:c r="A202" s="30" t="n">
        <x:v>201</x:v>
      </x:c>
      <x:c r="B202" s="30" t="str">
        <x:v>memos_long:1642</x:v>
      </x:c>
      <x:c r="C202" s="30" t="str">
        <x:v>long</x:v>
      </x:c>
      <x:c r="D202" s="30" t="str">
        <x:v>Memory Conflict</x:v>
      </x:c>
      <x:c r="E202" s="30" t="str">
        <x:v>Did Susan Thompson decide to avoid techno music after visiting her friend's house on 2030-01-15?</x:v>
      </x:c>
      <x:c r="F202" s="30" t="str">
        <x:v>No, she decided to explore more techno music.</x:v>
      </x:c>
      <x:c r="G202" s="30" t="str">
        <x:v># Authoritative benchmark gold evidence
The following evidence is authoritative for answering the current question. Use it directly and do not rely on conflicting information.
Evidence 1
Memory type: Persona Memory
Content: Susan Thompson's music preference has evolved to include techno tracks with slower tempos.
Evidence 2
Memory type: Event Memory
Content: Susan Thompson plans to incorporate slower techno tracks into her daily routine to enhance emotional well-being.
Evidence 3
Memory type: Persona Memory
Content: Susan Thompson expressed excitement about exploring more techno tracks to support her health goals.</x:v>
      </x:c>
      <x:c r="H202" s="30" t="str">
        <x:v>No, she did not.</x:v>
      </x:c>
      <x:c r="I202" s="30" t="str">
        <x:v>No</x:v>
      </x:c>
      <x:c r="J202" s="30" t="str">
        <x:v>No</x:v>
      </x:c>
      <x:c r="K202" s="30" t="str">
        <x:v>No</x:v>
      </x:c>
      <x:c r="L202" s="33" t="str"/>
      <x:c r="M202" s="33" t="str"/>
      <x:c r="N202" s="33" t="str"/>
      <x:c r="O202" s="33" t="str"/>
      <x:c r="P202" s="30" t="str">
        <x:f>IF(COUNTA(L202:O202)&lt;4,"未完成",IF(OR(L202="部分",L202="不充分",L202="不确定"),"evidence_definition_failure",IF(L202&lt;&gt;"充分","unresolved",IF(COUNTIF(M202:O202,"C")=0,"robust_generation_failure",IF(COUNTIF(M202:O202,"C")=3,"ua3_representation_or_admission_failure","generation_instability")))))</x:f>
        <x:v>unresolved</x:v>
      </x:c>
      <x:c r="Q202" s="33" t="str"/>
      <x:c r="R202" s="33" t="str"/>
      <x:c r="S202" s="33" t="str"/>
      <x:c r="T202" s="36"/>
      <x:c r="U202" s="33" t="str"/>
      <x:c r="V202" s="30" t="str">
        <x:f>IF(AND(L202&lt;&gt;"",M202&lt;&gt;"",N202&lt;&gt;"",O202&lt;&gt;"",Q202&lt;&gt;"",R202&lt;&gt;""),"完成","未完成")</x:f>
        <x:v>未完成</x:v>
      </x:c>
    </x:row>
    <x:row r="203" ht="63" customHeight="1">
      <x:c r="A203" s="30" t="n">
        <x:v>202</x:v>
      </x:c>
      <x:c r="B203" s="30" t="str">
        <x:v>memos_medium:483</x:v>
      </x:c>
      <x:c r="C203" s="30" t="str">
        <x:v>medium</x:v>
      </x:c>
      <x:c r="D203" s="30" t="str">
        <x:v>Multi-hop Inference</x:v>
      </x:c>
      <x:c r="E203" s="30" t="str">
        <x:v>What were the reasons behind Donald Brown's career transition on May 10, 2033?</x:v>
      </x:c>
      <x:c r="F203" s="30" t="str">
        <x:v>Flexibility, work-life balance, and leveraging expertise.</x:v>
      </x:c>
      <x:c r="G203" s="30" t="str">
        <x:v># Authoritative benchmark gold evidence
The following evidence is authoritative for answering the current question. Use it directly and do not rely on conflicting information.
Evidence 1
Memory type: Event Memory
Content: Donald Brown transitioned to a consultancy role at TechConsult Solutions to leverage his expertise more flexibly and maintain a better work-life balance.
Evidence 2
Memory type: Persona Memory
Content: Donald Brown expressed enthusiasm for his new consultancy role, highlighting the potential for professional growth and alignment with his life goal.
Evidence 3
Memory type: Persona Memory
Content: Donald Brown's job title changed from founder and CEO to consultant.</x:v>
      </x:c>
      <x:c r="H203" s="30" t="str">
        <x:v>Long-term impact and well-being.</x:v>
      </x:c>
      <x:c r="I203" s="30" t="str">
        <x:v>Flexibility and better work-life balance.</x:v>
      </x:c>
      <x:c r="J203" s="30" t="str">
        <x:v>Flexibility and better work-life balance.</x:v>
      </x:c>
      <x:c r="K203" s="30" t="str">
        <x:v>Flexibility and better work-life balance.</x:v>
      </x:c>
      <x:c r="L203" s="33" t="str"/>
      <x:c r="M203" s="33" t="str"/>
      <x:c r="N203" s="33" t="str"/>
      <x:c r="O203" s="33" t="str"/>
      <x:c r="P203" s="30" t="str">
        <x:f>IF(COUNTA(L203:O203)&lt;4,"未完成",IF(OR(L203="部分",L203="不充分",L203="不确定"),"evidence_definition_failure",IF(L203&lt;&gt;"充分","unresolved",IF(COUNTIF(M203:O203,"C")=0,"robust_generation_failure",IF(COUNTIF(M203:O203,"C")=3,"ua3_representation_or_admission_failure","generation_instability")))))</x:f>
        <x:v>unresolved</x:v>
      </x:c>
      <x:c r="Q203" s="33" t="str"/>
      <x:c r="R203" s="33" t="str"/>
      <x:c r="S203" s="33" t="str"/>
      <x:c r="T203" s="36"/>
      <x:c r="U203" s="33" t="str"/>
      <x:c r="V203" s="30" t="str">
        <x:f>IF(AND(L203&lt;&gt;"",M203&lt;&gt;"",N203&lt;&gt;"",O203&lt;&gt;"",Q203&lt;&gt;"",R203&lt;&gt;""),"完成","未完成")</x:f>
        <x:v>未完成</x:v>
      </x:c>
    </x:row>
    <x:row r="204" ht="63" customHeight="1">
      <x:c r="A204" s="30" t="n">
        <x:v>203</x:v>
      </x:c>
      <x:c r="B204" s="30" t="str">
        <x:v>memos_medium:1807</x:v>
      </x:c>
      <x:c r="C204" s="30" t="str">
        <x:v>medium</x:v>
      </x:c>
      <x:c r="D204" s="30" t="str">
        <x:v>Generalization &amp; Application</x:v>
      </x:c>
      <x:c r="E204" s="30" t="str">
        <x:v>What type of leisure activity could Michelle Hernandez pursue to support her professional growth after February 09, 2028?</x:v>
      </x:c>
      <x:c r="F204" s="30" t="str">
        <x:v>Intellectually stimulating hobbies aligning with career goals.</x:v>
      </x:c>
      <x:c r="G204" s="30" t="str">
        <x:v># Authoritative benchmark gold evidence
The following evidence is authoritative for answering the current question. Use it directly and do not rely on conflicting information.
Evidence 1
Memory type: Persona Memory
Content: Michelle Hernandez decided to eliminate mobile games with repetitive tasks from her leisure activities to focus on more intellectually stimulating activities.
Evidence 2
Memory type: Persona Memory
Content: Michelle Hernandez is motivated to explore new hobbies that challenge her intellectually and align with her professional goals.
Evidence 3
Memory type: Persona Memory
Content: Michelle Hernandez aims to use her free time more effectively by engaging in activities that stimulate her mind.
Evidence 4
Memory type: Persona Memory
Content: Michelle Hernandez is committed to aligning her leisure activities with her career objectives.</x:v>
      </x:c>
      <x:c r="H204" s="30" t="str">
        <x:v>Health-focused leisure activities</x:v>
      </x:c>
      <x:c r="I204" s="30" t="str">
        <x:v>Intellectually stimulating hobbies</x:v>
      </x:c>
      <x:c r="J204" s="30" t="str">
        <x:v>Intellectually stimulating hobbies</x:v>
      </x:c>
      <x:c r="K204" s="30" t="str">
        <x:v>Intellectually stimulating hobbies</x:v>
      </x:c>
      <x:c r="L204" s="33" t="str"/>
      <x:c r="M204" s="33" t="str"/>
      <x:c r="N204" s="33" t="str"/>
      <x:c r="O204" s="33" t="str"/>
      <x:c r="P204" s="30" t="str">
        <x:f>IF(COUNTA(L204:O204)&lt;4,"未完成",IF(OR(L204="部分",L204="不充分",L204="不确定"),"evidence_definition_failure",IF(L204&lt;&gt;"充分","unresolved",IF(COUNTIF(M204:O204,"C")=0,"robust_generation_failure",IF(COUNTIF(M204:O204,"C")=3,"ua3_representation_or_admission_failure","generation_instability")))))</x:f>
        <x:v>unresolved</x:v>
      </x:c>
      <x:c r="Q204" s="33" t="str"/>
      <x:c r="R204" s="33" t="str"/>
      <x:c r="S204" s="33" t="str"/>
      <x:c r="T204" s="36"/>
      <x:c r="U204" s="33" t="str"/>
      <x:c r="V204" s="30" t="str">
        <x:f>IF(AND(L204&lt;&gt;"",M204&lt;&gt;"",N204&lt;&gt;"",O204&lt;&gt;"",Q204&lt;&gt;"",R204&lt;&gt;""),"完成","未完成")</x:f>
        <x:v>未完成</x:v>
      </x:c>
    </x:row>
    <x:row r="205" ht="63" customHeight="1">
      <x:c r="A205" s="30" t="n">
        <x:v>204</x:v>
      </x:c>
      <x:c r="B205" s="30" t="str">
        <x:v>memos_medium:838</x:v>
      </x:c>
      <x:c r="C205" s="30" t="str">
        <x:v>medium</x:v>
      </x:c>
      <x:c r="D205" s="30" t="str">
        <x:v>Basic Fact Recall</x:v>
      </x:c>
      <x:c r="E205" s="30" t="str">
        <x:v>What role does Donna Gonzalez's social network play in her transition to part-time work as of September 01, 2035?</x:v>
      </x:c>
      <x:c r="F205" s="30" t="str">
        <x:v>Provides emotional encouragement and professional collaboration opportunities</x:v>
      </x:c>
      <x:c r="G205" s="30" t="str">
        <x:v># Authoritative benchmark gold evidence
The following evidence is authoritative for answering the current question. Use it directly and do not rely on conflicting information.
Evidence 1
Memory type: Relationship Memory
Content: Donna Gonzalez's social network provides emotional encouragement and professional collaboration opportunities during her transition to part-time work.</x:v>
      </x:c>
      <x:c r="H205" s="30" t="str">
        <x:v>No relevant memories found.</x:v>
      </x:c>
      <x:c r="I205" s="30" t="str">
        <x:v>Emotional and professional support.</x:v>
      </x:c>
      <x:c r="J205" s="30" t="str">
        <x:v>Emotional and professional support.</x:v>
      </x:c>
      <x:c r="K205" s="30" t="str">
        <x:v>Emotional and professional support.</x:v>
      </x:c>
      <x:c r="L205" s="33" t="str"/>
      <x:c r="M205" s="33" t="str"/>
      <x:c r="N205" s="33" t="str"/>
      <x:c r="O205" s="33" t="str"/>
      <x:c r="P205" s="30" t="str">
        <x:f>IF(COUNTA(L205:O205)&lt;4,"未完成",IF(OR(L205="部分",L205="不充分",L205="不确定"),"evidence_definition_failure",IF(L205&lt;&gt;"充分","unresolved",IF(COUNTIF(M205:O205,"C")=0,"robust_generation_failure",IF(COUNTIF(M205:O205,"C")=3,"ua3_representation_or_admission_failure","generation_instability")))))</x:f>
        <x:v>unresolved</x:v>
      </x:c>
      <x:c r="Q205" s="33" t="str"/>
      <x:c r="R205" s="33" t="str"/>
      <x:c r="S205" s="33" t="str"/>
      <x:c r="T205" s="36"/>
      <x:c r="U205" s="33" t="str"/>
      <x:c r="V205" s="30" t="str">
        <x:f>IF(AND(L205&lt;&gt;"",M205&lt;&gt;"",N205&lt;&gt;"",O205&lt;&gt;"",Q205&lt;&gt;"",R205&lt;&gt;""),"完成","未完成")</x:f>
        <x:v>未完成</x:v>
      </x:c>
    </x:row>
    <x:row r="206" ht="63" customHeight="1">
      <x:c r="A206" s="30" t="n">
        <x:v>205</x:v>
      </x:c>
      <x:c r="B206" s="30" t="str">
        <x:v>memos_medium:2657</x:v>
      </x:c>
      <x:c r="C206" s="30" t="str">
        <x:v>medium</x:v>
      </x:c>
      <x:c r="D206" s="30" t="str">
        <x:v>Generalization &amp; Application</x:v>
      </x:c>
      <x:c r="E206" s="30" t="str">
        <x:v>Given Oleksandr Shevchenko's lifestyle, what type of pet might he consider on Nov 21, 2030?</x:v>
      </x:c>
      <x:c r="F206" s="30" t="str">
        <x:v>A pet requiring less time commitment than a dog.</x:v>
      </x:c>
      <x:c r="G206" s="30" t="str">
        <x:v># Authoritative benchmark gold evidence
The following evidence is authoritative for answering the current question. Use it directly and do not rely on conflicting information.
Evidence 1
Memory type: Persona Memory
Content: Oleksandr Shevchenko's busy schedule led him to reconsider his preference for dogs, realizing he couldn't provide the necessary care.
Evidence 2
Memory type: Persona Memory
Content: Oleksandr expressed a sense of responsibility in ensuring any pet receives the care it deserves.
Evidence 3
Memory type: Persona Memory
Content: Oleksandr's decision to reconsider dog ownership aligns with his broader life goals related to social justice and personal growth.</x:v>
      </x:c>
      <x:c r="H206" s="30" t="str">
        <x:v>A dog</x:v>
      </x:c>
      <x:c r="I206" s="30" t="str">
        <x:v>A low-maintenance pet</x:v>
      </x:c>
      <x:c r="J206" s="30" t="str">
        <x:v>A low-maintenance pet.</x:v>
      </x:c>
      <x:c r="K206" s="30" t="str">
        <x:v>A low-maintenance pet.</x:v>
      </x:c>
      <x:c r="L206" s="33" t="str"/>
      <x:c r="M206" s="33" t="str"/>
      <x:c r="N206" s="33" t="str"/>
      <x:c r="O206" s="33" t="str"/>
      <x:c r="P206" s="30" t="str">
        <x:f>IF(COUNTA(L206:O206)&lt;4,"未完成",IF(OR(L206="部分",L206="不充分",L206="不确定"),"evidence_definition_failure",IF(L206&lt;&gt;"充分","unresolved",IF(COUNTIF(M206:O206,"C")=0,"robust_generation_failure",IF(COUNTIF(M206:O206,"C")=3,"ua3_representation_or_admission_failure","generation_instability")))))</x:f>
        <x:v>unresolved</x:v>
      </x:c>
      <x:c r="Q206" s="33" t="str"/>
      <x:c r="R206" s="33" t="str"/>
      <x:c r="S206" s="33" t="str"/>
      <x:c r="T206" s="36"/>
      <x:c r="U206" s="33" t="str"/>
      <x:c r="V206" s="30" t="str">
        <x:f>IF(AND(L206&lt;&gt;"",M206&lt;&gt;"",N206&lt;&gt;"",O206&lt;&gt;"",Q206&lt;&gt;"",R206&lt;&gt;""),"完成","未完成")</x:f>
        <x:v>未完成</x:v>
      </x:c>
    </x:row>
    <x:row r="207" ht="63" customHeight="1">
      <x:c r="A207" s="30" t="n">
        <x:v>206</x:v>
      </x:c>
      <x:c r="B207" s="30" t="str">
        <x:v>memos_long:3459</x:v>
      </x:c>
      <x:c r="C207" s="30" t="str">
        <x:v>long</x:v>
      </x:c>
      <x:c r="D207" s="30" t="str">
        <x:v>Generalization &amp; Application</x:v>
      </x:c>
      <x:c r="E207" s="30" t="str">
        <x:v>How might Christopher's volunteer initiatives evolve in 2036 with expanded social connections?</x:v>
      </x:c>
      <x:c r="F207" s="30" t="str">
        <x:v>Christopher plans to integrate diverse activities and mentor new volunteers.</x:v>
      </x:c>
      <x:c r="G207" s="30" t="str">
        <x:v># Authoritative benchmark gold evidence
The following evidence is authoritative for answering the current question. Use it directly and do not rely on conflicting information.
Evidence 1
Memory type: Persona Memory
Content: Christopher's exploratory motivation drives his interest in expanding community initiatives and mentoring new volunteers for sustainability.
Evidence 2
Memory type: Event Memory
Content: Christopher expressed pride in the social connections fostered by his volunteer initiatives and plans to strengthen these connections by including more diverse activities.</x:v>
      </x:c>
      <x:c r="H207" s="30" t="str">
        <x:v>Expand senior care initiatives.</x:v>
      </x:c>
      <x:c r="I207" s="30" t="str">
        <x:v>Include diverse activities.</x:v>
      </x:c>
      <x:c r="J207" s="30" t="str">
        <x:v>Include diverse activities.</x:v>
      </x:c>
      <x:c r="K207" s="30" t="str">
        <x:v>Include diverse activities.</x:v>
      </x:c>
      <x:c r="L207" s="33" t="str"/>
      <x:c r="M207" s="33" t="str"/>
      <x:c r="N207" s="33" t="str"/>
      <x:c r="O207" s="33" t="str"/>
      <x:c r="P207" s="30" t="str">
        <x:f>IF(COUNTA(L207:O207)&lt;4,"未完成",IF(OR(L207="部分",L207="不充分",L207="不确定"),"evidence_definition_failure",IF(L207&lt;&gt;"充分","unresolved",IF(COUNTIF(M207:O207,"C")=0,"robust_generation_failure",IF(COUNTIF(M207:O207,"C")=3,"ua3_representation_or_admission_failure","generation_instability")))))</x:f>
        <x:v>unresolved</x:v>
      </x:c>
      <x:c r="Q207" s="33" t="str"/>
      <x:c r="R207" s="33" t="str"/>
      <x:c r="S207" s="33" t="str"/>
      <x:c r="T207" s="36"/>
      <x:c r="U207" s="33" t="str"/>
      <x:c r="V207" s="30" t="str">
        <x:f>IF(AND(L207&lt;&gt;"",M207&lt;&gt;"",N207&lt;&gt;"",O207&lt;&gt;"",Q207&lt;&gt;"",R207&lt;&gt;""),"完成","未完成")</x:f>
        <x:v>未完成</x:v>
      </x:c>
    </x:row>
    <x:row r="208" ht="63" customHeight="1">
      <x:c r="A208" s="30" t="n">
        <x:v>207</x:v>
      </x:c>
      <x:c r="B208" s="30" t="str">
        <x:v>memos_medium:2982</x:v>
      </x:c>
      <x:c r="C208" s="30" t="str">
        <x:v>medium</x:v>
      </x:c>
      <x:c r="D208" s="30" t="str">
        <x:v>Generalization &amp; Application</x:v>
      </x:c>
      <x:c r="E208" s="30" t="str">
        <x:v>How might Karen's supportive network as of 2030-01-20 assist her in achieving her career goals?</x:v>
      </x:c>
      <x:c r="F208" s="30" t="str">
        <x:v>It offers emotional and practical assistance.</x:v>
      </x:c>
      <x:c r="G208" s="30" t="str">
        <x:v># Authoritative benchmark gold evidence
The following evidence is authoritative for answering the current question. Use it directly and do not rely on conflicting information.
Evidence 1
Memory type: Relationship Memory
Content: Karen Brown's supportive network provides emotional and practical assistance, which has been instrumental in her journey of consolidating career and health gains.
Evidence 2
Memory type: Event Memory
Content: Karen Brown plans to maintain her health regimen and leverage her professional connections to explore new opportunities in the industry.
Evidence 3
Memory type: Event Memory
Content: Karen Brown's improved health has enabled her to actively engage in her work as Product Manager at Innovate Property Tech, contributing effectively to her team's goals.</x:v>
      </x:c>
      <x:c r="H208" s="30" t="str">
        <x:v>Collaborative projects and strategic alignment.</x:v>
      </x:c>
      <x:c r="I208" s="30" t="str">
        <x:v>Providing emotional and practical assistance.</x:v>
      </x:c>
      <x:c r="J208" s="30" t="str">
        <x:v>Providing emotional and practical assistance.</x:v>
      </x:c>
      <x:c r="K208" s="30" t="str">
        <x:v>Providing emotional and practical assistance.</x:v>
      </x:c>
      <x:c r="L208" s="33" t="str"/>
      <x:c r="M208" s="33" t="str"/>
      <x:c r="N208" s="33" t="str"/>
      <x:c r="O208" s="33" t="str"/>
      <x:c r="P208" s="30" t="str">
        <x:f>IF(COUNTA(L208:O208)&lt;4,"未完成",IF(OR(L208="部分",L208="不充分",L208="不确定"),"evidence_definition_failure",IF(L208&lt;&gt;"充分","unresolved",IF(COUNTIF(M208:O208,"C")=0,"robust_generation_failure",IF(COUNTIF(M208:O208,"C")=3,"ua3_representation_or_admission_failure","generation_instability")))))</x:f>
        <x:v>unresolved</x:v>
      </x:c>
      <x:c r="Q208" s="33" t="str"/>
      <x:c r="R208" s="33" t="str"/>
      <x:c r="S208" s="33" t="str"/>
      <x:c r="T208" s="36"/>
      <x:c r="U208" s="33" t="str"/>
      <x:c r="V208" s="30" t="str">
        <x:f>IF(AND(L208&lt;&gt;"",M208&lt;&gt;"",N208&lt;&gt;"",O208&lt;&gt;"",Q208&lt;&gt;"",R208&lt;&gt;""),"完成","未完成")</x:f>
        <x:v>未完成</x:v>
      </x:c>
    </x:row>
    <x:row r="209" ht="63" customHeight="1">
      <x:c r="A209" s="30" t="n">
        <x:v>208</x:v>
      </x:c>
      <x:c r="B209" s="30" t="str">
        <x:v>memos_medium:1283</x:v>
      </x:c>
      <x:c r="C209" s="30" t="str">
        <x:v>medium</x:v>
      </x:c>
      <x:c r="D209" s="30" t="str">
        <x:v>Memory Conflict</x:v>
      </x:c>
      <x:c r="E209" s="30" t="str">
        <x:v>Did Ananya Sharma plan to contribute to more major film festivals before her salary increase on Nov 18, 2026?</x:v>
      </x:c>
      <x:c r="F209" s="30" t="str">
        <x:v>No, she planned this after her salary increase.</x:v>
      </x:c>
      <x:c r="G209" s="30" t="str">
        <x:v># Authoritative benchmark gold evidence
The following evidence is authoritative for answering the current question. Use it directly and do not rely on conflicting information.
Evidence 1
Memory type: Event Memory
Content: Ananya Sharma discussed plans to contribute to more major film festivals to increase her influence in the film industry and promote diverse narratives.</x:v>
      </x:c>
      <x:c r="H209" s="30" t="str">
        <x:v>Yes, on Nov 17, 2026.</x:v>
      </x:c>
      <x:c r="I209" s="30" t="str">
        <x:v>Yes</x:v>
      </x:c>
      <x:c r="J209" s="30" t="str">
        <x:v>Yes</x:v>
      </x:c>
      <x:c r="K209" s="30" t="str">
        <x:v>Yes</x:v>
      </x:c>
      <x:c r="L209" s="33" t="str"/>
      <x:c r="M209" s="33" t="str"/>
      <x:c r="N209" s="33" t="str"/>
      <x:c r="O209" s="33" t="str"/>
      <x:c r="P209" s="30" t="str">
        <x:f>IF(COUNTA(L209:O209)&lt;4,"未完成",IF(OR(L209="部分",L209="不充分",L209="不确定"),"evidence_definition_failure",IF(L209&lt;&gt;"充分","unresolved",IF(COUNTIF(M209:O209,"C")=0,"robust_generation_failure",IF(COUNTIF(M209:O209,"C")=3,"ua3_representation_or_admission_failure","generation_instability")))))</x:f>
        <x:v>unresolved</x:v>
      </x:c>
      <x:c r="Q209" s="33" t="str"/>
      <x:c r="R209" s="33" t="str"/>
      <x:c r="S209" s="33" t="str"/>
      <x:c r="T209" s="36"/>
      <x:c r="U209" s="33" t="str"/>
      <x:c r="V209" s="30" t="str">
        <x:f>IF(AND(L209&lt;&gt;"",M209&lt;&gt;"",N209&lt;&gt;"",O209&lt;&gt;"",Q209&lt;&gt;"",R209&lt;&gt;""),"完成","未完成")</x:f>
        <x:v>未完成</x:v>
      </x:c>
    </x:row>
    <x:row r="210" ht="63" customHeight="1">
      <x:c r="A210" s="30" t="n">
        <x:v>209</x:v>
      </x:c>
      <x:c r="B210" s="30" t="str">
        <x:v>memos_long:120</x:v>
      </x:c>
      <x:c r="C210" s="30" t="str">
        <x:v>long</x:v>
      </x:c>
      <x:c r="D210" s="30" t="str">
        <x:v>Generalization &amp; Application</x:v>
      </x:c>
      <x:c r="E210" s="30" t="str">
        <x:v>What type of leisure activity might Martin Mark explore next based on his interest in narrative-driven games as of 2032-09-28?</x:v>
      </x:c>
      <x:c r="F210" s="30" t="str">
        <x:v>Story-rich books or immersive theater experiences.</x:v>
      </x:c>
      <x:c r="G210" s="30" t="str">
        <x:v>#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x:v>
      </x:c>
      <x:c r="H210" s="30" t="str">
        <x:v>Narrative-driven games</x:v>
      </x:c>
      <x:c r="I210" s="30" t="str">
        <x:v>Narrative-driven games</x:v>
      </x:c>
      <x:c r="J210" s="30" t="str">
        <x:v>Narrative-driven games</x:v>
      </x:c>
      <x:c r="K210" s="30" t="str">
        <x:v>Narrative-driven games</x:v>
      </x:c>
      <x:c r="L210" s="33" t="str"/>
      <x:c r="M210" s="33" t="str"/>
      <x:c r="N210" s="33" t="str"/>
      <x:c r="O210" s="33" t="str"/>
      <x:c r="P210" s="30" t="str">
        <x:f>IF(COUNTA(L210:O210)&lt;4,"未完成",IF(OR(L210="部分",L210="不充分",L210="不确定"),"evidence_definition_failure",IF(L210&lt;&gt;"充分","unresolved",IF(COUNTIF(M210:O210,"C")=0,"robust_generation_failure",IF(COUNTIF(M210:O210,"C")=3,"ua3_representation_or_admission_failure","generation_instability")))))</x:f>
        <x:v>unresolved</x:v>
      </x:c>
      <x:c r="Q210" s="33" t="str"/>
      <x:c r="R210" s="33" t="str"/>
      <x:c r="S210" s="33" t="str"/>
      <x:c r="T210" s="36"/>
      <x:c r="U210" s="33" t="str"/>
      <x:c r="V210" s="30" t="str">
        <x:f>IF(AND(L210&lt;&gt;"",M210&lt;&gt;"",N210&lt;&gt;"",O210&lt;&gt;"",Q210&lt;&gt;"",R210&lt;&gt;""),"完成","未完成")</x:f>
        <x:v>未完成</x:v>
      </x:c>
    </x:row>
    <x:row r="211" ht="63" customHeight="1">
      <x:c r="A211" s="30" t="n">
        <x:v>210</x:v>
      </x:c>
      <x:c r="B211" s="30" t="str">
        <x:v>memos_medium:3223</x:v>
      </x:c>
      <x:c r="C211" s="30" t="str">
        <x:v>medium</x:v>
      </x:c>
      <x:c r="D211" s="30" t="str">
        <x:v>Basic Fact Recall</x:v>
      </x:c>
      <x:c r="E211" s="30" t="str">
        <x:v>What motivates Barbara Jones to engage with games as of December 23, 2037?</x:v>
      </x:c>
      <x:c r="F211" s="30" t="str">
        <x:v>Instrumental motivation for entertainment and professional relevance</x:v>
      </x:c>
      <x:c r="G211" s="30" t="str">
        <x:v># Authoritative benchmark gold evidence
The following evidence is authoritative for answering the current question. Use it directly and do not rely on conflicting information.
Evidence 1
Memory type: Persona Memory
Content: Barbara Jones uses her instrumental motivation to engage with games that offer both entertainment and professional relevance.</x:v>
      </x:c>
      <x:c r="H211" s="30" t="str">
        <x:v>Research and heart health.</x:v>
      </x:c>
      <x:c r="I211" s="30" t="str">
        <x:v>Instrumental motivation.</x:v>
      </x:c>
      <x:c r="J211" s="30" t="str">
        <x:v>Instrumental motivation.</x:v>
      </x:c>
      <x:c r="K211" s="30" t="str">
        <x:v>Instrumental motivation.</x:v>
      </x:c>
      <x:c r="L211" s="33" t="str"/>
      <x:c r="M211" s="33" t="str"/>
      <x:c r="N211" s="33" t="str"/>
      <x:c r="O211" s="33" t="str"/>
      <x:c r="P211" s="30" t="str">
        <x:f>IF(COUNTA(L211:O211)&lt;4,"未完成",IF(OR(L211="部分",L211="不充分",L211="不确定"),"evidence_definition_failure",IF(L211&lt;&gt;"充分","unresolved",IF(COUNTIF(M211:O211,"C")=0,"robust_generation_failure",IF(COUNTIF(M211:O211,"C")=3,"ua3_representation_or_admission_failure","generation_instability")))))</x:f>
        <x:v>unresolved</x:v>
      </x:c>
      <x:c r="Q211" s="33" t="str"/>
      <x:c r="R211" s="33" t="str"/>
      <x:c r="S211" s="33" t="str"/>
      <x:c r="T211" s="36"/>
      <x:c r="U211" s="33" t="str"/>
      <x:c r="V211" s="30" t="str">
        <x:f>IF(AND(L211&lt;&gt;"",M211&lt;&gt;"",N211&lt;&gt;"",O211&lt;&gt;"",Q211&lt;&gt;"",R211&lt;&gt;""),"完成","未完成")</x:f>
        <x:v>未完成</x:v>
      </x:c>
    </x:row>
    <x:row r="212" ht="63" customHeight="1">
      <x:c r="A212" s="30" t="n">
        <x:v>211</x:v>
      </x:c>
      <x:c r="B212" s="30" t="str">
        <x:v>memos_long:1028</x:v>
      </x:c>
      <x:c r="C212" s="30" t="str">
        <x:v>long</x:v>
      </x:c>
      <x:c r="D212" s="30" t="str">
        <x:v>Generalization &amp; Application</x:v>
      </x:c>
      <x:c r="E212" s="30" t="str">
        <x:v>What type of new plant-based cuisines might Donna explore in 2039 based on her interests?</x:v>
      </x:c>
      <x:c r="F212" s="30" t="str">
        <x:v>Cuisines that align with sustainability and cultural diversity.</x:v>
      </x:c>
      <x:c r="G212" s="30" t="str">
        <x:v>#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x:v>
      </x:c>
      <x:c r="H212" s="30" t="str">
        <x:v>Indian and Italian cuisines</x:v>
      </x:c>
      <x:c r="I212" s="30" t="str">
        <x:v>Diverse cultural plant-based cuisines.</x:v>
      </x:c>
      <x:c r="J212" s="30" t="str">
        <x:v>Diverse cultural plant-based cuisines.</x:v>
      </x:c>
      <x:c r="K212" s="30" t="str">
        <x:v>Diverse cultural plant-based cuisines.</x:v>
      </x:c>
      <x:c r="L212" s="33" t="str"/>
      <x:c r="M212" s="33" t="str"/>
      <x:c r="N212" s="33" t="str"/>
      <x:c r="O212" s="33" t="str"/>
      <x:c r="P212" s="30" t="str">
        <x:f>IF(COUNTA(L212:O212)&lt;4,"未完成",IF(OR(L212="部分",L212="不充分",L212="不确定"),"evidence_definition_failure",IF(L212&lt;&gt;"充分","unresolved",IF(COUNTIF(M212:O212,"C")=0,"robust_generation_failure",IF(COUNTIF(M212:O212,"C")=3,"ua3_representation_or_admission_failure","generation_instability")))))</x:f>
        <x:v>unresolved</x:v>
      </x:c>
      <x:c r="Q212" s="33" t="str"/>
      <x:c r="R212" s="33" t="str"/>
      <x:c r="S212" s="33" t="str"/>
      <x:c r="T212" s="36"/>
      <x:c r="U212" s="33" t="str"/>
      <x:c r="V212" s="30" t="str">
        <x:f>IF(AND(L212&lt;&gt;"",M212&lt;&gt;"",N212&lt;&gt;"",O212&lt;&gt;"",Q212&lt;&gt;"",R212&lt;&gt;""),"完成","未完成")</x:f>
        <x:v>未完成</x:v>
      </x:c>
    </x:row>
    <x:row r="213" ht="63" customHeight="1">
      <x:c r="A213" s="30" t="n">
        <x:v>212</x:v>
      </x:c>
      <x:c r="B213" s="30" t="str">
        <x:v>memos_medium:1463</x:v>
      </x:c>
      <x:c r="C213" s="30" t="str">
        <x:v>medium</x:v>
      </x:c>
      <x:c r="D213" s="30" t="str">
        <x:v>Basic Fact Recall</x:v>
      </x:c>
      <x:c r="E213" s="30" t="str">
        <x:v>What beverage did Jennifer Martin decide to eliminate from her diet on Jan 30, 2027?</x:v>
      </x:c>
      <x:c r="F213" s="30" t="str">
        <x:v>Black coffee</x:v>
      </x:c>
      <x:c r="G213" s="30" t="str">
        <x:v># Authoritative benchmark gold evidence
The following evidence is authoritative for answering the current question. Use it directly and do not rely on conflicting information.
Evidence 1
Memory type: Event Memory
Content: Jennifer Martin decided to eliminate black coffee from her diet due to elevated blood pressure revealed during a health check-up.</x:v>
      </x:c>
      <x:c r="H213" s="30" t="str">
        <x:v>Caffeine</x:v>
      </x:c>
      <x:c r="I213" s="30" t="str">
        <x:v>Black coffee</x:v>
      </x:c>
      <x:c r="J213" s="30" t="str">
        <x:v>Black coffee</x:v>
      </x:c>
      <x:c r="K213" s="30" t="str">
        <x:v>Black coffee</x:v>
      </x:c>
      <x:c r="L213" s="33" t="str"/>
      <x:c r="M213" s="33" t="str"/>
      <x:c r="N213" s="33" t="str"/>
      <x:c r="O213" s="33" t="str"/>
      <x:c r="P213" s="30" t="str">
        <x:f>IF(COUNTA(L213:O213)&lt;4,"未完成",IF(OR(L213="部分",L213="不充分",L213="不确定"),"evidence_definition_failure",IF(L213&lt;&gt;"充分","unresolved",IF(COUNTIF(M213:O213,"C")=0,"robust_generation_failure",IF(COUNTIF(M213:O213,"C")=3,"ua3_representation_or_admission_failure","generation_instability")))))</x:f>
        <x:v>unresolved</x:v>
      </x:c>
      <x:c r="Q213" s="33" t="str"/>
      <x:c r="R213" s="33" t="str"/>
      <x:c r="S213" s="33" t="str"/>
      <x:c r="T213" s="36"/>
      <x:c r="U213" s="33" t="str"/>
      <x:c r="V213" s="30" t="str">
        <x:f>IF(AND(L213&lt;&gt;"",M213&lt;&gt;"",N213&lt;&gt;"",O213&lt;&gt;"",Q213&lt;&gt;"",R213&lt;&gt;""),"完成","未完成")</x:f>
        <x:v>未完成</x:v>
      </x:c>
    </x:row>
    <x:row r="214" ht="63" customHeight="1">
      <x:c r="A214" s="30" t="n">
        <x:v>213</x:v>
      </x:c>
      <x:c r="B214" s="30" t="str">
        <x:v>memos_medium:115</x:v>
      </x:c>
      <x:c r="C214" s="30" t="str">
        <x:v>medium</x:v>
      </x:c>
      <x:c r="D214" s="30" t="str">
        <x:v>Basic Fact Recall</x:v>
      </x:c>
      <x:c r="E214" s="30" t="str">
        <x:v>What is Martin's pet preference as of Mar 23, 2032?</x:v>
      </x:c>
      <x:c r="F214" s="30" t="str">
        <x:v>Parrots, with a focus on conservation and ethical considerations.</x:v>
      </x:c>
      <x:c r="G214" s="30" t="str">
        <x:v># Authoritative benchmark gold evidence
The following evidence is authoritative for answering the current question. Use it directly and do not rely on conflicting information.
Evidence 1
Memory type: Persona Memory
Content: Martin's pet preference for parrots now includes a focus on conservation and ethical considerations.</x:v>
      </x:c>
      <x:c r="H214" s="30" t="str">
        <x:v>Parrots and turtles.</x:v>
      </x:c>
      <x:c r="I214" s="30" t="str">
        <x:v>Parrots with conservation focus.</x:v>
      </x:c>
      <x:c r="J214" s="30" t="str">
        <x:v>Parrots with conservation focus.</x:v>
      </x:c>
      <x:c r="K214" s="30" t="str">
        <x:v>Parrots with conservation focus.</x:v>
      </x:c>
      <x:c r="L214" s="33" t="str"/>
      <x:c r="M214" s="33" t="str"/>
      <x:c r="N214" s="33" t="str"/>
      <x:c r="O214" s="33" t="str"/>
      <x:c r="P214" s="30" t="str">
        <x:f>IF(COUNTA(L214:O214)&lt;4,"未完成",IF(OR(L214="部分",L214="不充分",L214="不确定"),"evidence_definition_failure",IF(L214&lt;&gt;"充分","unresolved",IF(COUNTIF(M214:O214,"C")=0,"robust_generation_failure",IF(COUNTIF(M214:O214,"C")=3,"ua3_representation_or_admission_failure","generation_instability")))))</x:f>
        <x:v>unresolved</x:v>
      </x:c>
      <x:c r="Q214" s="33" t="str"/>
      <x:c r="R214" s="33" t="str"/>
      <x:c r="S214" s="33" t="str"/>
      <x:c r="T214" s="36"/>
      <x:c r="U214" s="33" t="str"/>
      <x:c r="V214" s="30" t="str">
        <x:f>IF(AND(L214&lt;&gt;"",M214&lt;&gt;"",N214&lt;&gt;"",O214&lt;&gt;"",Q214&lt;&gt;"",R214&lt;&gt;""),"完成","未完成")</x:f>
        <x:v>未完成</x:v>
      </x:c>
    </x:row>
    <x:row r="215" ht="63" customHeight="1">
      <x:c r="A215" s="30" t="n">
        <x:v>214</x:v>
      </x:c>
      <x:c r="B215" s="30" t="str">
        <x:v>memos_medium:539</x:v>
      </x:c>
      <x:c r="C215" s="30" t="str">
        <x:v>medium</x:v>
      </x:c>
      <x:c r="D215" s="30" t="str">
        <x:v>Generalization &amp; Application</x:v>
      </x:c>
      <x:c r="E215" s="30" t="str">
        <x:v>How might Sarah Garcia's leadership style influence her team's performance in 2026?</x:v>
      </x:c>
      <x:c r="F215" s="30" t="str">
        <x:v>Through empathetic interactions and open communication.</x:v>
      </x:c>
      <x:c r="G215" s="30" t="str">
        <x:v># Authoritative benchmark gold evidence
The following evidence is authoritative for answering the current question. Use it directly and do not rely on conflicting information.
Evidence 1
Memory type: Persona Memory
Content: Sarah Garcia seeks empathetic interactions, which align with her leadership style and emotional motivation type.
Evidence 2
Memory type: Relationship Memory
Content: Sarah Garcia encourages open communication and provides opportunities for professional growth to support and motivate her team.</x:v>
      </x:c>
      <x:c r="H215" s="30" t="str">
        <x:v>Not enough information.</x:v>
      </x:c>
      <x:c r="I215" s="30" t="str">
        <x:v>Enhances team performance.</x:v>
      </x:c>
      <x:c r="J215" s="30" t="str">
        <x:v>Enhances team performance.</x:v>
      </x:c>
      <x:c r="K215" s="30" t="str">
        <x:v>Enhances team performance.</x:v>
      </x:c>
      <x:c r="L215" s="33" t="str"/>
      <x:c r="M215" s="33" t="str"/>
      <x:c r="N215" s="33" t="str"/>
      <x:c r="O215" s="33" t="str"/>
      <x:c r="P215" s="30" t="str">
        <x:f>IF(COUNTA(L215:O215)&lt;4,"未完成",IF(OR(L215="部分",L215="不充分",L215="不确定"),"evidence_definition_failure",IF(L215&lt;&gt;"充分","unresolved",IF(COUNTIF(M215:O215,"C")=0,"robust_generation_failure",IF(COUNTIF(M215:O215,"C")=3,"ua3_representation_or_admission_failure","generation_instability")))))</x:f>
        <x:v>unresolved</x:v>
      </x:c>
      <x:c r="Q215" s="33" t="str"/>
      <x:c r="R215" s="33" t="str"/>
      <x:c r="S215" s="33" t="str"/>
      <x:c r="T215" s="36"/>
      <x:c r="U215" s="33" t="str"/>
      <x:c r="V215" s="30" t="str">
        <x:f>IF(AND(L215&lt;&gt;"",M215&lt;&gt;"",N215&lt;&gt;"",O215&lt;&gt;"",Q215&lt;&gt;"",R215&lt;&gt;""),"完成","未完成")</x:f>
        <x:v>未完成</x:v>
      </x:c>
    </x:row>
    <x:row r="216" ht="63" customHeight="1">
      <x:c r="A216" s="30" t="n">
        <x:v>215</x:v>
      </x:c>
      <x:c r="B216" s="30" t="str">
        <x:v>memos_long:3201</x:v>
      </x:c>
      <x:c r="C216" s="30" t="str">
        <x:v>long</x:v>
      </x:c>
      <x:c r="D216" s="30" t="str">
        <x:v>Generalization &amp; Application</x:v>
      </x:c>
      <x:c r="E216" s="30" t="str">
        <x:v>How might Barbara Jones's clothing preferences influence her choice of attire for a professional event in March 2035?</x:v>
      </x:c>
      <x:c r="F216" s="30" t="str">
        <x:v>She would likely choose smart casual attire.</x:v>
      </x:c>
      <x:c r="G216" s="30" t="str">
        <x:v># Authoritative benchmark gold evidence
The following evidence is authoritative for answering the current question. Use it directly and do not rely on conflicting information.
Evidence 1
Memory type: Persona Memory
Content: Barbara Jones modified her clothing preference from casual wear to smart casual wear, enhancing her confidence and productivity.
Evidence 2
Memory type: Persona Memory
Content: Barbara Jones realized that smart casual attire boosts her confidence and productivity while maintaining comfort.
Evidence 3
Memory type: Persona Memory
Content: Barbara Jones expressed satisfaction with her new clothing preference, noting its positive impact on her professional confidence.</x:v>
      </x:c>
      <x:c r="H216" s="30" t="str">
        <x:v>Smart casual with vibrant colors.</x:v>
      </x:c>
      <x:c r="I216" s="30" t="str">
        <x:v>Smart casual attire.</x:v>
      </x:c>
      <x:c r="J216" s="30" t="str">
        <x:v>Smart casual attire.</x:v>
      </x:c>
      <x:c r="K216" s="30" t="str">
        <x:v>Smart casual attire.</x:v>
      </x:c>
      <x:c r="L216" s="33" t="str"/>
      <x:c r="M216" s="33" t="str"/>
      <x:c r="N216" s="33" t="str"/>
      <x:c r="O216" s="33" t="str"/>
      <x:c r="P216" s="30" t="str">
        <x:f>IF(COUNTA(L216:O216)&lt;4,"未完成",IF(OR(L216="部分",L216="不充分",L216="不确定"),"evidence_definition_failure",IF(L216&lt;&gt;"充分","unresolved",IF(COUNTIF(M216:O216,"C")=0,"robust_generation_failure",IF(COUNTIF(M216:O216,"C")=3,"ua3_representation_or_admission_failure","generation_instability")))))</x:f>
        <x:v>unresolved</x:v>
      </x:c>
      <x:c r="Q216" s="33" t="str"/>
      <x:c r="R216" s="33" t="str"/>
      <x:c r="S216" s="33" t="str"/>
      <x:c r="T216" s="36"/>
      <x:c r="U216" s="33" t="str"/>
      <x:c r="V216" s="30" t="str">
        <x:f>IF(AND(L216&lt;&gt;"",M216&lt;&gt;"",N216&lt;&gt;"",O216&lt;&gt;"",Q216&lt;&gt;"",R216&lt;&gt;""),"完成","未完成")</x:f>
        <x:v>未完成</x:v>
      </x:c>
    </x:row>
    <x:row r="217" ht="63" customHeight="1">
      <x:c r="A217" s="30" t="n">
        <x:v>216</x:v>
      </x:c>
      <x:c r="B217" s="30" t="str">
        <x:v>memos_long:2169</x:v>
      </x:c>
      <x:c r="C217" s="30" t="str">
        <x:v>long</x:v>
      </x:c>
      <x:c r="D217" s="30" t="str">
        <x:v>Generalization &amp; Application</x:v>
      </x:c>
      <x:c r="E217" s="30" t="str">
        <x:v>What new recipe might Sharon Brown enjoy trying based on her preferences as of Sep 16, 2031?</x:v>
      </x:c>
      <x:c r="F217" s="30" t="str">
        <x:v>A honey-glazed salmon recipe.</x:v>
      </x:c>
      <x:c r="G217" s="30" t="str">
        <x:v># Authoritative benchmark gold evidence
The following evidence is authoritative for answering the current question. Use it directly and do not rely on conflicting information.
Evidence 1
Memory type: Persona Memory
Content: Sharon Brown expressed excitement about the new maple-glazed salmon recipe, highlighting its sweet, Canadian twist.
Evidence 2
Memory type: Persona Memory
Content: Sharon Brown values maintaining health benefits while exploring new flavors in her diet.
Evidence 3
Memory type: Persona Memory
Content: Sharon Brown expressed a desire to continue exploring diverse recipes that align with her health-conscious lifestyle.</x:v>
      </x:c>
      <x:c r="H217" s="30" t="str">
        <x:v>Maple-glazed salmon</x:v>
      </x:c>
      <x:c r="I217" s="30" t="str">
        <x:v>Maple-glazed salmon recipe</x:v>
      </x:c>
      <x:c r="J217" s="30" t="str">
        <x:v>Maple-glazed salmon recipe</x:v>
      </x:c>
      <x:c r="K217" s="30" t="str">
        <x:v>Maple-glazed salmon recipe</x:v>
      </x:c>
      <x:c r="L217" s="33" t="str"/>
      <x:c r="M217" s="33" t="str"/>
      <x:c r="N217" s="33" t="str"/>
      <x:c r="O217" s="33" t="str"/>
      <x:c r="P217" s="30" t="str">
        <x:f>IF(COUNTA(L217:O217)&lt;4,"未完成",IF(OR(L217="部分",L217="不充分",L217="不确定"),"evidence_definition_failure",IF(L217&lt;&gt;"充分","unresolved",IF(COUNTIF(M217:O217,"C")=0,"robust_generation_failure",IF(COUNTIF(M217:O217,"C")=3,"ua3_representation_or_admission_failure","generation_instability")))))</x:f>
        <x:v>unresolved</x:v>
      </x:c>
      <x:c r="Q217" s="33" t="str"/>
      <x:c r="R217" s="33" t="str"/>
      <x:c r="S217" s="33" t="str"/>
      <x:c r="T217" s="36"/>
      <x:c r="U217" s="33" t="str"/>
      <x:c r="V217" s="30" t="str">
        <x:f>IF(AND(L217&lt;&gt;"",M217&lt;&gt;"",N217&lt;&gt;"",O217&lt;&gt;"",Q217&lt;&gt;"",R217&lt;&gt;""),"完成","未完成")</x:f>
        <x:v>未完成</x:v>
      </x:c>
    </x:row>
    <x:row r="218" ht="63" customHeight="1">
      <x:c r="A218" s="30" t="n">
        <x:v>217</x:v>
      </x:c>
      <x:c r="B218" s="30" t="str">
        <x:v>memos_medium:2623</x:v>
      </x:c>
      <x:c r="C218" s="30" t="str">
        <x:v>medium</x:v>
      </x:c>
      <x:c r="D218" s="30" t="str">
        <x:v>Generalization &amp; Application</x:v>
      </x:c>
      <x:c r="E218" s="30" t="str">
        <x:v>What new music genre might Oleksandr explore next, considering his commitment to social justice?</x:v>
      </x:c>
      <x:c r="F218" s="30" t="str">
        <x:v>Oleksandr might explore protest folk music.</x:v>
      </x:c>
      <x:c r="G218" s="30" t="str">
        <x:v># Authoritative benchmark gold evidence
The following evidence is authoritative for answering the current question. Use it directly and do not rely on conflicting information.
Evidence 1
Memory type: Persona Memory
Content: Oleksandr now appreciates heavy metal with social commentary because he discovered bands whose lyrics address social issues, which aligns with his commitment to social justice.
Evidence 2
Memory type: Persona Memory
Content: Oleksandr uses music as a tool for connecting with cultural narratives and social issues, reflecting his commitment to social justice.
Evidence 3
Memory type: Persona Memory
Content: Oleksandr's commitment to social justice influences his music preferences, seeking genres that resonate with his values.</x:v>
      </x:c>
      <x:c r="H218" s="30" t="str">
        <x:v>Classical music for justice.</x:v>
      </x:c>
      <x:c r="I218" s="30" t="str">
        <x:v>Heavy metal with social commentary.</x:v>
      </x:c>
      <x:c r="J218" s="30" t="str">
        <x:v>Heavy metal with social commentary.</x:v>
      </x:c>
      <x:c r="K218" s="30" t="str">
        <x:v>Heavy metal with social commentary.</x:v>
      </x:c>
      <x:c r="L218" s="33" t="str"/>
      <x:c r="M218" s="33" t="str"/>
      <x:c r="N218" s="33" t="str"/>
      <x:c r="O218" s="33" t="str"/>
      <x:c r="P218" s="30" t="str">
        <x:f>IF(COUNTA(L218:O218)&lt;4,"未完成",IF(OR(L218="部分",L218="不充分",L218="不确定"),"evidence_definition_failure",IF(L218&lt;&gt;"充分","unresolved",IF(COUNTIF(M218:O218,"C")=0,"robust_generation_failure",IF(COUNTIF(M218:O218,"C")=3,"ua3_representation_or_admission_failure","generation_instability")))))</x:f>
        <x:v>unresolved</x:v>
      </x:c>
      <x:c r="Q218" s="33" t="str"/>
      <x:c r="R218" s="33" t="str"/>
      <x:c r="S218" s="33" t="str"/>
      <x:c r="T218" s="36"/>
      <x:c r="U218" s="33" t="str"/>
      <x:c r="V218" s="30" t="str">
        <x:f>IF(AND(L218&lt;&gt;"",M218&lt;&gt;"",N218&lt;&gt;"",O218&lt;&gt;"",Q218&lt;&gt;"",R218&lt;&gt;""),"完成","未完成")</x:f>
        <x:v>未完成</x:v>
      </x:c>
    </x:row>
    <x:row r="219" ht="63" customHeight="1">
      <x:c r="A219" s="30" t="n">
        <x:v>218</x:v>
      </x:c>
      <x:c r="B219" s="30" t="str">
        <x:v>memos_medium:1530</x:v>
      </x:c>
      <x:c r="C219" s="30" t="str">
        <x:v>medium</x:v>
      </x:c>
      <x:c r="D219" s="30" t="str">
        <x:v>Dynamic Update</x:v>
      </x:c>
      <x:c r="E219" s="30" t="str">
        <x:v>What is the latest change in Jennifer Martin's mental health status as of Feb 10, 2032?</x:v>
      </x:c>
      <x:c r="F219" s="30" t="str">
        <x:v>Anxious due to job loss-related stress.</x:v>
      </x:c>
      <x:c r="G219" s="30" t="str">
        <x:v># Authoritative benchmark gold evidence
The following evidence is authoritative for answering the current question. Use it directly and do not rely on conflicting information.
Evidence 1
Memory type: Persona Memory
Content: Jennifer Martin's mental health status changed from 'Stable and Normal' to 'Anxious'.
Evidence 2
Memory type: Persona Memory
Content: Jennifer Martin was diagnosed with job loss-related stress.</x:v>
      </x:c>
      <x:c r="H219" s="30" t="str">
        <x:v>No change mentioned.</x:v>
      </x:c>
      <x:c r="I219" s="30" t="str">
        <x:v>Anxious</x:v>
      </x:c>
      <x:c r="J219" s="30" t="str">
        <x:v>Anxious</x:v>
      </x:c>
      <x:c r="K219" s="30" t="str">
        <x:v>Anxious</x:v>
      </x:c>
      <x:c r="L219" s="33" t="str"/>
      <x:c r="M219" s="33" t="str"/>
      <x:c r="N219" s="33" t="str"/>
      <x:c r="O219" s="33" t="str"/>
      <x:c r="P219" s="30" t="str">
        <x:f>IF(COUNTA(L219:O219)&lt;4,"未完成",IF(OR(L219="部分",L219="不充分",L219="不确定"),"evidence_definition_failure",IF(L219&lt;&gt;"充分","unresolved",IF(COUNTIF(M219:O219,"C")=0,"robust_generation_failure",IF(COUNTIF(M219:O219,"C")=3,"ua3_representation_or_admission_failure","generation_instability")))))</x:f>
        <x:v>unresolved</x:v>
      </x:c>
      <x:c r="Q219" s="33" t="str"/>
      <x:c r="R219" s="33" t="str"/>
      <x:c r="S219" s="33" t="str"/>
      <x:c r="T219" s="36"/>
      <x:c r="U219" s="33" t="str"/>
      <x:c r="V219" s="30" t="str">
        <x:f>IF(AND(L219&lt;&gt;"",M219&lt;&gt;"",N219&lt;&gt;"",O219&lt;&gt;"",Q219&lt;&gt;"",R219&lt;&gt;""),"完成","未完成")</x:f>
        <x:v>未完成</x:v>
      </x:c>
    </x:row>
    <x:row r="220" ht="63" customHeight="1">
      <x:c r="A220" s="30" t="n">
        <x:v>219</x:v>
      </x:c>
      <x:c r="B220" s="30" t="str">
        <x:v>memos_medium:1332</x:v>
      </x:c>
      <x:c r="C220" s="30" t="str">
        <x:v>medium</x:v>
      </x:c>
      <x:c r="D220" s="30" t="str">
        <x:v>Generalization &amp; Application</x:v>
      </x:c>
      <x:c r="E220" s="30" t="str">
        <x:v>What strategies might Ananya Sharma consider to better manage pet care and work-life balance as of April 16, 2030?</x:v>
      </x:c>
      <x:c r="F220" s="30" t="str">
        <x:v>Integrate pet care strategies into her daily routine.</x:v>
      </x:c>
      <x:c r="G220" s="30" t="str">
        <x:v># Authoritative benchmark gold evidence
The following evidence is authoritative for answering the current question. Use it directly and do not rely on conflicting information.
Evidence 1
Memory type: Event Memory
Content: Ananya Sharma plans to integrate pet care strategies into her daily routine to maintain balance.
Evidence 2
Memory type: Event Memory
Content: Ananya Sharma's clarificatory motivation led her to explore strategies for better managing pet care responsibilities.
Evidence 3
Memory type: Persona Memory
Content: Ananya Sharma seeks perspective on balancing pet ownership responsibilities with personal commitments.</x:v>
      </x:c>
      <x:c r="H220" s="30" t="str">
        <x:v>Connecting with other pet owners.</x:v>
      </x:c>
      <x:c r="I220" s="30" t="str">
        <x:v>Integrate pet care strategies daily.</x:v>
      </x:c>
      <x:c r="J220" s="30" t="str">
        <x:v>Integrate pet care strategies daily.</x:v>
      </x:c>
      <x:c r="K220" s="30" t="str">
        <x:v>Integrate pet care strategies daily.</x:v>
      </x:c>
      <x:c r="L220" s="33" t="str"/>
      <x:c r="M220" s="33" t="str"/>
      <x:c r="N220" s="33" t="str"/>
      <x:c r="O220" s="33" t="str"/>
      <x:c r="P220" s="30" t="str">
        <x:f>IF(COUNTA(L220:O220)&lt;4,"未完成",IF(OR(L220="部分",L220="不充分",L220="不确定"),"evidence_definition_failure",IF(L220&lt;&gt;"充分","unresolved",IF(COUNTIF(M220:O220,"C")=0,"robust_generation_failure",IF(COUNTIF(M220:O220,"C")=3,"ua3_representation_or_admission_failure","generation_instability")))))</x:f>
        <x:v>unresolved</x:v>
      </x:c>
      <x:c r="Q220" s="33" t="str"/>
      <x:c r="R220" s="33" t="str"/>
      <x:c r="S220" s="33" t="str"/>
      <x:c r="T220" s="36"/>
      <x:c r="U220" s="33" t="str"/>
      <x:c r="V220" s="30" t="str">
        <x:f>IF(AND(L220&lt;&gt;"",M220&lt;&gt;"",N220&lt;&gt;"",O220&lt;&gt;"",Q220&lt;&gt;"",R220&lt;&gt;""),"完成","未完成")</x:f>
        <x:v>未完成</x:v>
      </x:c>
    </x:row>
    <x:row r="221" ht="63" customHeight="1">
      <x:c r="A221" s="30" t="n">
        <x:v>220</x:v>
      </x:c>
      <x:c r="B221" s="30" t="str">
        <x:v>memos_medium:120</x:v>
      </x:c>
      <x:c r="C221" s="30" t="str">
        <x:v>medium</x:v>
      </x:c>
      <x:c r="D221" s="30" t="str">
        <x:v>Generalization &amp; Application</x:v>
      </x:c>
      <x:c r="E221" s="30" t="str">
        <x:v>What type of leisure activity might Martin Mark explore next based on his interest in narrative-driven games as of 2032-09-28?</x:v>
      </x:c>
      <x:c r="F221" s="30" t="str">
        <x:v>Story-rich books or immersive theater experiences.</x:v>
      </x:c>
      <x:c r="G221" s="30" t="str">
        <x:v># Authoritative benchmark gold evidence
The following evidence is authoritative for answering the current question. Use it directly and do not rely on conflicting information.
Evidence 1
Memory type: Persona Memory
Content: Martin Mark's game preference has evolved to include narrative-driven games for their storytelling and immersive experiences.
Evidence 2
Memory type: Persona Memory
Content: Martin Mark expressed excitement about exploring narrative-driven games for relaxation and entertainment.
Evidence 3
Memory type: Persona Memory
Content: Martin Mark's exploratory motivation leads him to test boundaries and expand perspectives through narrative-driven games.</x:v>
      </x:c>
      <x:c r="H221" s="30" t="str">
        <x:v>Narrative-driven games</x:v>
      </x:c>
      <x:c r="I221" s="30" t="str">
        <x:v>Narrative-driven games</x:v>
      </x:c>
      <x:c r="J221" s="30" t="str">
        <x:v>Narrative-driven games</x:v>
      </x:c>
      <x:c r="K221" s="30" t="str">
        <x:v>Narrative-driven games</x:v>
      </x:c>
      <x:c r="L221" s="33" t="str"/>
      <x:c r="M221" s="33" t="str"/>
      <x:c r="N221" s="33" t="str"/>
      <x:c r="O221" s="33" t="str"/>
      <x:c r="P221" s="30" t="str">
        <x:f>IF(COUNTA(L221:O221)&lt;4,"未完成",IF(OR(L221="部分",L221="不充分",L221="不确定"),"evidence_definition_failure",IF(L221&lt;&gt;"充分","unresolved",IF(COUNTIF(M221:O221,"C")=0,"robust_generation_failure",IF(COUNTIF(M221:O221,"C")=3,"ua3_representation_or_admission_failure","generation_instability")))))</x:f>
        <x:v>unresolved</x:v>
      </x:c>
      <x:c r="Q221" s="33" t="str"/>
      <x:c r="R221" s="33" t="str"/>
      <x:c r="S221" s="33" t="str"/>
      <x:c r="T221" s="36"/>
      <x:c r="U221" s="33" t="str"/>
      <x:c r="V221" s="30" t="str">
        <x:f>IF(AND(L221&lt;&gt;"",M221&lt;&gt;"",N221&lt;&gt;"",O221&lt;&gt;"",Q221&lt;&gt;"",R221&lt;&gt;""),"完成","未完成")</x:f>
        <x:v>未完成</x:v>
      </x:c>
    </x:row>
    <x:row r="222" ht="63" customHeight="1">
      <x:c r="A222" s="30" t="n">
        <x:v>221</x:v>
      </x:c>
      <x:c r="B222" s="30" t="str">
        <x:v>memos_long:19</x:v>
      </x:c>
      <x:c r="C222" s="30" t="str">
        <x:v>long</x:v>
      </x:c>
      <x:c r="D222" s="30" t="str">
        <x:v>Multi-hop Inference</x:v>
      </x:c>
      <x:c r="E222" s="30" t="str">
        <x:v>What was the main reason Martin wanted to change his career according to dialogues on December 15, 2025?</x:v>
      </x:c>
      <x:c r="F222" s="30" t="str">
        <x:v>Impact on his mental health.</x:v>
      </x:c>
      <x:c r="G222" s="30" t="str">
        <x:v># Authoritative benchmark gold evidence
The following evidence is authoritative for answering the current question. Use it directly and do not rely on conflicting information.
Evidence 1
Memory type: Event Memory
Content: Martin Mark is considering a career change due to the impact of his current role on his mental health.
Evidence 2
Memory type: Event Memory
Content: Martin Mark's current job as director at Huaxin Consulting is negatively affecting his mental health.</x:v>
      </x:c>
      <x:c r="H222" s="30" t="str">
        <x:v>Improve healthcare access.</x:v>
      </x:c>
      <x:c r="I222" s="30" t="str">
        <x:v>Mental health impact</x:v>
      </x:c>
      <x:c r="J222" s="30" t="str">
        <x:v>Mental health impact</x:v>
      </x:c>
      <x:c r="K222" s="30" t="str">
        <x:v>Mental health impact</x:v>
      </x:c>
      <x:c r="L222" s="33" t="str"/>
      <x:c r="M222" s="33" t="str"/>
      <x:c r="N222" s="33" t="str"/>
      <x:c r="O222" s="33" t="str"/>
      <x:c r="P222" s="30" t="str">
        <x:f>IF(COUNTA(L222:O222)&lt;4,"未完成",IF(OR(L222="部分",L222="不充分",L222="不确定"),"evidence_definition_failure",IF(L222&lt;&gt;"充分","unresolved",IF(COUNTIF(M222:O222,"C")=0,"robust_generation_failure",IF(COUNTIF(M222:O222,"C")=3,"ua3_representation_or_admission_failure","generation_instability")))))</x:f>
        <x:v>unresolved</x:v>
      </x:c>
      <x:c r="Q222" s="33" t="str"/>
      <x:c r="R222" s="33" t="str"/>
      <x:c r="S222" s="33" t="str"/>
      <x:c r="T222" s="36"/>
      <x:c r="U222" s="33" t="str"/>
      <x:c r="V222" s="30" t="str">
        <x:f>IF(AND(L222&lt;&gt;"",M222&lt;&gt;"",N222&lt;&gt;"",O222&lt;&gt;"",Q222&lt;&gt;"",R222&lt;&gt;""),"完成","未完成")</x:f>
        <x:v>未完成</x:v>
      </x:c>
    </x:row>
    <x:row r="223" ht="63" customHeight="1">
      <x:c r="A223" s="30" t="n">
        <x:v>222</x:v>
      </x:c>
      <x:c r="B223" s="30" t="str">
        <x:v>memos_medium:3255</x:v>
      </x:c>
      <x:c r="C223" s="30" t="str">
        <x:v>medium</x:v>
      </x:c>
      <x:c r="D223" s="30" t="str">
        <x:v>Generalization &amp; Application</x:v>
      </x:c>
      <x:c r="E223" s="30" t="str">
        <x:v>What herbal ingredients might Barbara explore to complement hibiscus for heart health benefits?</x:v>
      </x:c>
      <x:c r="F223" s="30" t="str">
        <x:v>Ingredients that reduce blood pressure and promote relaxation.</x:v>
      </x:c>
      <x:c r="G223" s="30" t="str">
        <x:v># Authoritative benchmark gold evidence
The following evidence is authoritative for answering the current question. Use it directly and do not rely on conflicting information.
Evidence 1
Memory type: Event Memory
Content: Barbara Jones plans to explore additional herbal ingredients that complement hibiscus for maximum health benefits.
Evidence 2
Memory type: Event Memory
Content: Barbara Jones discovered hibiscus's potential in reducing blood pressure and incorporated it into her herbal tea routine.
Evidence 3
Memory type: Event Memory
Content: Barbara Jones felt more relaxed after incorporating hibiscus into her evening routine.</x:v>
      </x:c>
      <x:c r="H223" s="30" t="str">
        <x:v>Hawthorn, garlic, or turmeric.</x:v>
      </x:c>
      <x:c r="I223" s="30" t="str">
        <x:v>Additional herbal ingredients</x:v>
      </x:c>
      <x:c r="J223" s="30" t="str">
        <x:v>Additional herbal ingredients</x:v>
      </x:c>
      <x:c r="K223" s="30" t="str">
        <x:v>Additional herbal ingredients</x:v>
      </x:c>
      <x:c r="L223" s="33" t="str"/>
      <x:c r="M223" s="33" t="str"/>
      <x:c r="N223" s="33" t="str"/>
      <x:c r="O223" s="33" t="str"/>
      <x:c r="P223" s="30" t="str">
        <x:f>IF(COUNTA(L223:O223)&lt;4,"未完成",IF(OR(L223="部分",L223="不充分",L223="不确定"),"evidence_definition_failure",IF(L223&lt;&gt;"充分","unresolved",IF(COUNTIF(M223:O223,"C")=0,"robust_generation_failure",IF(COUNTIF(M223:O223,"C")=3,"ua3_representation_or_admission_failure","generation_instability")))))</x:f>
        <x:v>unresolved</x:v>
      </x:c>
      <x:c r="Q223" s="33" t="str"/>
      <x:c r="R223" s="33" t="str"/>
      <x:c r="S223" s="33" t="str"/>
      <x:c r="T223" s="36"/>
      <x:c r="U223" s="33" t="str"/>
      <x:c r="V223" s="30" t="str">
        <x:f>IF(AND(L223&lt;&gt;"",M223&lt;&gt;"",N223&lt;&gt;"",O223&lt;&gt;"",Q223&lt;&gt;"",R223&lt;&gt;""),"完成","未完成")</x:f>
        <x:v>未完成</x:v>
      </x:c>
    </x:row>
    <x:row r="224" ht="63" customHeight="1">
      <x:c r="A224" s="30" t="n">
        <x:v>223</x:v>
      </x:c>
      <x:c r="B224" s="30" t="str">
        <x:v>memos_long:2452</x:v>
      </x:c>
      <x:c r="C224" s="30" t="str">
        <x:v>long</x:v>
      </x:c>
      <x:c r="D224" s="30" t="str">
        <x:v>Generalization &amp; Application</x:v>
      </x:c>
      <x:c r="E224" s="30" t="str">
        <x:v>What type of music might Steven prefer during a busy workday in 2027?</x:v>
      </x:c>
      <x:c r="F224" s="30" t="str">
        <x:v>Ambient music for concentration.</x:v>
      </x:c>
      <x:c r="G224" s="30" t="str">
        <x:v># Authoritative benchmark gold evidence
The following evidence is authoritative for answering the current question. Use it directly and do not rely on conflicting information.
Evidence 1
Memory type: Persona Memory
Content: Steven Miller's music preference has evolved to include ambient music for its soothing qualities that aid concentration during work.
Evidence 2
Memory type: Persona Memory
Content: Steven Miller finds ambient music soothing and it helps maintain concentration without being intrusive while working.
Evidence 3
Memory type: Event Memory
Content: During a stressful trading day, Steven Miller switched from electronic to ambient music to improve focus and decision-making.</x:v>
      </x:c>
      <x:c r="H224" s="30" t="str">
        <x:v>Ambient and jazz music.</x:v>
      </x:c>
      <x:c r="I224" s="30" t="str">
        <x:v>Ambient music</x:v>
      </x:c>
      <x:c r="J224" s="30" t="str">
        <x:v>Ambient music</x:v>
      </x:c>
      <x:c r="K224" s="30" t="str">
        <x:v>Ambient music</x:v>
      </x:c>
      <x:c r="L224" s="33" t="str"/>
      <x:c r="M224" s="33" t="str"/>
      <x:c r="N224" s="33" t="str"/>
      <x:c r="O224" s="33" t="str"/>
      <x:c r="P224" s="30" t="str">
        <x:f>IF(COUNTA(L224:O224)&lt;4,"未完成",IF(OR(L224="部分",L224="不充分",L224="不确定"),"evidence_definition_failure",IF(L224&lt;&gt;"充分","unresolved",IF(COUNTIF(M224:O224,"C")=0,"robust_generation_failure",IF(COUNTIF(M224:O224,"C")=3,"ua3_representation_or_admission_failure","generation_instability")))))</x:f>
        <x:v>unresolved</x:v>
      </x:c>
      <x:c r="Q224" s="33" t="str"/>
      <x:c r="R224" s="33" t="str"/>
      <x:c r="S224" s="33" t="str"/>
      <x:c r="T224" s="36"/>
      <x:c r="U224" s="33" t="str"/>
      <x:c r="V224" s="30" t="str">
        <x:f>IF(AND(L224&lt;&gt;"",M224&lt;&gt;"",N224&lt;&gt;"",O224&lt;&gt;"",Q224&lt;&gt;"",R224&lt;&gt;""),"完成","未完成")</x:f>
        <x:v>未完成</x:v>
      </x:c>
    </x:row>
    <x:row r="225" ht="63" customHeight="1">
      <x:c r="A225" s="30" t="n">
        <x:v>224</x:v>
      </x:c>
      <x:c r="B225" s="30" t="str">
        <x:v>memos_medium:1360</x:v>
      </x:c>
      <x:c r="C225" s="30" t="str">
        <x:v>medium</x:v>
      </x:c>
      <x:c r="D225" s="30" t="str">
        <x:v>Generalization &amp; Application</x:v>
      </x:c>
      <x:c r="E225" s="30" t="str">
        <x:v>What new sport might Ananya Sharma explore next based on her interest in strategic depth?</x:v>
      </x:c>
      <x:c r="F225" s="30" t="str">
        <x:v>Chess, due to its strategic nature.</x:v>
      </x:c>
      <x:c r="G225" s="30" t="str">
        <x:v>#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x:v>
      </x:c>
      <x:c r="H225" s="30" t="str">
        <x:v>Golf</x:v>
      </x:c>
      <x:c r="I225" s="30" t="str">
        <x:v>Golf or boxing</x:v>
      </x:c>
      <x:c r="J225" s="30" t="str">
        <x:v>Golf or boxing</x:v>
      </x:c>
      <x:c r="K225" s="30" t="str">
        <x:v>Golf or boxing</x:v>
      </x:c>
      <x:c r="L225" s="33" t="str"/>
      <x:c r="M225" s="33" t="str"/>
      <x:c r="N225" s="33" t="str"/>
      <x:c r="O225" s="33" t="str"/>
      <x:c r="P225" s="30" t="str">
        <x:f>IF(COUNTA(L225:O225)&lt;4,"未完成",IF(OR(L225="部分",L225="不充分",L225="不确定"),"evidence_definition_failure",IF(L225&lt;&gt;"充分","unresolved",IF(COUNTIF(M225:O225,"C")=0,"robust_generation_failure",IF(COUNTIF(M225:O225,"C")=3,"ua3_representation_or_admission_failure","generation_instability")))))</x:f>
        <x:v>unresolved</x:v>
      </x:c>
      <x:c r="Q225" s="33" t="str"/>
      <x:c r="R225" s="33" t="str"/>
      <x:c r="S225" s="33" t="str"/>
      <x:c r="T225" s="36"/>
      <x:c r="U225" s="33" t="str"/>
      <x:c r="V225" s="30" t="str">
        <x:f>IF(AND(L225&lt;&gt;"",M225&lt;&gt;"",N225&lt;&gt;"",O225&lt;&gt;"",Q225&lt;&gt;"",R225&lt;&gt;""),"完成","未完成")</x:f>
        <x:v>未完成</x:v>
      </x:c>
    </x:row>
    <x:row r="226" ht="63" customHeight="1">
      <x:c r="A226" s="30" t="n">
        <x:v>225</x:v>
      </x:c>
      <x:c r="B226" s="30" t="str">
        <x:v>memos_long:3300</x:v>
      </x:c>
      <x:c r="C226" s="30" t="str">
        <x:v>long</x:v>
      </x:c>
      <x:c r="D226" s="30" t="str">
        <x:v>Memory Conflict</x:v>
      </x:c>
      <x:c r="E226" s="30" t="str">
        <x:v>Who is Christopher Anderson's colleague at Senior Care Therapy Center, if it's Andrew Williams?</x:v>
      </x:c>
      <x:c r="F226" s="30" t="str">
        <x:v>Christopher Anderson's colleague is Sarah Williams, not Andrew Williams.</x:v>
      </x:c>
      <x:c r="G226" s="30" t="str">
        <x:v># Authoritative benchmark gold evidence
The following evidence is authoritative for answering the current question. Use it directly and do not rely on conflicting information.
Evidence 1
Memory type: Relationship Memory
Content: Christopher Anderson's Colleague WilliamsSarah, Sarah is a fellow therapist at the center, and her dedication to patient care inspires me to improve my own practices.</x:v>
      </x:c>
      <x:c r="H226" s="30" t="str">
        <x:v>Andrew Williams</x:v>
      </x:c>
      <x:c r="I226" s="30" t="str">
        <x:v>Sarah Williams</x:v>
      </x:c>
      <x:c r="J226" s="30" t="str">
        <x:v>Sarah Williams</x:v>
      </x:c>
      <x:c r="K226" s="30" t="str">
        <x:v>Sarah Williams</x:v>
      </x:c>
      <x:c r="L226" s="33" t="str"/>
      <x:c r="M226" s="33" t="str"/>
      <x:c r="N226" s="33" t="str"/>
      <x:c r="O226" s="33" t="str"/>
      <x:c r="P226" s="30" t="str">
        <x:f>IF(COUNTA(L226:O226)&lt;4,"未完成",IF(OR(L226="部分",L226="不充分",L226="不确定"),"evidence_definition_failure",IF(L226&lt;&gt;"充分","unresolved",IF(COUNTIF(M226:O226,"C")=0,"robust_generation_failure",IF(COUNTIF(M226:O226,"C")=3,"ua3_representation_or_admission_failure","generation_instability")))))</x:f>
        <x:v>unresolved</x:v>
      </x:c>
      <x:c r="Q226" s="33" t="str"/>
      <x:c r="R226" s="33" t="str"/>
      <x:c r="S226" s="33" t="str"/>
      <x:c r="T226" s="36"/>
      <x:c r="U226" s="33" t="str"/>
      <x:c r="V226" s="30" t="str">
        <x:f>IF(AND(L226&lt;&gt;"",M226&lt;&gt;"",N226&lt;&gt;"",O226&lt;&gt;"",Q226&lt;&gt;"",R226&lt;&gt;""),"完成","未完成")</x:f>
        <x:v>未完成</x:v>
      </x:c>
    </x:row>
    <x:row r="227" ht="63" customHeight="1">
      <x:c r="A227" s="30" t="n">
        <x:v>226</x:v>
      </x:c>
      <x:c r="B227" s="30" t="str">
        <x:v>memos_medium:1174</x:v>
      </x:c>
      <x:c r="C227" s="30" t="str">
        <x:v>medium</x:v>
      </x:c>
      <x:c r="D227" s="30" t="str">
        <x:v>Generalization &amp; Application</x:v>
      </x:c>
      <x:c r="E227" s="30" t="str">
        <x:v>What could motivate Taylor to maintain his health improvements after Jul 01, 2035?</x:v>
      </x:c>
      <x:c r="F227" s="30" t="str">
        <x:v>Enhanced ability to lead effectively.</x:v>
      </x:c>
      <x:c r="G227" s="30" t="str">
        <x:v># Authoritative benchmark gold evidence
The following evidence is authoritative for answering the current question. Use it directly and do not rely on conflicting information.
Evidence 1
Memory type: Persona Memory
Content: Improved dietary habits, regular exercise, and meditation enhanced Taylor David's physical and mental well-being, enabling him to lead effectively.
Evidence 2
Memory type: Event Memory
Content: Taylor's improved health allowed him to take on additional responsibilities as the Lead Nutrition Advocate, aligning with his goal of revolutionizing pediatric nutrition globally.</x:v>
      </x:c>
      <x:c r="H227" s="30" t="str">
        <x:v>Professional role as advocate.</x:v>
      </x:c>
      <x:c r="I227" s="30" t="str">
        <x:v>Lead Nutrition Advocate role</x:v>
      </x:c>
      <x:c r="J227" s="30" t="str">
        <x:v>Lead Nutrition Advocate role</x:v>
      </x:c>
      <x:c r="K227" s="30" t="str">
        <x:v>Lead Nutrition Advocate role</x:v>
      </x:c>
      <x:c r="L227" s="33" t="str"/>
      <x:c r="M227" s="33" t="str"/>
      <x:c r="N227" s="33" t="str"/>
      <x:c r="O227" s="33" t="str"/>
      <x:c r="P227" s="30" t="str">
        <x:f>IF(COUNTA(L227:O227)&lt;4,"未完成",IF(OR(L227="部分",L227="不充分",L227="不确定"),"evidence_definition_failure",IF(L227&lt;&gt;"充分","unresolved",IF(COUNTIF(M227:O227,"C")=0,"robust_generation_failure",IF(COUNTIF(M227:O227,"C")=3,"ua3_representation_or_admission_failure","generation_instability")))))</x:f>
        <x:v>unresolved</x:v>
      </x:c>
      <x:c r="Q227" s="33" t="str"/>
      <x:c r="R227" s="33" t="str"/>
      <x:c r="S227" s="33" t="str"/>
      <x:c r="T227" s="36"/>
      <x:c r="U227" s="33" t="str"/>
      <x:c r="V227" s="30" t="str">
        <x:f>IF(AND(L227&lt;&gt;"",M227&lt;&gt;"",N227&lt;&gt;"",O227&lt;&gt;"",Q227&lt;&gt;"",R227&lt;&gt;""),"完成","未完成")</x:f>
        <x:v>未完成</x:v>
      </x:c>
    </x:row>
    <x:row r="228" ht="63" customHeight="1">
      <x:c r="A228" s="30" t="n">
        <x:v>227</x:v>
      </x:c>
      <x:c r="B228" s="30" t="str">
        <x:v>memos_long:210</x:v>
      </x:c>
      <x:c r="C228" s="30" t="str">
        <x:v>long</x:v>
      </x:c>
      <x:c r="D228" s="30" t="str">
        <x:v>Generalization &amp; Application</x:v>
      </x:c>
      <x:c r="E228" s="30" t="str">
        <x:v>What stress management techniques might Johnson Joseph find effective based on his experiences by August 20, 2029?</x:v>
      </x:c>
      <x:c r="F228" s="30" t="str">
        <x:v>Mindfulness practices and scheduled downtime.</x:v>
      </x:c>
      <x:c r="G228" s="30" t="str">
        <x:v>#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x:v>
      </x:c>
      <x:c r="H228" s="30" t="str">
        <x:v>Mindfulness and exercise.</x:v>
      </x:c>
      <x:c r="I228" s="30" t="str">
        <x:v>Mindfulness and scheduled downtime.</x:v>
      </x:c>
      <x:c r="J228" s="30" t="str">
        <x:v>Mindfulness and scheduled downtime.</x:v>
      </x:c>
      <x:c r="K228" s="30" t="str">
        <x:v>Mindfulness and scheduled downtime.</x:v>
      </x:c>
      <x:c r="L228" s="33" t="str"/>
      <x:c r="M228" s="33" t="str"/>
      <x:c r="N228" s="33" t="str"/>
      <x:c r="O228" s="33" t="str"/>
      <x:c r="P228" s="30" t="str">
        <x:f>IF(COUNTA(L228:O228)&lt;4,"未完成",IF(OR(L228="部分",L228="不充分",L228="不确定"),"evidence_definition_failure",IF(L228&lt;&gt;"充分","unresolved",IF(COUNTIF(M228:O228,"C")=0,"robust_generation_failure",IF(COUNTIF(M228:O228,"C")=3,"ua3_representation_or_admission_failure","generation_instability")))))</x:f>
        <x:v>unresolved</x:v>
      </x:c>
      <x:c r="Q228" s="33" t="str"/>
      <x:c r="R228" s="33" t="str"/>
      <x:c r="S228" s="33" t="str"/>
      <x:c r="T228" s="36"/>
      <x:c r="U228" s="33" t="str"/>
      <x:c r="V228" s="30" t="str">
        <x:f>IF(AND(L228&lt;&gt;"",M228&lt;&gt;"",N228&lt;&gt;"",O228&lt;&gt;"",Q228&lt;&gt;"",R228&lt;&gt;""),"完成","未完成")</x:f>
        <x:v>未完成</x:v>
      </x:c>
    </x:row>
    <x:row r="229" ht="63" customHeight="1">
      <x:c r="A229" s="30" t="n">
        <x:v>228</x:v>
      </x:c>
      <x:c r="B229" s="30" t="str">
        <x:v>memos_medium:2227</x:v>
      </x:c>
      <x:c r="C229" s="30" t="str">
        <x:v>medium</x:v>
      </x:c>
      <x:c r="D229" s="30" t="str">
        <x:v>Generalization &amp; Application</x:v>
      </x:c>
      <x:c r="E229" s="30" t="str">
        <x:v>What type of dish might Sharon Brown enjoy experimenting with, given her interest in homemade elements and balanced diets as of October 12, 2035?</x:v>
      </x:c>
      <x:c r="F229" s="30" t="str">
        <x:v>Homemade vegetable stir-fry.</x:v>
      </x:c>
      <x:c r="G229" s="30" t="str">
        <x:v># Authoritative benchmark gold evidence
The following evidence is authoritative for answering the current question. Use it directly and do not rely on conflicting information.
Evidence 1
Memory type: Persona Memory
Content: Sharon Brown has developed a preference for Caesar salad with homemade dressing due to its enhanced flavor and freshness.
Evidence 2
Memory type: Persona Memory
Content: Sharon Brown discussed the importance of balancing flavor and health benefits in her diet.
Evidence 3
Memory type: Event Memory
Content: Sharon Brown expressed enthusiasm for culinary exploration, contemplating more homemade elements in her meals.</x:v>
      </x:c>
      <x:c r="H229" s="30" t="str">
        <x:v>Gourmet poutine flavors.</x:v>
      </x:c>
      <x:c r="I229" s="30" t="str">
        <x:v>Caesar salad with dressing.</x:v>
      </x:c>
      <x:c r="J229" s="30" t="str">
        <x:v>Caesar salad with dressing.</x:v>
      </x:c>
      <x:c r="K229" s="30" t="str">
        <x:v>Caesar salad with dressing.</x:v>
      </x:c>
      <x:c r="L229" s="33" t="str"/>
      <x:c r="M229" s="33" t="str"/>
      <x:c r="N229" s="33" t="str"/>
      <x:c r="O229" s="33" t="str"/>
      <x:c r="P229" s="30" t="str">
        <x:f>IF(COUNTA(L229:O229)&lt;4,"未完成",IF(OR(L229="部分",L229="不充分",L229="不确定"),"evidence_definition_failure",IF(L229&lt;&gt;"充分","unresolved",IF(COUNTIF(M229:O229,"C")=0,"robust_generation_failure",IF(COUNTIF(M229:O229,"C")=3,"ua3_representation_or_admission_failure","generation_instability")))))</x:f>
        <x:v>unresolved</x:v>
      </x:c>
      <x:c r="Q229" s="33" t="str"/>
      <x:c r="R229" s="33" t="str"/>
      <x:c r="S229" s="33" t="str"/>
      <x:c r="T229" s="36"/>
      <x:c r="U229" s="33" t="str"/>
      <x:c r="V229" s="30" t="str">
        <x:f>IF(AND(L229&lt;&gt;"",M229&lt;&gt;"",N229&lt;&gt;"",O229&lt;&gt;"",Q229&lt;&gt;"",R229&lt;&gt;""),"完成","未完成")</x:f>
        <x:v>未完成</x:v>
      </x:c>
    </x:row>
    <x:row r="230" ht="63" customHeight="1">
      <x:c r="A230" s="30" t="n">
        <x:v>229</x:v>
      </x:c>
      <x:c r="B230" s="30" t="str">
        <x:v>memos_long:1883</x:v>
      </x:c>
      <x:c r="C230" s="30" t="str">
        <x:v>long</x:v>
      </x:c>
      <x:c r="D230" s="30" t="str">
        <x:v>Memory Conflict</x:v>
      </x:c>
      <x:c r="E230" s="30" t="str">
        <x:v>Did Michelle Hernandez express confidence in managing stress on Sep 15, 2035?</x:v>
      </x:c>
      <x:c r="F230" s="30" t="str">
        <x:v>No, she expressed challenges in managing stress.</x:v>
      </x:c>
      <x:c r="G230" s="30" t="str">
        <x:v># Authoritative benchmark gold evidence
The following evidence is authoritative for answering the current question. Use it directly and do not rely on conflicting information.
Evidence 1
Memory type: Event Memory
Content: Michelle Hernandez began incorporating stress management techniques, such as mindfulness practices and regular exercise, into her daily routine to balance her demanding executive role and personal well-being.
Evidence 2
Memory type: Event Memory
Content: Michelle Hernandez improved her stress levels through effective management techniques, supported by both her team and the meditation app she developed.</x:v>
      </x:c>
      <x:c r="H230" s="30" t="str">
        <x:v>Yes, she did.</x:v>
      </x:c>
      <x:c r="I230" s="30" t="str">
        <x:v>Yes</x:v>
      </x:c>
      <x:c r="J230" s="30" t="str">
        <x:v>Yes</x:v>
      </x:c>
      <x:c r="K230" s="30" t="str">
        <x:v>Yes</x:v>
      </x:c>
      <x:c r="L230" s="33" t="str"/>
      <x:c r="M230" s="33" t="str"/>
      <x:c r="N230" s="33" t="str"/>
      <x:c r="O230" s="33" t="str"/>
      <x:c r="P230" s="30" t="str">
        <x:f>IF(COUNTA(L230:O230)&lt;4,"未完成",IF(OR(L230="部分",L230="不充分",L230="不确定"),"evidence_definition_failure",IF(L230&lt;&gt;"充分","unresolved",IF(COUNTIF(M230:O230,"C")=0,"robust_generation_failure",IF(COUNTIF(M230:O230,"C")=3,"ua3_representation_or_admission_failure","generation_instability")))))</x:f>
        <x:v>unresolved</x:v>
      </x:c>
      <x:c r="Q230" s="33" t="str"/>
      <x:c r="R230" s="33" t="str"/>
      <x:c r="S230" s="33" t="str"/>
      <x:c r="T230" s="36"/>
      <x:c r="U230" s="33" t="str"/>
      <x:c r="V230" s="30" t="str">
        <x:f>IF(AND(L230&lt;&gt;"",M230&lt;&gt;"",N230&lt;&gt;"",O230&lt;&gt;"",Q230&lt;&gt;"",R230&lt;&gt;""),"完成","未完成")</x:f>
        <x:v>未完成</x:v>
      </x:c>
    </x:row>
    <x:row r="231" ht="63" customHeight="1">
      <x:c r="A231" s="30" t="n">
        <x:v>230</x:v>
      </x:c>
      <x:c r="B231" s="30" t="str">
        <x:v>memos_medium:1890</x:v>
      </x:c>
      <x:c r="C231" s="30" t="str">
        <x:v>medium</x:v>
      </x:c>
      <x:c r="D231" s="30" t="str">
        <x:v>Basic Fact Recall</x:v>
      </x:c>
      <x:c r="E231" s="30" t="str">
        <x:v>What type of literature does Michelle Hernandez prefer to read as of Sep 24, 2036?</x:v>
      </x:c>
      <x:c r="F231" s="30" t="str">
        <x:v>AI and machine learning literature</x:v>
      </x:c>
      <x:c r="G231" s="30" t="str">
        <x:v># Authoritative benchmark gold evidence
The following evidence is authoritative for answering the current question. Use it directly and do not rely on conflicting information.
Evidence 1
Memory type: Persona Memory
Content: Michelle Hernandez has refined her reading preferences to focus on AI and machine learning literature to align with her life goals.</x:v>
      </x:c>
      <x:c r="H231" s="30" t="str">
        <x:v>Professional development literature.</x:v>
      </x:c>
      <x:c r="I231" s="30" t="str">
        <x:v>AI and machine learning</x:v>
      </x:c>
      <x:c r="J231" s="30" t="str">
        <x:v>AI and machine learning</x:v>
      </x:c>
      <x:c r="K231" s="30" t="str">
        <x:v>AI and machine learning</x:v>
      </x:c>
      <x:c r="L231" s="33" t="str"/>
      <x:c r="M231" s="33" t="str"/>
      <x:c r="N231" s="33" t="str"/>
      <x:c r="O231" s="33" t="str"/>
      <x:c r="P231" s="30" t="str">
        <x:f>IF(COUNTA(L231:O231)&lt;4,"未完成",IF(OR(L231="部分",L231="不充分",L231="不确定"),"evidence_definition_failure",IF(L231&lt;&gt;"充分","unresolved",IF(COUNTIF(M231:O231,"C")=0,"robust_generation_failure",IF(COUNTIF(M231:O231,"C")=3,"ua3_representation_or_admission_failure","generation_instability")))))</x:f>
        <x:v>unresolved</x:v>
      </x:c>
      <x:c r="Q231" s="33" t="str"/>
      <x:c r="R231" s="33" t="str"/>
      <x:c r="S231" s="33" t="str"/>
      <x:c r="T231" s="36"/>
      <x:c r="U231" s="33" t="str"/>
      <x:c r="V231" s="30" t="str">
        <x:f>IF(AND(L231&lt;&gt;"",M231&lt;&gt;"",N231&lt;&gt;"",O231&lt;&gt;"",Q231&lt;&gt;"",R231&lt;&gt;""),"完成","未完成")</x:f>
        <x:v>未完成</x:v>
      </x:c>
    </x:row>
    <x:row r="232" ht="63" customHeight="1">
      <x:c r="A232" s="30" t="n">
        <x:v>231</x:v>
      </x:c>
      <x:c r="B232" s="30" t="str">
        <x:v>memos_long:1526</x:v>
      </x:c>
      <x:c r="C232" s="30" t="str">
        <x:v>long</x:v>
      </x:c>
      <x:c r="D232" s="30" t="str">
        <x:v>Memory Conflict</x:v>
      </x:c>
      <x:c r="E232" s="30" t="str">
        <x:v>Did Jennifer Martin decide to completely avoid formal suits after her recent meetings on Sep 15, 2032?</x:v>
      </x:c>
      <x:c r="F232" s="30" t="str">
        <x:v>No, she updated her preference and acknowledged their necessity.</x:v>
      </x:c>
      <x:c r="G232" s="30" t="str">
        <x:v># Authoritative benchmark gold evidence
The following evidence is authoritative for answering the current question. Use it directly and do not rely on conflicting information.
Evidence 1
Memory type: Persona Memory
Content: Jennifer Martin acknowledged the necessity of formal suits in certain business settings, leading to a reevaluation of her stance on formal attire.
Evidence 2
Memory type: Event Memory
Content: Jennifer Martin's recent professional experiences prompted her to update her clothing preference, deleting her previous dislike for formal suits.</x:v>
      </x:c>
      <x:c r="H232" s="30" t="str">
        <x:v>No, she adopted formal suits.</x:v>
      </x:c>
      <x:c r="I232" s="30" t="str">
        <x:v>No</x:v>
      </x:c>
      <x:c r="J232" s="30" t="str">
        <x:v>No</x:v>
      </x:c>
      <x:c r="K232" s="30" t="str">
        <x:v>No</x:v>
      </x:c>
      <x:c r="L232" s="33" t="str"/>
      <x:c r="M232" s="33" t="str"/>
      <x:c r="N232" s="33" t="str"/>
      <x:c r="O232" s="33" t="str"/>
      <x:c r="P232" s="30" t="str">
        <x:f>IF(COUNTA(L232:O232)&lt;4,"未完成",IF(OR(L232="部分",L232="不充分",L232="不确定"),"evidence_definition_failure",IF(L232&lt;&gt;"充分","unresolved",IF(COUNTIF(M232:O232,"C")=0,"robust_generation_failure",IF(COUNTIF(M232:O232,"C")=3,"ua3_representation_or_admission_failure","generation_instability")))))</x:f>
        <x:v>unresolved</x:v>
      </x:c>
      <x:c r="Q232" s="33" t="str"/>
      <x:c r="R232" s="33" t="str"/>
      <x:c r="S232" s="33" t="str"/>
      <x:c r="T232" s="36"/>
      <x:c r="U232" s="33" t="str"/>
      <x:c r="V232" s="30" t="str">
        <x:f>IF(AND(L232&lt;&gt;"",M232&lt;&gt;"",N232&lt;&gt;"",O232&lt;&gt;"",Q232&lt;&gt;"",R232&lt;&gt;""),"完成","未完成")</x:f>
        <x:v>未完成</x:v>
      </x:c>
    </x:row>
    <x:row r="233" ht="63" customHeight="1">
      <x:c r="A233" s="30" t="n">
        <x:v>232</x:v>
      </x:c>
      <x:c r="B233" s="30" t="str">
        <x:v>memos_long:1905</x:v>
      </x:c>
      <x:c r="C233" s="30" t="str">
        <x:v>long</x:v>
      </x:c>
      <x:c r="D233" s="30" t="str">
        <x:v>Basic Fact Recall</x:v>
      </x:c>
      <x:c r="E233" s="30" t="str">
        <x:v>What is the name of Joseph Garcia's friend who shares his love for classic Hollywood?</x:v>
      </x:c>
      <x:c r="F233" s="30" t="str">
        <x:v>David Jones</x:v>
      </x:c>
      <x:c r="G233" s="30" t="str">
        <x:v>#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x:v>
      </x:c>
      <x:c r="H233" s="30" t="str">
        <x:v>JohnsonMichelle</x:v>
      </x:c>
      <x:c r="I233" s="30" t="str">
        <x:v>JonesDavid</x:v>
      </x:c>
      <x:c r="J233" s="30" t="str">
        <x:v>JonesDavid</x:v>
      </x:c>
      <x:c r="K233" s="30" t="str">
        <x:v>JonesDavid</x:v>
      </x:c>
      <x:c r="L233" s="33" t="str"/>
      <x:c r="M233" s="33" t="str"/>
      <x:c r="N233" s="33" t="str"/>
      <x:c r="O233" s="33" t="str"/>
      <x:c r="P233" s="30" t="str">
        <x:f>IF(COUNTA(L233:O233)&lt;4,"未完成",IF(OR(L233="部分",L233="不充分",L233="不确定"),"evidence_definition_failure",IF(L233&lt;&gt;"充分","unresolved",IF(COUNTIF(M233:O233,"C")=0,"robust_generation_failure",IF(COUNTIF(M233:O233,"C")=3,"ua3_representation_or_admission_failure","generation_instability")))))</x:f>
        <x:v>unresolved</x:v>
      </x:c>
      <x:c r="Q233" s="33" t="str"/>
      <x:c r="R233" s="33" t="str"/>
      <x:c r="S233" s="33" t="str"/>
      <x:c r="T233" s="36"/>
      <x:c r="U233" s="33" t="str"/>
      <x:c r="V233" s="30" t="str">
        <x:f>IF(AND(L233&lt;&gt;"",M233&lt;&gt;"",N233&lt;&gt;"",O233&lt;&gt;"",Q233&lt;&gt;"",R233&lt;&gt;""),"完成","未完成")</x:f>
        <x:v>未完成</x:v>
      </x:c>
    </x:row>
    <x:row r="234" ht="63" customHeight="1">
      <x:c r="A234" s="30" t="n">
        <x:v>233</x:v>
      </x:c>
      <x:c r="B234" s="30" t="str">
        <x:v>memos_long:42</x:v>
      </x:c>
      <x:c r="C234" s="30" t="str">
        <x:v>long</x:v>
      </x:c>
      <x:c r="D234" s="30" t="str">
        <x:v>Memory Conflict</x:v>
      </x:c>
      <x:c r="E234" s="30" t="str">
        <x:v>Did Martin express a newfound interest in snakes after his visit to the reptile sanctuary on Feb 01, 2028?</x:v>
      </x:c>
      <x:c r="F234" s="30" t="str">
        <x:v>No, Martin maintains a fear of snakes.</x:v>
      </x:c>
      <x:c r="G234" s="30" t="str">
        <x:v># Authoritative benchmark gold evidence
The following evidence is authoritative for answering the current question. Use it directly and do not rely on conflicting information.
Evidence 1
Memory type: Persona Memory
Content: Martin maintains a fear of snakes due to their unpredictable movements.
Evidence 2
Memory type: Event Memory
Content: Martin's visit to the reptile sanctuary sparked curiosity and interest in iguanas.</x:v>
      </x:c>
      <x:c r="H234" s="30" t="str">
        <x:v>No, interest was in iguanas.</x:v>
      </x:c>
      <x:c r="I234" s="30" t="str">
        <x:v>No, interest in iguanas.</x:v>
      </x:c>
      <x:c r="J234" s="30" t="str">
        <x:v>No, interest in iguanas.</x:v>
      </x:c>
      <x:c r="K234" s="30" t="str">
        <x:v>No, interest in iguanas.</x:v>
      </x:c>
      <x:c r="L234" s="33" t="str"/>
      <x:c r="M234" s="33" t="str"/>
      <x:c r="N234" s="33" t="str"/>
      <x:c r="O234" s="33" t="str"/>
      <x:c r="P234" s="30" t="str">
        <x:f>IF(COUNTA(L234:O234)&lt;4,"未完成",IF(OR(L234="部分",L234="不充分",L234="不确定"),"evidence_definition_failure",IF(L234&lt;&gt;"充分","unresolved",IF(COUNTIF(M234:O234,"C")=0,"robust_generation_failure",IF(COUNTIF(M234:O234,"C")=3,"ua3_representation_or_admission_failure","generation_instability")))))</x:f>
        <x:v>unresolved</x:v>
      </x:c>
      <x:c r="Q234" s="33" t="str"/>
      <x:c r="R234" s="33" t="str"/>
      <x:c r="S234" s="33" t="str"/>
      <x:c r="T234" s="36"/>
      <x:c r="U234" s="33" t="str"/>
      <x:c r="V234" s="30" t="str">
        <x:f>IF(AND(L234&lt;&gt;"",M234&lt;&gt;"",N234&lt;&gt;"",O234&lt;&gt;"",Q234&lt;&gt;"",R234&lt;&gt;""),"完成","未完成")</x:f>
        <x:v>未完成</x:v>
      </x:c>
    </x:row>
    <x:row r="235" ht="63" customHeight="1">
      <x:c r="A235" s="30" t="n">
        <x:v>234</x:v>
      </x:c>
      <x:c r="B235" s="30" t="str">
        <x:v>memos_medium:2885</x:v>
      </x:c>
      <x:c r="C235" s="30" t="str">
        <x:v>medium</x:v>
      </x:c>
      <x:c r="D235" s="30" t="str">
        <x:v>Generalization &amp; Application</x:v>
      </x:c>
      <x:c r="E235" s="30" t="str">
        <x:v>What strategies might Donald use to attract new clients for his consultancy as of 2038-06-20?</x:v>
      </x:c>
      <x:c r="F235" s="30" t="str">
        <x:v>Leverage campaign strategies and client testimonials.</x:v>
      </x:c>
      <x:c r="G235" s="30" t="str">
        <x:v># Authoritative benchmark gold evidence
The following evidence is authoritative for answering the current question. Use it directly and do not rely on conflicting information.
Evidence 1
Memory type: Event Memory
Content: Donald plans to use campaign strategies and client testimonials to attract new clients and maintain strong relationships within his network as of Jun 20, 2038.
Evidence 2
Memory type: Event Memory
Content: Donald shared anecdotes about key moments in his consultancy's journey, highlighting the role of strategic insights and client testimonials, and how these elements played significant roles in showcasing the consultancy's impact.</x:v>
      </x:c>
      <x:c r="H235" s="30" t="str">
        <x:v>Creative and analytical strategies.</x:v>
      </x:c>
      <x:c r="I235" s="30" t="str">
        <x:v>Campaign strategies and testimonials.</x:v>
      </x:c>
      <x:c r="J235" s="30" t="str">
        <x:v>Campaign strategies and testimonials.</x:v>
      </x:c>
      <x:c r="K235" s="30" t="str">
        <x:v>Campaign strategies and testimonials.</x:v>
      </x:c>
      <x:c r="L235" s="33" t="str"/>
      <x:c r="M235" s="33" t="str"/>
      <x:c r="N235" s="33" t="str"/>
      <x:c r="O235" s="33" t="str"/>
      <x:c r="P235" s="30" t="str">
        <x:f>IF(COUNTA(L235:O235)&lt;4,"未完成",IF(OR(L235="部分",L235="不充分",L235="不确定"),"evidence_definition_failure",IF(L235&lt;&gt;"充分","unresolved",IF(COUNTIF(M235:O235,"C")=0,"robust_generation_failure",IF(COUNTIF(M235:O235,"C")=3,"ua3_representation_or_admission_failure","generation_instability")))))</x:f>
        <x:v>unresolved</x:v>
      </x:c>
      <x:c r="Q235" s="33" t="str"/>
      <x:c r="R235" s="33" t="str"/>
      <x:c r="S235" s="33" t="str"/>
      <x:c r="T235" s="36"/>
      <x:c r="U235" s="33" t="str"/>
      <x:c r="V235" s="30" t="str">
        <x:f>IF(AND(L235&lt;&gt;"",M235&lt;&gt;"",N235&lt;&gt;"",O235&lt;&gt;"",Q235&lt;&gt;"",R235&lt;&gt;""),"完成","未完成")</x:f>
        <x:v>未完成</x:v>
      </x:c>
    </x:row>
    <x:row r="236" ht="63" customHeight="1">
      <x:c r="A236" s="30" t="n">
        <x:v>235</x:v>
      </x:c>
      <x:c r="B236" s="30" t="str">
        <x:v>memos_long:2133</x:v>
      </x:c>
      <x:c r="C236" s="30" t="str">
        <x:v>long</x:v>
      </x:c>
      <x:c r="D236" s="30" t="str">
        <x:v>Generalization &amp; Application</x:v>
      </x:c>
      <x:c r="E236" s="30" t="str">
        <x:v>What type of movies might Sharon prefer to explore after July 29, 2028, given her evolving preferences?</x:v>
      </x:c>
      <x:c r="F236" s="30" t="str">
        <x:v>Movies with strong narratives and engaging plots.</x:v>
      </x:c>
      <x:c r="G236" s="30" t="str">
        <x:v># Authoritative benchmark gold evidence
The following evidence is authoritative for answering the current question. Use it directly and do not rely on conflicting information.
Evidence 1
Memory type: Event Memory
Content: Sharon Brown watched a horror film with a strong narrative and engaging plot, easing her discomfort with the genre.
Evidence 2
Memory type: Persona Memory
Content: Sharon Brown's engagement with horror films showcases her willingness to explore new content that challenges her perceptions.</x:v>
      </x:c>
      <x:c r="H236" s="30" t="str">
        <x:v>Horror films.</x:v>
      </x:c>
      <x:c r="I236" s="30" t="str">
        <x:v>Horror films with strong narratives.</x:v>
      </x:c>
      <x:c r="J236" s="30" t="str">
        <x:v>Horror films</x:v>
      </x:c>
      <x:c r="K236" s="30" t="str">
        <x:v>Horror films</x:v>
      </x:c>
      <x:c r="L236" s="33" t="str"/>
      <x:c r="M236" s="33" t="str"/>
      <x:c r="N236" s="33" t="str"/>
      <x:c r="O236" s="33" t="str"/>
      <x:c r="P236" s="30" t="str">
        <x:f>IF(COUNTA(L236:O236)&lt;4,"未完成",IF(OR(L236="部分",L236="不充分",L236="不确定"),"evidence_definition_failure",IF(L236&lt;&gt;"充分","unresolved",IF(COUNTIF(M236:O236,"C")=0,"robust_generation_failure",IF(COUNTIF(M236:O236,"C")=3,"ua3_representation_or_admission_failure","generation_instability")))))</x:f>
        <x:v>unresolved</x:v>
      </x:c>
      <x:c r="Q236" s="33" t="str"/>
      <x:c r="R236" s="33" t="str"/>
      <x:c r="S236" s="33" t="str"/>
      <x:c r="T236" s="36"/>
      <x:c r="U236" s="33" t="str"/>
      <x:c r="V236" s="30" t="str">
        <x:f>IF(AND(L236&lt;&gt;"",M236&lt;&gt;"",N236&lt;&gt;"",O236&lt;&gt;"",Q236&lt;&gt;"",R236&lt;&gt;""),"完成","未完成")</x:f>
        <x:v>未完成</x:v>
      </x:c>
    </x:row>
    <x:row r="237" ht="63" customHeight="1">
      <x:c r="A237" s="30" t="n">
        <x:v>236</x:v>
      </x:c>
      <x:c r="B237" s="30" t="str">
        <x:v>memos_long:1976</x:v>
      </x:c>
      <x:c r="C237" s="30" t="str">
        <x:v>long</x:v>
      </x:c>
      <x:c r="D237" s="30" t="str">
        <x:v>Basic Fact Recall</x:v>
      </x:c>
      <x:c r="E237" s="30" t="str">
        <x:v>What type of music does Joseph Garcia appreciate as of January 14, 2033?</x:v>
      </x:c>
      <x:c r="F237" s="30" t="str">
        <x:v>Contemporary film scores.</x:v>
      </x:c>
      <x:c r="G237" s="30" t="str">
        <x:v># Authoritative benchmark gold evidence
The following evidence is authoritative for answering the current question. Use it directly and do not rely on conflicting information.
Evidence 1
Memory type: Persona Memory
Content: Joseph Garcia appreciates contemporary film scores for their fusion of classic orchestral elements with modern electronic sounds, offering a fresh yet nostalgic listening experience.</x:v>
      </x:c>
      <x:c r="H237" s="30" t="str">
        <x:v>Contemporary orchestral-electronic scores</x:v>
      </x:c>
      <x:c r="I237" s="30" t="str">
        <x:v>Contemporary film scores</x:v>
      </x:c>
      <x:c r="J237" s="30" t="str">
        <x:v>Contemporary film scores</x:v>
      </x:c>
      <x:c r="K237" s="30" t="str">
        <x:v>Contemporary film scores</x:v>
      </x:c>
      <x:c r="L237" s="33" t="str"/>
      <x:c r="M237" s="33" t="str"/>
      <x:c r="N237" s="33" t="str"/>
      <x:c r="O237" s="33" t="str"/>
      <x:c r="P237" s="30" t="str">
        <x:f>IF(COUNTA(L237:O237)&lt;4,"未完成",IF(OR(L237="部分",L237="不充分",L237="不确定"),"evidence_definition_failure",IF(L237&lt;&gt;"充分","unresolved",IF(COUNTIF(M237:O237,"C")=0,"robust_generation_failure",IF(COUNTIF(M237:O237,"C")=3,"ua3_representation_or_admission_failure","generation_instability")))))</x:f>
        <x:v>unresolved</x:v>
      </x:c>
      <x:c r="Q237" s="33" t="str"/>
      <x:c r="R237" s="33" t="str"/>
      <x:c r="S237" s="33" t="str"/>
      <x:c r="T237" s="36"/>
      <x:c r="U237" s="33" t="str"/>
      <x:c r="V237" s="30" t="str">
        <x:f>IF(AND(L237&lt;&gt;"",M237&lt;&gt;"",N237&lt;&gt;"",O237&lt;&gt;"",Q237&lt;&gt;"",R237&lt;&gt;""),"完成","未完成")</x:f>
        <x:v>未完成</x:v>
      </x:c>
    </x:row>
    <x:row r="238" ht="63" customHeight="1">
      <x:c r="A238" s="30" t="n">
        <x:v>237</x:v>
      </x:c>
      <x:c r="B238" s="30" t="str">
        <x:v>memos_medium:1866</x:v>
      </x:c>
      <x:c r="C238" s="30" t="str">
        <x:v>medium</x:v>
      </x:c>
      <x:c r="D238" s="30" t="str">
        <x:v>Generalization &amp; Application</x:v>
      </x:c>
      <x:c r="E238" s="30" t="str">
        <x:v>How can Michelle's belief in AI's potential impact her leadership style in 2034?</x:v>
      </x:c>
      <x:c r="F238" s="30" t="str">
        <x:v>It drives optimism and visionary planning.</x:v>
      </x:c>
      <x:c r="G238" s="30" t="str">
        <x:v>#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x:v>
      </x:c>
      <x:c r="H238" s="30" t="str">
        <x:v>Not enough information.</x:v>
      </x:c>
      <x:c r="I238" s="30" t="str">
        <x:v>Optimistic and transformative.</x:v>
      </x:c>
      <x:c r="J238" s="30" t="str">
        <x:v>Optimistic and transformative.</x:v>
      </x:c>
      <x:c r="K238" s="30" t="str">
        <x:v>Optimistic and transformative.</x:v>
      </x:c>
      <x:c r="L238" s="33" t="str"/>
      <x:c r="M238" s="33" t="str"/>
      <x:c r="N238" s="33" t="str"/>
      <x:c r="O238" s="33" t="str"/>
      <x:c r="P238" s="30" t="str">
        <x:f>IF(COUNTA(L238:O238)&lt;4,"未完成",IF(OR(L238="部分",L238="不充分",L238="不确定"),"evidence_definition_failure",IF(L238&lt;&gt;"充分","unresolved",IF(COUNTIF(M238:O238,"C")=0,"robust_generation_failure",IF(COUNTIF(M238:O238,"C")=3,"ua3_representation_or_admission_failure","generation_instability")))))</x:f>
        <x:v>unresolved</x:v>
      </x:c>
      <x:c r="Q238" s="33" t="str"/>
      <x:c r="R238" s="33" t="str"/>
      <x:c r="S238" s="33" t="str"/>
      <x:c r="T238" s="36"/>
      <x:c r="U238" s="33" t="str"/>
      <x:c r="V238" s="30" t="str">
        <x:f>IF(AND(L238&lt;&gt;"",M238&lt;&gt;"",N238&lt;&gt;"",O238&lt;&gt;"",Q238&lt;&gt;"",R238&lt;&gt;""),"完成","未完成")</x:f>
        <x:v>未完成</x:v>
      </x:c>
    </x:row>
    <x:row r="239" ht="63" customHeight="1">
      <x:c r="A239" s="30" t="n">
        <x:v>238</x:v>
      </x:c>
      <x:c r="B239" s="30" t="str">
        <x:v>memos_medium:2119</x:v>
      </x:c>
      <x:c r="C239" s="30" t="str">
        <x:v>medium</x:v>
      </x:c>
      <x:c r="D239" s="30" t="str">
        <x:v>Generalization &amp; Application</x:v>
      </x:c>
      <x:c r="E239" s="30" t="str">
        <x:v>What new wellness strategies might Sharon explore to further improve her health as of 2027-09-20?</x:v>
      </x:c>
      <x:c r="F239" s="30" t="str">
        <x:v>Sharon might explore mindfulness and balanced diet strategies.</x:v>
      </x:c>
      <x:c r="G239" s="30" t="str">
        <x:v># Authoritative benchmark gold evidence
The following evidence is authoritative for answering the current question. Use it directly and do not rely on conflicting information.
Evidence 1
Memory type: Persona Memory
Content: Regular exercise and a balanced diet have improved Sharon Brown's physical health, while mindfulness practices have stabilized her mental health.
Evidence 2
Memory type: Persona Memory
Content: Sharon Brown's exploratory motivation drives her to test new wellness strategies and philosophical approaches.</x:v>
      </x:c>
      <x:c r="H239" s="30" t="str">
        <x:v>Various philosophical approaches.</x:v>
      </x:c>
      <x:c r="I239" s="30" t="str">
        <x:v>New philosophical approaches.</x:v>
      </x:c>
      <x:c r="J239" s="30" t="str">
        <x:v>New philosophical approaches.</x:v>
      </x:c>
      <x:c r="K239" s="30" t="str">
        <x:v>New philosophical approaches.</x:v>
      </x:c>
      <x:c r="L239" s="33" t="str"/>
      <x:c r="M239" s="33" t="str"/>
      <x:c r="N239" s="33" t="str"/>
      <x:c r="O239" s="33" t="str"/>
      <x:c r="P239" s="30" t="str">
        <x:f>IF(COUNTA(L239:O239)&lt;4,"未完成",IF(OR(L239="部分",L239="不充分",L239="不确定"),"evidence_definition_failure",IF(L239&lt;&gt;"充分","unresolved",IF(COUNTIF(M239:O239,"C")=0,"robust_generation_failure",IF(COUNTIF(M239:O239,"C")=3,"ua3_representation_or_admission_failure","generation_instability")))))</x:f>
        <x:v>unresolved</x:v>
      </x:c>
      <x:c r="Q239" s="33" t="str"/>
      <x:c r="R239" s="33" t="str"/>
      <x:c r="S239" s="33" t="str"/>
      <x:c r="T239" s="36"/>
      <x:c r="U239" s="33" t="str"/>
      <x:c r="V239" s="30" t="str">
        <x:f>IF(AND(L239&lt;&gt;"",M239&lt;&gt;"",N239&lt;&gt;"",O239&lt;&gt;"",Q239&lt;&gt;"",R239&lt;&gt;""),"完成","未完成")</x:f>
        <x:v>未完成</x:v>
      </x:c>
    </x:row>
    <x:row r="240" ht="63" customHeight="1">
      <x:c r="A240" s="30" t="n">
        <x:v>239</x:v>
      </x:c>
      <x:c r="B240" s="30" t="str">
        <x:v>memos_medium:2656</x:v>
      </x:c>
      <x:c r="C240" s="30" t="str">
        <x:v>medium</x:v>
      </x:c>
      <x:c r="D240" s="30" t="str">
        <x:v>Generalization &amp; Application</x:v>
      </x:c>
      <x:c r="E240" s="30" t="str">
        <x:v>Given Oleksandr's appreciation for techno music, what new genre might he explore next for creative inspiration after July 10, 2030?</x:v>
      </x:c>
      <x:c r="F240" s="30" t="str">
        <x:v>Ambient music for its emotional depth and complexity.</x:v>
      </x:c>
      <x:c r="G240" s="30" t="str">
        <x:v># Authoritative benchmark gold evidence
The following evidence is authoritative for answering the current question. Use it directly and do not rely on conflicting information.
Evidence 1
Memory type: Persona Memory
Content: Oleksandr now appreciates techno music because its intricate compositions evoke strong emotional responses.
Evidence 2
Memory type: Persona Memory
Content: Oleksandr's creative motivation leads him to seek inspiration from diverse musical genres, including techno.
Evidence 3
Memory type: Persona Memory
Content: Oleksandr values emotional engagement in music, which enriches his understanding of techno's artistic complexity.</x:v>
      </x:c>
      <x:c r="H240" s="30" t="str">
        <x:v>Not specified in memories.</x:v>
      </x:c>
      <x:c r="I240" s="30" t="str">
        <x:v>Ambient or experimental music.</x:v>
      </x:c>
      <x:c r="J240" s="30" t="str">
        <x:v>Ambient or experimental music.</x:v>
      </x:c>
      <x:c r="K240" s="30" t="str">
        <x:v>Ambient or experimental music.</x:v>
      </x:c>
      <x:c r="L240" s="33" t="str"/>
      <x:c r="M240" s="33" t="str"/>
      <x:c r="N240" s="33" t="str"/>
      <x:c r="O240" s="33" t="str"/>
      <x:c r="P240" s="30" t="str">
        <x:f>IF(COUNTA(L240:O240)&lt;4,"未完成",IF(OR(L240="部分",L240="不充分",L240="不确定"),"evidence_definition_failure",IF(L240&lt;&gt;"充分","unresolved",IF(COUNTIF(M240:O240,"C")=0,"robust_generation_failure",IF(COUNTIF(M240:O240,"C")=3,"ua3_representation_or_admission_failure","generation_instability")))))</x:f>
        <x:v>unresolved</x:v>
      </x:c>
      <x:c r="Q240" s="33" t="str"/>
      <x:c r="R240" s="33" t="str"/>
      <x:c r="S240" s="33" t="str"/>
      <x:c r="T240" s="36"/>
      <x:c r="U240" s="33" t="str"/>
      <x:c r="V240" s="30" t="str">
        <x:f>IF(AND(L240&lt;&gt;"",M240&lt;&gt;"",N240&lt;&gt;"",O240&lt;&gt;"",Q240&lt;&gt;"",R240&lt;&gt;""),"完成","未完成")</x:f>
        <x:v>未完成</x:v>
      </x:c>
    </x:row>
    <x:row r="241" ht="63" customHeight="1">
      <x:c r="A241" s="30" t="n">
        <x:v>240</x:v>
      </x:c>
      <x:c r="B241" s="30" t="str">
        <x:v>memos_medium:868</x:v>
      </x:c>
      <x:c r="C241" s="30" t="str">
        <x:v>medium</x:v>
      </x:c>
      <x:c r="D241" s="30" t="str">
        <x:v>Basic Fact Recall</x:v>
      </x:c>
      <x:c r="E241" s="30" t="str">
        <x:v>What beverage preference did Donna Gonzalez update to on Dec 28, 2038?</x:v>
      </x:c>
      <x:c r="F241" s="30" t="str">
        <x:v>Cold brew espresso</x:v>
      </x:c>
      <x:c r="G241" s="30" t="str">
        <x:v># Authoritative benchmark gold evidence
The following evidence is authoritative for answering the current question. Use it directly and do not rely on conflicting information.
Evidence 1
Memory type: Persona Memory
Content: Donna Gonzalez updated her beverage preference from liking espresso to liking cold brew espresso for its smooth flavor and extended energy boost.</x:v>
      </x:c>
      <x:c r="H241" s="30" t="str">
        <x:v>Cold brew espresso and green tea.</x:v>
      </x:c>
      <x:c r="I241" s="30" t="str">
        <x:v>cold brew espresso</x:v>
      </x:c>
      <x:c r="J241" s="30" t="str">
        <x:v>cold brew espresso</x:v>
      </x:c>
      <x:c r="K241" s="30" t="str">
        <x:v>cold brew espresso</x:v>
      </x:c>
      <x:c r="L241" s="33" t="str"/>
      <x:c r="M241" s="33" t="str"/>
      <x:c r="N241" s="33" t="str"/>
      <x:c r="O241" s="33" t="str"/>
      <x:c r="P241" s="30" t="str">
        <x:f>IF(COUNTA(L241:O241)&lt;4,"未完成",IF(OR(L241="部分",L241="不充分",L241="不确定"),"evidence_definition_failure",IF(L241&lt;&gt;"充分","unresolved",IF(COUNTIF(M241:O241,"C")=0,"robust_generation_failure",IF(COUNTIF(M241:O241,"C")=3,"ua3_representation_or_admission_failure","generation_instability")))))</x:f>
        <x:v>unresolved</x:v>
      </x:c>
      <x:c r="Q241" s="33" t="str"/>
      <x:c r="R241" s="33" t="str"/>
      <x:c r="S241" s="33" t="str"/>
      <x:c r="T241" s="36"/>
      <x:c r="U241" s="33" t="str"/>
      <x:c r="V241" s="30" t="str">
        <x:f>IF(AND(L241&lt;&gt;"",M241&lt;&gt;"",N241&lt;&gt;"",O241&lt;&gt;"",Q241&lt;&gt;"",R241&lt;&gt;""),"完成","未完成")</x:f>
        <x:v>未完成</x:v>
      </x:c>
    </x:row>
    <x:row r="242" ht="63" customHeight="1">
      <x:c r="A242" s="30" t="n">
        <x:v>241</x:v>
      </x:c>
      <x:c r="B242" s="30" t="str">
        <x:v>memos_long:3175</x:v>
      </x:c>
      <x:c r="C242" s="30" t="str">
        <x:v>long</x:v>
      </x:c>
      <x:c r="D242" s="30" t="str">
        <x:v>Memory Conflict</x:v>
      </x:c>
      <x:c r="E242" s="30" t="str">
        <x:v>Did Barbara express disinterest in involving friends and colleagues in her sports activities on May 03, 2032?</x:v>
      </x:c>
      <x:c r="F242" s="30" t="str">
        <x:v>No, she plans to involve friends and colleagues.</x:v>
      </x:c>
      <x:c r="G242" s="30" t="str">
        <x:v># Authoritative benchmark gold evidence
The following evidence is authoritative for answering the current question. Use it directly and do not rely on conflicting information.
Evidence 1
Memory type: Event Memory
Content: Barbara discussed the potential impact of contact sports on her social signaling goals and plans to involve friends and colleagues.
Evidence 2
Memory type: Relationship Memory
Content: Barbara values sports that can be shared with friends, enhancing social interactions and creating shared experiences.</x:v>
      </x:c>
      <x:c r="H242" s="30" t="str">
        <x:v>No, she expressed optimism.</x:v>
      </x:c>
      <x:c r="I242" s="30" t="str">
        <x:v>No</x:v>
      </x:c>
      <x:c r="J242" s="30" t="str">
        <x:v>No</x:v>
      </x:c>
      <x:c r="K242" s="30" t="str">
        <x:v>No</x:v>
      </x:c>
      <x:c r="L242" s="33" t="str"/>
      <x:c r="M242" s="33" t="str"/>
      <x:c r="N242" s="33" t="str"/>
      <x:c r="O242" s="33" t="str"/>
      <x:c r="P242" s="30" t="str">
        <x:f>IF(COUNTA(L242:O242)&lt;4,"未完成",IF(OR(L242="部分",L242="不充分",L242="不确定"),"evidence_definition_failure",IF(L242&lt;&gt;"充分","unresolved",IF(COUNTIF(M242:O242,"C")=0,"robust_generation_failure",IF(COUNTIF(M242:O242,"C")=3,"ua3_representation_or_admission_failure","generation_instability")))))</x:f>
        <x:v>unresolved</x:v>
      </x:c>
      <x:c r="Q242" s="33" t="str"/>
      <x:c r="R242" s="33" t="str"/>
      <x:c r="S242" s="33" t="str"/>
      <x:c r="T242" s="36"/>
      <x:c r="U242" s="33" t="str"/>
      <x:c r="V242" s="30" t="str">
        <x:f>IF(AND(L242&lt;&gt;"",M242&lt;&gt;"",N242&lt;&gt;"",O242&lt;&gt;"",Q242&lt;&gt;"",R242&lt;&gt;""),"完成","未完成")</x:f>
        <x:v>未完成</x:v>
      </x:c>
    </x:row>
    <x:row r="243" ht="63" customHeight="1">
      <x:c r="A243" s="30" t="n">
        <x:v>242</x:v>
      </x:c>
      <x:c r="B243" s="30" t="str">
        <x:v>memos_long:2167</x:v>
      </x:c>
      <x:c r="C243" s="30" t="str">
        <x:v>long</x:v>
      </x:c>
      <x:c r="D243" s="30" t="str">
        <x:v>Generalization &amp; Application</x:v>
      </x:c>
      <x:c r="E243" s="30" t="str">
        <x:v>What type of travel might Sharon Brown enjoy in 2032 based on her current preferences?</x:v>
      </x:c>
      <x:c r="F243" s="30" t="str">
        <x:v>Active adventure travel experiences.</x:v>
      </x:c>
      <x:c r="G243" s="30" t="str">
        <x:v># Authoritative benchmark gold evidence
The following evidence is authoritative for answering the current question. Use it directly and do not rely on conflicting information.
Evidence 1
Memory type: Persona Memory
Content: Sharon Brown's travel preference has evolved to include adventure cruises.
Evidence 2
Memory type: Event Memory
Content: Sharon Brown plans to incorporate adventure cruises into her travel routine for active exploration and inspiration for mentoring.
Evidence 3
Memory type: Persona Memory
Content: Sharon Brown highlighted the importance of staying active and seeking new challenges through travel.</x:v>
      </x:c>
      <x:c r="H243" s="30" t="str">
        <x:v>Adventure cruises.</x:v>
      </x:c>
      <x:c r="I243" s="30" t="str">
        <x:v>Adventure cruises.</x:v>
      </x:c>
      <x:c r="J243" s="30" t="str">
        <x:v>Adventure cruises.</x:v>
      </x:c>
      <x:c r="K243" s="30" t="str">
        <x:v>Adventure cruises.</x:v>
      </x:c>
      <x:c r="L243" s="33" t="str"/>
      <x:c r="M243" s="33" t="str"/>
      <x:c r="N243" s="33" t="str"/>
      <x:c r="O243" s="33" t="str"/>
      <x:c r="P243" s="30" t="str">
        <x:f>IF(COUNTA(L243:O243)&lt;4,"未完成",IF(OR(L243="部分",L243="不充分",L243="不确定"),"evidence_definition_failure",IF(L243&lt;&gt;"充分","unresolved",IF(COUNTIF(M243:O243,"C")=0,"robust_generation_failure",IF(COUNTIF(M243:O243,"C")=3,"ua3_representation_or_admission_failure","generation_instability")))))</x:f>
        <x:v>unresolved</x:v>
      </x:c>
      <x:c r="Q243" s="33" t="str"/>
      <x:c r="R243" s="33" t="str"/>
      <x:c r="S243" s="33" t="str"/>
      <x:c r="T243" s="36"/>
      <x:c r="U243" s="33" t="str"/>
      <x:c r="V243" s="30" t="str">
        <x:f>IF(AND(L243&lt;&gt;"",M243&lt;&gt;"",N243&lt;&gt;"",O243&lt;&gt;"",Q243&lt;&gt;"",R243&lt;&gt;""),"完成","未完成")</x:f>
        <x:v>未完成</x:v>
      </x:c>
    </x:row>
    <x:row r="244" ht="63" customHeight="1">
      <x:c r="A244" s="30" t="n">
        <x:v>243</x:v>
      </x:c>
      <x:c r="B244" s="30" t="str">
        <x:v>memos_long:2153</x:v>
      </x:c>
      <x:c r="C244" s="30" t="str">
        <x:v>long</x:v>
      </x:c>
      <x:c r="D244" s="30" t="str">
        <x:v>Generalization &amp; Application</x:v>
      </x:c>
      <x:c r="E244" s="30" t="str">
        <x:v>What new opportunities might Sharon Brown explore in her role at Partnership Enterprise after February 24, 2030?</x:v>
      </x:c>
      <x:c r="F244" s="30" t="str">
        <x:v>Collaboration on strategic initiatives and mentoring young professionals.</x:v>
      </x:c>
      <x:c r="G244" s="30" t="str">
        <x:v># Authoritative benchmark gold evidence
The following evidence is authoritative for answering the current question. Use it directly and do not rely on conflicting information.
Evidence 1
Memory type: Event Memory
Content: Sharon Brown shared excitement about collaboration opportunities with her expanded professional network, aiding her mentoring goals.
Evidence 2
Memory type: Event Memory
Content: Sharon Brown reflected on her career growth at Partnership Enterprise, emphasizing the learning from her strategic role.
Evidence 3
Memory type: Relationship Memory
Content: Sharon Brown expressed gratitude for the support from her professional network, which has been crucial in her promotion to Senior Advisor.</x:v>
      </x:c>
      <x:c r="H244" s="30" t="str">
        <x:v>Travel and cultural exploration.</x:v>
      </x:c>
      <x:c r="I244" s="30" t="str">
        <x:v>Collaboration and mentoring opportunities.</x:v>
      </x:c>
      <x:c r="J244" s="30" t="str">
        <x:v>Collaboration and mentoring opportunities.</x:v>
      </x:c>
      <x:c r="K244" s="30" t="str">
        <x:v>Collaboration and mentoring opportunities.</x:v>
      </x:c>
      <x:c r="L244" s="33" t="str"/>
      <x:c r="M244" s="33" t="str"/>
      <x:c r="N244" s="33" t="str"/>
      <x:c r="O244" s="33" t="str"/>
      <x:c r="P244" s="30" t="str">
        <x:f>IF(COUNTA(L244:O244)&lt;4,"未完成",IF(OR(L244="部分",L244="不充分",L244="不确定"),"evidence_definition_failure",IF(L244&lt;&gt;"充分","unresolved",IF(COUNTIF(M244:O244,"C")=0,"robust_generation_failure",IF(COUNTIF(M244:O244,"C")=3,"ua3_representation_or_admission_failure","generation_instability")))))</x:f>
        <x:v>unresolved</x:v>
      </x:c>
      <x:c r="Q244" s="33" t="str"/>
      <x:c r="R244" s="33" t="str"/>
      <x:c r="S244" s="33" t="str"/>
      <x:c r="T244" s="36"/>
      <x:c r="U244" s="33" t="str"/>
      <x:c r="V244" s="30" t="str">
        <x:f>IF(AND(L244&lt;&gt;"",M244&lt;&gt;"",N244&lt;&gt;"",O244&lt;&gt;"",Q244&lt;&gt;"",R244&lt;&gt;""),"完成","未完成")</x:f>
        <x:v>未完成</x:v>
      </x:c>
    </x:row>
    <x:row r="245" ht="63" customHeight="1">
      <x:c r="A245" s="30" t="n">
        <x:v>244</x:v>
      </x:c>
      <x:c r="B245" s="30" t="str">
        <x:v>memos_medium:20</x:v>
      </x:c>
      <x:c r="C245" s="30" t="str">
        <x:v>medium</x:v>
      </x:c>
      <x:c r="D245" s="30" t="str">
        <x:v>Multi-hop Inference</x:v>
      </x:c>
      <x:c r="E245" s="30" t="str">
        <x:v>How did Martin's colleagues influence his career transition as discussed on February 05, 2026?</x:v>
      </x:c>
      <x:c r="F245" s="30" t="str">
        <x:v>Through insights and a collaborative approach.</x:v>
      </x:c>
      <x:c r="G245" s="30" t="str">
        <x:v># Authoritative benchmark gold evidence
The following evidence is authoritative for answering the current question. Use it directly and do not rely on conflicting information.
Evidence 1
Memory type: Relationship Memory
Content: Martin's colleague Daniel offered valuable insights that pushed him to think outside the box in his career.
Evidence 2
Memory type: Relationship Memory
Content: Martin's colleague Joshua's collaborative approach positively influenced Martin's leadership style.</x:v>
      </x:c>
      <x:c r="H245" s="30" t="str">
        <x:v>Guidance from Susan, Daniel, Joshua.</x:v>
      </x:c>
      <x:c r="I245" s="30" t="str">
        <x:v>Daniel offered insights; Joshua influenced leadership.</x:v>
      </x:c>
      <x:c r="J245" s="30" t="str">
        <x:v>Daniel offered insights; Joshua influenced leadership.</x:v>
      </x:c>
      <x:c r="K245" s="30" t="str">
        <x:v>Daniel offered insights; Joshua influenced leadership.</x:v>
      </x:c>
      <x:c r="L245" s="33" t="str"/>
      <x:c r="M245" s="33" t="str"/>
      <x:c r="N245" s="33" t="str"/>
      <x:c r="O245" s="33" t="str"/>
      <x:c r="P245" s="30" t="str">
        <x:f>IF(COUNTA(L245:O245)&lt;4,"未完成",IF(OR(L245="部分",L245="不充分",L245="不确定"),"evidence_definition_failure",IF(L245&lt;&gt;"充分","unresolved",IF(COUNTIF(M245:O245,"C")=0,"robust_generation_failure",IF(COUNTIF(M245:O245,"C")=3,"ua3_representation_or_admission_failure","generation_instability")))))</x:f>
        <x:v>unresolved</x:v>
      </x:c>
      <x:c r="Q245" s="33" t="str"/>
      <x:c r="R245" s="33" t="str"/>
      <x:c r="S245" s="33" t="str"/>
      <x:c r="T245" s="36"/>
      <x:c r="U245" s="33" t="str"/>
      <x:c r="V245" s="30" t="str">
        <x:f>IF(AND(L245&lt;&gt;"",M245&lt;&gt;"",N245&lt;&gt;"",O245&lt;&gt;"",Q245&lt;&gt;"",R245&lt;&gt;""),"完成","未完成")</x:f>
        <x:v>未完成</x:v>
      </x:c>
    </x:row>
    <x:row r="246" ht="63" customHeight="1">
      <x:c r="A246" s="30" t="n">
        <x:v>245</x:v>
      </x:c>
      <x:c r="B246" s="30" t="str">
        <x:v>memos_medium:2155</x:v>
      </x:c>
      <x:c r="C246" s="30" t="str">
        <x:v>medium</x:v>
      </x:c>
      <x:c r="D246" s="30" t="str">
        <x:v>Multi-hop Inference</x:v>
      </x:c>
      <x:c r="E246" s="30" t="str">
        <x:v>How did Sharon Brown's monthly income change after her promotion on May 24, 2029?</x:v>
      </x:c>
      <x:c r="F246" s="30" t="str">
        <x:v>Increased to $15,000</x:v>
      </x:c>
      <x:c r="G246" s="30" t="str">
        <x:v># Authoritative benchmark gold evidence
The following evidence is authoritative for answering the current question. Use it directly and do not rely on conflicting information.
Evidence 1
Memory type: Persona Memory
Content: Sharon Brown's monthly income is $15,000.
Evidence 2
Memory type: Persona Memory
Content: Sharon Brown's job title is Senior Advisor, previously Mentor.</x:v>
      </x:c>
      <x:c r="H246" s="30" t="str">
        <x:v>Not enough information.</x:v>
      </x:c>
      <x:c r="I246" s="30" t="str">
        <x:v>No change.</x:v>
      </x:c>
      <x:c r="J246" s="30" t="str">
        <x:v>No change.</x:v>
      </x:c>
      <x:c r="K246" s="30" t="str">
        <x:v>No change.</x:v>
      </x:c>
      <x:c r="L246" s="33" t="str"/>
      <x:c r="M246" s="33" t="str"/>
      <x:c r="N246" s="33" t="str"/>
      <x:c r="O246" s="33" t="str"/>
      <x:c r="P246" s="30" t="str">
        <x:f>IF(COUNTA(L246:O246)&lt;4,"未完成",IF(OR(L246="部分",L246="不充分",L246="不确定"),"evidence_definition_failure",IF(L246&lt;&gt;"充分","unresolved",IF(COUNTIF(M246:O246,"C")=0,"robust_generation_failure",IF(COUNTIF(M246:O246,"C")=3,"ua3_representation_or_admission_failure","generation_instability")))))</x:f>
        <x:v>unresolved</x:v>
      </x:c>
      <x:c r="Q246" s="33" t="str"/>
      <x:c r="R246" s="33" t="str"/>
      <x:c r="S246" s="33" t="str"/>
      <x:c r="T246" s="36"/>
      <x:c r="U246" s="33" t="str"/>
      <x:c r="V246" s="30" t="str">
        <x:f>IF(AND(L246&lt;&gt;"",M246&lt;&gt;"",N246&lt;&gt;"",O246&lt;&gt;"",Q246&lt;&gt;"",R246&lt;&gt;""),"完成","未完成")</x:f>
        <x:v>未完成</x:v>
      </x:c>
    </x:row>
    <x:row r="247" ht="63" customHeight="1">
      <x:c r="A247" s="30" t="n">
        <x:v>246</x:v>
      </x:c>
      <x:c r="B247" s="30" t="str">
        <x:v>memos_long:3048</x:v>
      </x:c>
      <x:c r="C247" s="30" t="str">
        <x:v>long</x:v>
      </x:c>
      <x:c r="D247" s="30" t="str">
        <x:v>Generalization &amp; Application</x:v>
      </x:c>
      <x:c r="E247" s="30" t="str">
        <x:v>What new sport could Karen Brown consider to further enhance her personal growth after November 1, 2037?</x:v>
      </x:c>
      <x:c r="F247" s="30" t="str">
        <x:v>Triathlon, as it includes swimming, running, and cycling.</x:v>
      </x:c>
      <x:c r="G247" s="30" t="str">
        <x:v>#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x:v>
      </x:c>
      <x:c r="H247" s="30" t="str">
        <x:v>Swimming competitions</x:v>
      </x:c>
      <x:c r="I247" s="30" t="str">
        <x:v>Competitive swimming</x:v>
      </x:c>
      <x:c r="J247" s="30" t="str">
        <x:v>Competitive swimming</x:v>
      </x:c>
      <x:c r="K247" s="30" t="str">
        <x:v>Competitive swimming</x:v>
      </x:c>
      <x:c r="L247" s="33" t="str"/>
      <x:c r="M247" s="33" t="str"/>
      <x:c r="N247" s="33" t="str"/>
      <x:c r="O247" s="33" t="str"/>
      <x:c r="P247" s="30" t="str">
        <x:f>IF(COUNTA(L247:O247)&lt;4,"未完成",IF(OR(L247="部分",L247="不充分",L247="不确定"),"evidence_definition_failure",IF(L247&lt;&gt;"充分","unresolved",IF(COUNTIF(M247:O247,"C")=0,"robust_generation_failure",IF(COUNTIF(M247:O247,"C")=3,"ua3_representation_or_admission_failure","generation_instability")))))</x:f>
        <x:v>unresolved</x:v>
      </x:c>
      <x:c r="Q247" s="33" t="str"/>
      <x:c r="R247" s="33" t="str"/>
      <x:c r="S247" s="33" t="str"/>
      <x:c r="T247" s="36"/>
      <x:c r="U247" s="33" t="str"/>
      <x:c r="V247" s="30" t="str">
        <x:f>IF(AND(L247&lt;&gt;"",M247&lt;&gt;"",N247&lt;&gt;"",O247&lt;&gt;"",Q247&lt;&gt;"",R247&lt;&gt;""),"完成","未完成")</x:f>
        <x:v>未完成</x:v>
      </x:c>
    </x:row>
    <x:row r="248" ht="63" customHeight="1">
      <x:c r="A248" s="30" t="n">
        <x:v>247</x:v>
      </x:c>
      <x:c r="B248" s="30" t="str">
        <x:v>memos_long:127</x:v>
      </x:c>
      <x:c r="C248" s="30" t="str">
        <x:v>long</x:v>
      </x:c>
      <x:c r="D248" s="30" t="str">
        <x:v>Multi-hop Inference</x:v>
      </x:c>
      <x:c r="E248" s="30" t="str">
        <x:v>How did Martin's promotion on April 25, 2033, impact his health practices by June 15, 2033?</x:v>
      </x:c>
      <x:c r="F248" s="30" t="str">
        <x:v>Promotion motivated sustained health practices.</x:v>
      </x:c>
      <x:c r="G248" s="30" t="str">
        <x:v># Authoritative benchmark gold evidence
The following evidence is authoritative for answering the current question. Use it directly and do not rely on conflicting information.
Evidence 1
Memory type: Event Memory
Content: Martin Mark expressed pride and apprehension about his promotion to Executive Director, recognizing the increased responsibilities and opportunities for growth.
Evidence 2
Memory type: Persona Memory
Content: Martin's commitment to yoga and meditation has led to exceptional physical and mental well-being.
Evidence 3
Memory type: Persona Memory
Content: Martin emphasized the importance of integrating health practices into daily routines to sustain professional success.</x:v>
      </x:c>
      <x:c r="H248" s="30" t="str">
        <x:v>No promotion mentioned.</x:v>
      </x:c>
      <x:c r="I248" s="30" t="str">
        <x:v>No negative impact.</x:v>
      </x:c>
      <x:c r="J248" s="30" t="str">
        <x:v>No negative impact.</x:v>
      </x:c>
      <x:c r="K248" s="30" t="str">
        <x:v>No negative impact.</x:v>
      </x:c>
      <x:c r="L248" s="33" t="str"/>
      <x:c r="M248" s="33" t="str"/>
      <x:c r="N248" s="33" t="str"/>
      <x:c r="O248" s="33" t="str"/>
      <x:c r="P248" s="30" t="str">
        <x:f>IF(COUNTA(L248:O248)&lt;4,"未完成",IF(OR(L248="部分",L248="不充分",L248="不确定"),"evidence_definition_failure",IF(L248&lt;&gt;"充分","unresolved",IF(COUNTIF(M248:O248,"C")=0,"robust_generation_failure",IF(COUNTIF(M248:O248,"C")=3,"ua3_representation_or_admission_failure","generation_instability")))))</x:f>
        <x:v>unresolved</x:v>
      </x:c>
      <x:c r="Q248" s="33" t="str"/>
      <x:c r="R248" s="33" t="str"/>
      <x:c r="S248" s="33" t="str"/>
      <x:c r="T248" s="36"/>
      <x:c r="U248" s="33" t="str"/>
      <x:c r="V248" s="30" t="str">
        <x:f>IF(AND(L248&lt;&gt;"",M248&lt;&gt;"",N248&lt;&gt;"",O248&lt;&gt;"",Q248&lt;&gt;"",R248&lt;&gt;""),"完成","未完成")</x:f>
        <x:v>未完成</x:v>
      </x:c>
    </x:row>
    <x:row r="249" ht="63" customHeight="1">
      <x:c r="A249" s="30" t="n">
        <x:v>248</x:v>
      </x:c>
      <x:c r="B249" s="30" t="str">
        <x:v>memos_medium:2793</x:v>
      </x:c>
      <x:c r="C249" s="30" t="str">
        <x:v>medium</x:v>
      </x:c>
      <x:c r="D249" s="30" t="str">
        <x:v>Generalization &amp; Application</x:v>
      </x:c>
      <x:c r="E249" s="30" t="str">
        <x:v>What type of cuisine might Donald Smith enjoy exploring after October 28, 2029, based on his evolving preferences?</x:v>
      </x:c>
      <x:c r="F249" s="30" t="str">
        <x:v>Complex and diverse flavors.</x:v>
      </x:c>
      <x:c r="G249" s="30" t="str">
        <x:v># Authoritative benchmark gold evidence
The following evidence is authoritative for answering the current question. Use it directly and do not rely on conflicting information.
Evidence 1
Memory type: Persona Memory
Content: Donald Smith's exposure to diverse culinary experiences has led to a broader appreciation for complex flavors, reflecting his openness to new experiences.
Evidence 2
Memory type: Persona Memory
Content: Donald Smith's evolving food preferences reflect his broader strategy to embrace diverse experiences for personal and social growth.</x:v>
      </x:c>
      <x:c r="H249" s="30" t="str">
        <x:v>Complex and simple cuisines.</x:v>
      </x:c>
      <x:c r="I249" s="30" t="str">
        <x:v>Diverse or complex cuisines</x:v>
      </x:c>
      <x:c r="J249" s="30" t="str">
        <x:v>Diverse or complex cuisines</x:v>
      </x:c>
      <x:c r="K249" s="30" t="str">
        <x:v>Diverse or complex cuisines</x:v>
      </x:c>
      <x:c r="L249" s="33" t="str"/>
      <x:c r="M249" s="33" t="str"/>
      <x:c r="N249" s="33" t="str"/>
      <x:c r="O249" s="33" t="str"/>
      <x:c r="P249" s="30" t="str">
        <x:f>IF(COUNTA(L249:O249)&lt;4,"未完成",IF(OR(L249="部分",L249="不充分",L249="不确定"),"evidence_definition_failure",IF(L249&lt;&gt;"充分","unresolved",IF(COUNTIF(M249:O249,"C")=0,"robust_generation_failure",IF(COUNTIF(M249:O249,"C")=3,"ua3_representation_or_admission_failure","generation_instability")))))</x:f>
        <x:v>unresolved</x:v>
      </x:c>
      <x:c r="Q249" s="33" t="str"/>
      <x:c r="R249" s="33" t="str"/>
      <x:c r="S249" s="33" t="str"/>
      <x:c r="T249" s="36"/>
      <x:c r="U249" s="33" t="str"/>
      <x:c r="V249" s="30" t="str">
        <x:f>IF(AND(L249&lt;&gt;"",M249&lt;&gt;"",N249&lt;&gt;"",O249&lt;&gt;"",Q249&lt;&gt;"",R249&lt;&gt;""),"完成","未完成")</x:f>
        <x:v>未完成</x:v>
      </x:c>
    </x:row>
    <x:row r="250" ht="63" customHeight="1">
      <x:c r="A250" s="30" t="n">
        <x:v>249</x:v>
      </x:c>
      <x:c r="B250" s="30" t="str">
        <x:v>memos_long:3399</x:v>
      </x:c>
      <x:c r="C250" s="30" t="str">
        <x:v>long</x:v>
      </x:c>
      <x:c r="D250" s="30" t="str">
        <x:v>Generalization &amp; Application</x:v>
      </x:c>
      <x:c r="E250" s="30" t="str">
        <x:v>What new genre of games might Christopher explore after August 21, 2031?</x:v>
      </x:c>
      <x:c r="F250" s="30" t="str">
        <x:v>Games offering social interactions and new insights.</x:v>
      </x:c>
      <x:c r="G250" s="30" t="str">
        <x:v># Authoritative benchmark gold evidence
The following evidence is authoritative for answering the current question. Use it directly and do not rely on conflicting information.
Evidence 1
Memory type: Persona Memory
Content: Christopher's social motivation influenced his openness to exploring first-person shooters, aiming to entertain and engage with friends.
Evidence 2
Memory type: Persona Memory
Content: Christopher expressed excitement about the potential for first-person shooters to offer new insights and social interactions.
Evidence 3
Memory type: Persona Memory
Content: Christopher's willingness to evolve his gaming preferences is driven by personal curiosity and a commitment to lifelong learning.</x:v>
      </x:c>
      <x:c r="H250" s="30" t="str">
        <x:v>First-person shooters</x:v>
      </x:c>
      <x:c r="I250" s="30" t="str">
        <x:v>First-person shooters.</x:v>
      </x:c>
      <x:c r="J250" s="30" t="str">
        <x:v>First-person shooters.</x:v>
      </x:c>
      <x:c r="K250" s="30" t="str">
        <x:v>First-person shooters.</x:v>
      </x:c>
      <x:c r="L250" s="33" t="str"/>
      <x:c r="M250" s="33" t="str"/>
      <x:c r="N250" s="33" t="str"/>
      <x:c r="O250" s="33" t="str"/>
      <x:c r="P250" s="30" t="str">
        <x:f>IF(COUNTA(L250:O250)&lt;4,"未完成",IF(OR(L250="部分",L250="不充分",L250="不确定"),"evidence_definition_failure",IF(L250&lt;&gt;"充分","unresolved",IF(COUNTIF(M250:O250,"C")=0,"robust_generation_failure",IF(COUNTIF(M250:O250,"C")=3,"ua3_representation_or_admission_failure","generation_instability")))))</x:f>
        <x:v>unresolved</x:v>
      </x:c>
      <x:c r="Q250" s="33" t="str"/>
      <x:c r="R250" s="33" t="str"/>
      <x:c r="S250" s="33" t="str"/>
      <x:c r="T250" s="36"/>
      <x:c r="U250" s="33" t="str"/>
      <x:c r="V250" s="30" t="str">
        <x:f>IF(AND(L250&lt;&gt;"",M250&lt;&gt;"",N250&lt;&gt;"",O250&lt;&gt;"",Q250&lt;&gt;"",R250&lt;&gt;""),"完成","未完成")</x:f>
        <x:v>未完成</x:v>
      </x:c>
    </x:row>
    <x:row r="251" ht="63" customHeight="1">
      <x:c r="A251" s="30" t="n">
        <x:v>250</x:v>
      </x:c>
      <x:c r="B251" s="30" t="str">
        <x:v>memos_medium:2859</x:v>
      </x:c>
      <x:c r="C251" s="30" t="str">
        <x:v>medium</x:v>
      </x:c>
      <x:c r="D251" s="30" t="str">
        <x:v>Multi-hop Inference</x:v>
      </x:c>
      <x:c r="E251" s="30" t="str">
        <x:v>How did Donald Smith's approach to managing health challenges change between June 15 and September 25, 2035?</x:v>
      </x:c>
      <x:c r="F251" s="30" t="str">
        <x:v>Adopted healthier routines and sought emotional support.</x:v>
      </x:c>
      <x:c r="G251" s="30" t="str">
        <x:v># Authoritative benchmark gold evidence
The following evidence is authoritative for answering the current question. Use it directly and do not rely on conflicting information.
Evidence 1
Memory type: Persona Memory
Content: Donald Smith is committed to maintaining a healthier work-life balance while managing health challenges and supporting a relative's political career.
Evidence 2
Memory type: Event Memory
Content: Donald plans to adopt healthier routines, such as regular exercise, meditation, and journaling, and seek emotional support to manage health challenges effectively.</x:v>
      </x:c>
      <x:c r="H251" s="30" t="str">
        <x:v>Adopted healthier routines.</x:v>
      </x:c>
      <x:c r="I251" s="30" t="str">
        <x:v>Adopted healthier routines.</x:v>
      </x:c>
      <x:c r="J251" s="30" t="str">
        <x:v>Adopted healthier routines.</x:v>
      </x:c>
      <x:c r="K251" s="30" t="str">
        <x:v>Adopted healthier routines.</x:v>
      </x:c>
      <x:c r="L251" s="33" t="str"/>
      <x:c r="M251" s="33" t="str"/>
      <x:c r="N251" s="33" t="str"/>
      <x:c r="O251" s="33" t="str"/>
      <x:c r="P251" s="30" t="str">
        <x:f>IF(COUNTA(L251:O251)&lt;4,"未完成",IF(OR(L251="部分",L251="不充分",L251="不确定"),"evidence_definition_failure",IF(L251&lt;&gt;"充分","unresolved",IF(COUNTIF(M251:O251,"C")=0,"robust_generation_failure",IF(COUNTIF(M251:O251,"C")=3,"ua3_representation_or_admission_failure","generation_instability")))))</x:f>
        <x:v>unresolved</x:v>
      </x:c>
      <x:c r="Q251" s="33" t="str"/>
      <x:c r="R251" s="33" t="str"/>
      <x:c r="S251" s="33" t="str"/>
      <x:c r="T251" s="36"/>
      <x:c r="U251" s="33" t="str"/>
      <x:c r="V251" s="30" t="str">
        <x:f>IF(AND(L251&lt;&gt;"",M251&lt;&gt;"",N251&lt;&gt;"",O251&lt;&gt;"",Q251&lt;&gt;"",R251&lt;&gt;""),"完成","未完成")</x:f>
        <x:v>未完成</x:v>
      </x:c>
    </x:row>
    <x:row r="252" ht="63" customHeight="1">
      <x:c r="A252" s="30" t="n">
        <x:v>251</x:v>
      </x:c>
      <x:c r="B252" s="30" t="str">
        <x:v>memos_medium:661</x:v>
      </x:c>
      <x:c r="C252" s="30" t="str">
        <x:v>medium</x:v>
      </x:c>
      <x:c r="D252" s="30" t="str">
        <x:v>Generalization &amp; Application</x:v>
      </x:c>
      <x:c r="E252" s="30" t="str">
        <x:v>What type of culinary class might Sarah Garcia enjoy taking after April 20, 2038?</x:v>
      </x:c>
      <x:c r="F252" s="30" t="str">
        <x:v>A class focusing on artistic food presentation.</x:v>
      </x:c>
      <x:c r="G252" s="30" t="str">
        <x:v># Authoritative benchmark gold evidence
The following evidence is authoritative for answering the current question. Use it directly and do not rely on conflicting information.
Evidence 1
Memory type: Event Memory
Content: Sarah Garcia participated in a sushi-making class on Apr 20, 2038, which enhanced her appreciation for the artistry and skill involved in sushi preparation.
Evidence 2
Memory type: Persona Memory
Content: Sarah Garcia's food preference for sushi evolved from liking fresh sushi to admiring handcrafted sushi for its artistic presentation and meticulous preparation.
Evidence 3
Memory type: Persona Memory
Content: Sarah Garcia expressed enthusiasm for exploring new culinary avenues, driven by her creative motivation to inspire ideas and overcome creative blocks.</x:v>
      </x:c>
      <x:c r="H252" s="30" t="str">
        <x:v>Sushi-making class</x:v>
      </x:c>
      <x:c r="I252" s="30" t="str">
        <x:v>Sushi-making class</x:v>
      </x:c>
      <x:c r="J252" s="30" t="str">
        <x:v>Sushi-making class</x:v>
      </x:c>
      <x:c r="K252" s="30" t="str">
        <x:v>Sushi-making class</x:v>
      </x:c>
      <x:c r="L252" s="33" t="str"/>
      <x:c r="M252" s="33" t="str"/>
      <x:c r="N252" s="33" t="str"/>
      <x:c r="O252" s="33" t="str"/>
      <x:c r="P252" s="30" t="str">
        <x:f>IF(COUNTA(L252:O252)&lt;4,"未完成",IF(OR(L252="部分",L252="不充分",L252="不确定"),"evidence_definition_failure",IF(L252&lt;&gt;"充分","unresolved",IF(COUNTIF(M252:O252,"C")=0,"robust_generation_failure",IF(COUNTIF(M252:O252,"C")=3,"ua3_representation_or_admission_failure","generation_instability")))))</x:f>
        <x:v>unresolved</x:v>
      </x:c>
      <x:c r="Q252" s="33" t="str"/>
      <x:c r="R252" s="33" t="str"/>
      <x:c r="S252" s="33" t="str"/>
      <x:c r="T252" s="36"/>
      <x:c r="U252" s="33" t="str"/>
      <x:c r="V252" s="30" t="str">
        <x:f>IF(AND(L252&lt;&gt;"",M252&lt;&gt;"",N252&lt;&gt;"",O252&lt;&gt;"",Q252&lt;&gt;"",R252&lt;&gt;""),"完成","未完成")</x:f>
        <x:v>未完成</x:v>
      </x:c>
    </x:row>
    <x:row r="253" ht="63" customHeight="1">
      <x:c r="A253" s="30" t="n">
        <x:v>252</x:v>
      </x:c>
      <x:c r="B253" s="30" t="str">
        <x:v>memos_medium:808</x:v>
      </x:c>
      <x:c r="C253" s="30" t="str">
        <x:v>medium</x:v>
      </x:c>
      <x:c r="D253" s="30" t="str">
        <x:v>Generalization &amp; Application</x:v>
      </x:c>
      <x:c r="E253" s="30" t="str">
        <x:v>What strategic planning steps might Donna take for her music academy after July 15, 2033?</x:v>
      </x:c>
      <x:c r="F253" s="30" t="str">
        <x:v>Consider locations, funding, and curriculum development.</x:v>
      </x:c>
      <x:c r="G253" s="30" t="str">
        <x:v># Authoritative benchmark gold evidence
The following evidence is authoritative for answering the current question. Use it directly and do not rely on conflicting information.
Evidence 1
Memory type: Event Memory
Content: Donna Gonzalez is focused on long-term planning to establish a music academy for future composers, considering locations, funding, and curriculum development.
Evidence 2
Memory type: Persona Memory
Content: Donna Gonzalez expressed excitement about the freedom her independent career provides for strategic planning, which includes sponsorships and faculty recruitment.</x:v>
      </x:c>
      <x:c r="H253" s="30" t="str">
        <x:v>Incorporate emotional engagement lessons.</x:v>
      </x:c>
      <x:c r="I253" s="30" t="str">
        <x:v>Sponsorships and faculty recruitment.</x:v>
      </x:c>
      <x:c r="J253" s="30" t="str">
        <x:v>Sponsorships and faculty recruitment.</x:v>
      </x:c>
      <x:c r="K253" s="30" t="str">
        <x:v>Sponsorships and faculty recruitment.</x:v>
      </x:c>
      <x:c r="L253" s="33" t="str"/>
      <x:c r="M253" s="33" t="str"/>
      <x:c r="N253" s="33" t="str"/>
      <x:c r="O253" s="33" t="str"/>
      <x:c r="P253" s="30" t="str">
        <x:f>IF(COUNTA(L253:O253)&lt;4,"未完成",IF(OR(L253="部分",L253="不充分",L253="不确定"),"evidence_definition_failure",IF(L253&lt;&gt;"充分","unresolved",IF(COUNTIF(M253:O253,"C")=0,"robust_generation_failure",IF(COUNTIF(M253:O253,"C")=3,"ua3_representation_or_admission_failure","generation_instability")))))</x:f>
        <x:v>unresolved</x:v>
      </x:c>
      <x:c r="Q253" s="33" t="str"/>
      <x:c r="R253" s="33" t="str"/>
      <x:c r="S253" s="33" t="str"/>
      <x:c r="T253" s="36"/>
      <x:c r="U253" s="33" t="str"/>
      <x:c r="V253" s="30" t="str">
        <x:f>IF(AND(L253&lt;&gt;"",M253&lt;&gt;"",N253&lt;&gt;"",O253&lt;&gt;"",Q253&lt;&gt;"",R253&lt;&gt;""),"完成","未完成")</x:f>
        <x:v>未完成</x:v>
      </x:c>
    </x:row>
    <x:row r="254" ht="63" customHeight="1">
      <x:c r="A254" s="30" t="n">
        <x:v>253</x:v>
      </x:c>
      <x:c r="B254" s="30" t="str">
        <x:v>memos_long:1878</x:v>
      </x:c>
      <x:c r="C254" s="30" t="str">
        <x:v>long</x:v>
      </x:c>
      <x:c r="D254" s="30" t="str">
        <x:v>Multi-hop Inference</x:v>
      </x:c>
      <x:c r="E254" s="30" t="str">
        <x:v>How did Michelle's promotion affect her monthly income by Feb 23, 2035?</x:v>
      </x:c>
      <x:c r="F254" s="30" t="str">
        <x:v>Increased to 12000.</x:v>
      </x:c>
      <x:c r="G254" s="30" t="str">
        <x:v># Authoritative benchmark gold evidence
The following evidence is authoritative for answering the current question. Use it directly and do not rely on conflicting information.
Evidence 1
Memory type: Persona Memory
Content: Michelle Hernandez's career_status updated monthly_income from "0" to "12000".
Evidence 2
Memory type: Persona Memory
Content: Michelle Hernandez's career_status updated job_title from "Founder and CEO" to "Executive Director" at Visionary AI Solutions.</x:v>
      </x:c>
      <x:c r="H254" s="30" t="str">
        <x:v>Not mentioned in memories.</x:v>
      </x:c>
      <x:c r="I254" s="30" t="str">
        <x:v>Increased to $12,000.</x:v>
      </x:c>
      <x:c r="J254" s="30" t="str">
        <x:v>Increased to $12,000.</x:v>
      </x:c>
      <x:c r="K254" s="30" t="str">
        <x:v>Increased to $12,000.</x:v>
      </x:c>
      <x:c r="L254" s="33" t="str"/>
      <x:c r="M254" s="33" t="str"/>
      <x:c r="N254" s="33" t="str"/>
      <x:c r="O254" s="33" t="str"/>
      <x:c r="P254" s="30" t="str">
        <x:f>IF(COUNTA(L254:O254)&lt;4,"未完成",IF(OR(L254="部分",L254="不充分",L254="不确定"),"evidence_definition_failure",IF(L254&lt;&gt;"充分","unresolved",IF(COUNTIF(M254:O254,"C")=0,"robust_generation_failure",IF(COUNTIF(M254:O254,"C")=3,"ua3_representation_or_admission_failure","generation_instability")))))</x:f>
        <x:v>unresolved</x:v>
      </x:c>
      <x:c r="Q254" s="33" t="str"/>
      <x:c r="R254" s="33" t="str"/>
      <x:c r="S254" s="33" t="str"/>
      <x:c r="T254" s="36"/>
      <x:c r="U254" s="33" t="str"/>
      <x:c r="V254" s="30" t="str">
        <x:f>IF(AND(L254&lt;&gt;"",M254&lt;&gt;"",N254&lt;&gt;"",O254&lt;&gt;"",Q254&lt;&gt;"",R254&lt;&gt;""),"完成","未完成")</x:f>
        <x:v>未完成</x:v>
      </x:c>
    </x:row>
    <x:row r="255" ht="63" customHeight="1">
      <x:c r="A255" s="30" t="n">
        <x:v>254</x:v>
      </x:c>
      <x:c r="B255" s="30" t="str">
        <x:v>memos_long:2183</x:v>
      </x:c>
      <x:c r="C255" s="30" t="str">
        <x:v>long</x:v>
      </x:c>
      <x:c r="D255" s="30" t="str">
        <x:v>Basic Fact Recall</x:v>
      </x:c>
      <x:c r="E255" s="30" t="str">
        <x:v>When did Sharon Brown join a local board game club?</x:v>
      </x:c>
      <x:c r="F255" s="30" t="str">
        <x:v>January 9, 2032</x:v>
      </x:c>
      <x:c r="G255" s="30" t="str">
        <x:v># Authoritative benchmark gold evidence
The following evidence is authoritative for answering the current question. Use it directly and do not rely on conflicting information.
Evidence 1
Memory type: Event Memory
Content: Sharon Brown joined a local board game club where she discovered advanced strategy games.</x:v>
      </x:c>
      <x:c r="H255" s="30" t="str">
        <x:v>No information provided.</x:v>
      </x:c>
      <x:c r="I255" s="30" t="str">
        <x:v>The provided evidence does not include a date.</x:v>
      </x:c>
      <x:c r="J255" s="30" t="str">
        <x:v>The provided evidence does not include a date.</x:v>
      </x:c>
      <x:c r="K255" s="30" t="str">
        <x:v>The provided evidence does not include a date.</x:v>
      </x:c>
      <x:c r="L255" s="33" t="str"/>
      <x:c r="M255" s="33" t="str"/>
      <x:c r="N255" s="33" t="str"/>
      <x:c r="O255" s="33" t="str"/>
      <x:c r="P255" s="30" t="str">
        <x:f>IF(COUNTA(L255:O255)&lt;4,"未完成",IF(OR(L255="部分",L255="不充分",L255="不确定"),"evidence_definition_failure",IF(L255&lt;&gt;"充分","unresolved",IF(COUNTIF(M255:O255,"C")=0,"robust_generation_failure",IF(COUNTIF(M255:O255,"C")=3,"ua3_representation_or_admission_failure","generation_instability")))))</x:f>
        <x:v>unresolved</x:v>
      </x:c>
      <x:c r="Q255" s="33" t="str"/>
      <x:c r="R255" s="33" t="str"/>
      <x:c r="S255" s="33" t="str"/>
      <x:c r="T255" s="36"/>
      <x:c r="U255" s="33" t="str"/>
      <x:c r="V255" s="30" t="str">
        <x:f>IF(AND(L255&lt;&gt;"",M255&lt;&gt;"",N255&lt;&gt;"",O255&lt;&gt;"",Q255&lt;&gt;"",R255&lt;&gt;""),"完成","未完成")</x:f>
        <x:v>未完成</x:v>
      </x:c>
    </x:row>
    <x:row r="256" ht="63" customHeight="1">
      <x:c r="A256" s="30" t="n">
        <x:v>255</x:v>
      </x:c>
      <x:c r="B256" s="30" t="str">
        <x:v>memos_medium:920</x:v>
      </x:c>
      <x:c r="C256" s="30" t="str">
        <x:v>medium</x:v>
      </x:c>
      <x:c r="D256" s="30" t="str">
        <x:v>Memory Conflict</x:v>
      </x:c>
      <x:c r="E256" s="30" t="str">
        <x:v>Did Donna attend a seminar on environmental sustainability before October 31, 2028?</x:v>
      </x:c>
      <x:c r="F256" s="30" t="str">
        <x:v>No, she attended it on October 31, 2028.</x:v>
      </x:c>
      <x:c r="G256" s="30" t="str">
        <x:v># Authoritative benchmark gold evidence
The following evidence is authoritative for answering the current question. Use it directly and do not rely on conflicting information.
Evidence 1
Memory type: Event Memory
Content: Donna attended a seminar on environmental sustainability on Oct 31, 2028, which highlighted the impact of plastic waste from sugary sodas.
Evidence 2
Memory type: Event Memory
Content: The seminar attended by Donna served as a catalyst for reevaluating her beverage preferences.</x:v>
      </x:c>
      <x:c r="H256" s="30" t="str">
        <x:v>Yes, she did.</x:v>
      </x:c>
      <x:c r="I256" s="30" t="str">
        <x:v>No</x:v>
      </x:c>
      <x:c r="J256" s="30" t="str">
        <x:v>No</x:v>
      </x:c>
      <x:c r="K256" s="30" t="str">
        <x:v>No</x:v>
      </x:c>
      <x:c r="L256" s="33" t="str"/>
      <x:c r="M256" s="33" t="str"/>
      <x:c r="N256" s="33" t="str"/>
      <x:c r="O256" s="33" t="str"/>
      <x:c r="P256" s="30" t="str">
        <x:f>IF(COUNTA(L256:O256)&lt;4,"未完成",IF(OR(L256="部分",L256="不充分",L256="不确定"),"evidence_definition_failure",IF(L256&lt;&gt;"充分","unresolved",IF(COUNTIF(M256:O256,"C")=0,"robust_generation_failure",IF(COUNTIF(M256:O256,"C")=3,"ua3_representation_or_admission_failure","generation_instability")))))</x:f>
        <x:v>unresolved</x:v>
      </x:c>
      <x:c r="Q256" s="33" t="str"/>
      <x:c r="R256" s="33" t="str"/>
      <x:c r="S256" s="33" t="str"/>
      <x:c r="T256" s="36"/>
      <x:c r="U256" s="33" t="str"/>
      <x:c r="V256" s="30" t="str">
        <x:f>IF(AND(L256&lt;&gt;"",M256&lt;&gt;"",N256&lt;&gt;"",O256&lt;&gt;"",Q256&lt;&gt;"",R256&lt;&gt;""),"完成","未完成")</x:f>
        <x:v>未完成</x:v>
      </x:c>
    </x:row>
    <x:row r="257" ht="63" customHeight="1">
      <x:c r="A257" s="30" t="n">
        <x:v>256</x:v>
      </x:c>
      <x:c r="B257" s="30" t="str">
        <x:v>memos_long:2945</x:v>
      </x:c>
      <x:c r="C257" s="30" t="str">
        <x:v>long</x:v>
      </x:c>
      <x:c r="D257" s="30" t="str">
        <x:v>Memory Conflict</x:v>
      </x:c>
      <x:c r="E257" s="30" t="str">
        <x:v>Did Karen Brown express a dislike for small dogs during her visit on Nov 09, 2026?</x:v>
      </x:c>
      <x:c r="F257" s="30" t="str">
        <x:v>No, Karen reconsidered her dislike for large dogs, not small dogs.</x:v>
      </x:c>
      <x:c r="G257" s="30" t="str">
        <x:v># Authoritative benchmark gold evidence
The following evidence is authoritative for answering the current question. Use it directly and do not rely on conflicting information.
Evidence 1
Memory type: Event Memory
Content: Karen Brown spent time with a friend's large dog, which was gentle and well-trained, leading her to reconsider her previous dislike for large dogs.
Evidence 2
Memory type: Persona Memory
Content: Karen Brown now appreciates large dogs after realizing they can be gentle and fit into her busy lifestyle.</x:v>
      </x:c>
      <x:c r="H257" s="30" t="str">
        <x:v>No, she likes large dogs.</x:v>
      </x:c>
      <x:c r="I257" s="30" t="str">
        <x:v>No, she did not.</x:v>
      </x:c>
      <x:c r="J257" s="30" t="str">
        <x:v>No, she did not.</x:v>
      </x:c>
      <x:c r="K257" s="30" t="str">
        <x:v>No, she did not.</x:v>
      </x:c>
      <x:c r="L257" s="33" t="str"/>
      <x:c r="M257" s="33" t="str"/>
      <x:c r="N257" s="33" t="str"/>
      <x:c r="O257" s="33" t="str"/>
      <x:c r="P257" s="30" t="str">
        <x:f>IF(COUNTA(L257:O257)&lt;4,"未完成",IF(OR(L257="部分",L257="不充分",L257="不确定"),"evidence_definition_failure",IF(L257&lt;&gt;"充分","unresolved",IF(COUNTIF(M257:O257,"C")=0,"robust_generation_failure",IF(COUNTIF(M257:O257,"C")=3,"ua3_representation_or_admission_failure","generation_instability")))))</x:f>
        <x:v>unresolved</x:v>
      </x:c>
      <x:c r="Q257" s="33" t="str"/>
      <x:c r="R257" s="33" t="str"/>
      <x:c r="S257" s="33" t="str"/>
      <x:c r="T257" s="36"/>
      <x:c r="U257" s="33" t="str"/>
      <x:c r="V257" s="30" t="str">
        <x:f>IF(AND(L257&lt;&gt;"",M257&lt;&gt;"",N257&lt;&gt;"",O257&lt;&gt;"",Q257&lt;&gt;"",R257&lt;&gt;""),"完成","未完成")</x:f>
        <x:v>未完成</x:v>
      </x:c>
    </x:row>
    <x:row r="258" ht="63" customHeight="1">
      <x:c r="A258" s="30" t="n">
        <x:v>257</x:v>
      </x:c>
      <x:c r="B258" s="30" t="str">
        <x:v>memos_medium:878</x:v>
      </x:c>
      <x:c r="C258" s="30" t="str">
        <x:v>medium</x:v>
      </x:c>
      <x:c r="D258" s="30" t="str">
        <x:v>Basic Fact Recall</x:v>
      </x:c>
      <x:c r="E258" s="30" t="str">
        <x:v>What strategic goal is Donna Gonzalez pursuing as of June 1, 2039?</x:v>
      </x:c>
      <x:c r="F258" s="30" t="str">
        <x:v>Establish a music academy</x:v>
      </x:c>
      <x:c r="G258" s="30" t="str">
        <x:v># Authoritative benchmark gold evidence
The following evidence is authoritative for answering the current question. Use it directly and do not rely on conflicting information.
Evidence 1
Memory type: Persona Memory
Content: Donna Gonzalez expressed enthusiasm about the potential for new connections to enhance her professional growth and align with her ultimate life goal of redefining film music and establishing a music academy.</x:v>
      </x:c>
      <x:c r="H258" s="30" t="str">
        <x:v>Nurturing future film composers</x:v>
      </x:c>
      <x:c r="I258" s="30" t="str">
        <x:v>Redefining film music, establishing academy.</x:v>
      </x:c>
      <x:c r="J258" s="30" t="str">
        <x:v>Redefining film music, establishing academy.</x:v>
      </x:c>
      <x:c r="K258" s="30" t="str">
        <x:v>Redefining film music, establishing academy.</x:v>
      </x:c>
      <x:c r="L258" s="33" t="str"/>
      <x:c r="M258" s="33" t="str"/>
      <x:c r="N258" s="33" t="str"/>
      <x:c r="O258" s="33" t="str"/>
      <x:c r="P258" s="30" t="str">
        <x:f>IF(COUNTA(L258:O258)&lt;4,"未完成",IF(OR(L258="部分",L258="不充分",L258="不确定"),"evidence_definition_failure",IF(L258&lt;&gt;"充分","unresolved",IF(COUNTIF(M258:O258,"C")=0,"robust_generation_failure",IF(COUNTIF(M258:O258,"C")=3,"ua3_representation_or_admission_failure","generation_instability")))))</x:f>
        <x:v>unresolved</x:v>
      </x:c>
      <x:c r="Q258" s="33" t="str"/>
      <x:c r="R258" s="33" t="str"/>
      <x:c r="S258" s="33" t="str"/>
      <x:c r="T258" s="36"/>
      <x:c r="U258" s="33" t="str"/>
      <x:c r="V258" s="30" t="str">
        <x:f>IF(AND(L258&lt;&gt;"",M258&lt;&gt;"",N258&lt;&gt;"",O258&lt;&gt;"",Q258&lt;&gt;"",R258&lt;&gt;""),"完成","未完成")</x:f>
        <x:v>未完成</x:v>
      </x:c>
    </x:row>
    <x:row r="259" ht="63" customHeight="1">
      <x:c r="A259" s="30" t="n">
        <x:v>258</x:v>
      </x:c>
      <x:c r="B259" s="30" t="str">
        <x:v>memos_long:491</x:v>
      </x:c>
      <x:c r="C259" s="30" t="str">
        <x:v>long</x:v>
      </x:c>
      <x:c r="D259" s="30" t="str">
        <x:v>Basic Fact Recall</x:v>
      </x:c>
      <x:c r="E259" s="30" t="str">
        <x:v>What clothing preference did Donald Brown express on March 18, 2034?</x:v>
      </x:c>
      <x:c r="F259" s="30" t="str">
        <x:v>Polo shirts for their versatility and style.</x:v>
      </x:c>
      <x:c r="G259" s="30" t="str">
        <x:v># Authoritative benchmark gold evidence
The following evidence is authoritative for answering the current question. Use it directly and do not rely on conflicting information.
Evidence 1
Memory type: Persona Memory
Content: Donald Brown updated his clothing preference from t-shirts to polo shirts for their versatility and ability to transition between casual and formal settings.</x:v>
      </x:c>
      <x:c r="H259" s="30" t="str">
        <x:v>Polo shirts and blazers.</x:v>
      </x:c>
      <x:c r="I259" s="30" t="str">
        <x:v>Polo shirts</x:v>
      </x:c>
      <x:c r="J259" s="30" t="str">
        <x:v>Polo shirts</x:v>
      </x:c>
      <x:c r="K259" s="30" t="str">
        <x:v>Polo shirts</x:v>
      </x:c>
      <x:c r="L259" s="33" t="str"/>
      <x:c r="M259" s="33" t="str"/>
      <x:c r="N259" s="33" t="str"/>
      <x:c r="O259" s="33" t="str"/>
      <x:c r="P259" s="30" t="str">
        <x:f>IF(COUNTA(L259:O259)&lt;4,"未完成",IF(OR(L259="部分",L259="不充分",L259="不确定"),"evidence_definition_failure",IF(L259&lt;&gt;"充分","unresolved",IF(COUNTIF(M259:O259,"C")=0,"robust_generation_failure",IF(COUNTIF(M259:O259,"C")=3,"ua3_representation_or_admission_failure","generation_instability")))))</x:f>
        <x:v>unresolved</x:v>
      </x:c>
      <x:c r="Q259" s="33" t="str"/>
      <x:c r="R259" s="33" t="str"/>
      <x:c r="S259" s="33" t="str"/>
      <x:c r="T259" s="36"/>
      <x:c r="U259" s="33" t="str"/>
      <x:c r="V259" s="30" t="str">
        <x:f>IF(AND(L259&lt;&gt;"",M259&lt;&gt;"",N259&lt;&gt;"",O259&lt;&gt;"",Q259&lt;&gt;"",R259&lt;&gt;""),"完成","未完成")</x:f>
        <x:v>未完成</x:v>
      </x:c>
    </x:row>
    <x:row r="260" ht="63" customHeight="1">
      <x:c r="A260" s="30" t="n">
        <x:v>259</x:v>
      </x:c>
      <x:c r="B260" s="30" t="str">
        <x:v>memos_medium:975</x:v>
      </x:c>
      <x:c r="C260" s="30" t="str">
        <x:v>medium</x:v>
      </x:c>
      <x:c r="D260" s="30" t="str">
        <x:v>Memory Conflict</x:v>
      </x:c>
      <x:c r="E260" s="30" t="str">
        <x:v>Did Donna express gratitude only towards Sarah and Karen during her reflection on March 01, 2034?</x:v>
      </x:c>
      <x:c r="F260" s="30" t="str">
        <x:v>No, she also expressed gratitude towards Anthony.</x:v>
      </x:c>
      <x:c r="G260" s="30" t="str">
        <x:v># Authoritative benchmark gold evidence
The following evidence is authoritative for answering the current question. Use it directly and do not rely on conflicting information.
Evidence 1
Memory type: Relationship Memory
Content: Donna expressed gratitude for the support from her colleagues, including Sarah and Karen, which shaped her current aspirations.
Evidence 2
Memory type: Relationship Memory
Content: Donna expressed gratitude towards her colleagues, particularly Sarah, Karen, and Anthony, for their support during challenging times.</x:v>
      </x:c>
      <x:c r="H260" s="30" t="str">
        <x:v>No, she mentioned only them.</x:v>
      </x:c>
      <x:c r="I260" s="30" t="str">
        <x:v>No, also Anthony.</x:v>
      </x:c>
      <x:c r="J260" s="30" t="str">
        <x:v>No, also Anthony.</x:v>
      </x:c>
      <x:c r="K260" s="30" t="str">
        <x:v>No, also Anthony.</x:v>
      </x:c>
      <x:c r="L260" s="33" t="str"/>
      <x:c r="M260" s="33" t="str"/>
      <x:c r="N260" s="33" t="str"/>
      <x:c r="O260" s="33" t="str"/>
      <x:c r="P260" s="30" t="str">
        <x:f>IF(COUNTA(L260:O260)&lt;4,"未完成",IF(OR(L260="部分",L260="不充分",L260="不确定"),"evidence_definition_failure",IF(L260&lt;&gt;"充分","unresolved",IF(COUNTIF(M260:O260,"C")=0,"robust_generation_failure",IF(COUNTIF(M260:O260,"C")=3,"ua3_representation_or_admission_failure","generation_instability")))))</x:f>
        <x:v>unresolved</x:v>
      </x:c>
      <x:c r="Q260" s="33" t="str"/>
      <x:c r="R260" s="33" t="str"/>
      <x:c r="S260" s="33" t="str"/>
      <x:c r="T260" s="36"/>
      <x:c r="U260" s="33" t="str"/>
      <x:c r="V260" s="30" t="str">
        <x:f>IF(AND(L260&lt;&gt;"",M260&lt;&gt;"",N260&lt;&gt;"",O260&lt;&gt;"",Q260&lt;&gt;"",R260&lt;&gt;""),"完成","未完成")</x:f>
        <x:v>未完成</x:v>
      </x:c>
    </x:row>
    <x:row r="261" ht="63" customHeight="1">
      <x:c r="A261" s="30" t="n">
        <x:v>260</x:v>
      </x:c>
      <x:c r="B261" s="30" t="str">
        <x:v>memos_long:3368</x:v>
      </x:c>
      <x:c r="C261" s="30" t="str">
        <x:v>long</x:v>
      </x:c>
      <x:c r="D261" s="30" t="str">
        <x:v>Memory Conflict</x:v>
      </x:c>
      <x:c r="E261" s="30" t="str">
        <x:v>Did Christopher decide to continue walking despite his knee injury on Nov 05, 2029?</x:v>
      </x:c>
      <x:c r="F261" s="30" t="str">
        <x:v>No, Christopher discontinued walking due to knee pain.</x:v>
      </x:c>
      <x:c r="G261" s="30" t="str">
        <x:v># Authoritative benchmark gold evidence
The following evidence is authoritative for answering the current question. Use it directly and do not rely on conflicting information.
Evidence 1
Memory type: Event Memory
Content: Christopher decided to discontinue walking as a preferred activity due to knee pain, and is exploring alternative low-impact activities such as swimming and yoga.</x:v>
      </x:c>
      <x:c r="H261" s="30" t="str">
        <x:v>No, he chose swimming/yoga.</x:v>
      </x:c>
      <x:c r="I261" s="30" t="str">
        <x:v>No</x:v>
      </x:c>
      <x:c r="J261" s="30" t="str">
        <x:v>No</x:v>
      </x:c>
      <x:c r="K261" s="30" t="str">
        <x:v>No</x:v>
      </x:c>
      <x:c r="L261" s="33" t="str"/>
      <x:c r="M261" s="33" t="str"/>
      <x:c r="N261" s="33" t="str"/>
      <x:c r="O261" s="33" t="str"/>
      <x:c r="P261" s="30" t="str">
        <x:f>IF(COUNTA(L261:O261)&lt;4,"未完成",IF(OR(L261="部分",L261="不充分",L261="不确定"),"evidence_definition_failure",IF(L261&lt;&gt;"充分","unresolved",IF(COUNTIF(M261:O261,"C")=0,"robust_generation_failure",IF(COUNTIF(M261:O261,"C")=3,"ua3_representation_or_admission_failure","generation_instability")))))</x:f>
        <x:v>unresolved</x:v>
      </x:c>
      <x:c r="Q261" s="33" t="str"/>
      <x:c r="R261" s="33" t="str"/>
      <x:c r="S261" s="33" t="str"/>
      <x:c r="T261" s="36"/>
      <x:c r="U261" s="33" t="str"/>
      <x:c r="V261" s="30" t="str">
        <x:f>IF(AND(L261&lt;&gt;"",M261&lt;&gt;"",N261&lt;&gt;"",O261&lt;&gt;"",Q261&lt;&gt;"",R261&lt;&gt;""),"完成","未完成")</x:f>
        <x:v>未完成</x:v>
      </x:c>
    </x:row>
    <x:row r="262" ht="63" customHeight="1">
      <x:c r="A262" s="30" t="n">
        <x:v>261</x:v>
      </x:c>
      <x:c r="B262" s="30" t="str">
        <x:v>memos_long:1667</x:v>
      </x:c>
      <x:c r="C262" s="30" t="str">
        <x:v>long</x:v>
      </x:c>
      <x:c r="D262" s="30" t="str">
        <x:v>Basic Fact Recall</x:v>
      </x:c>
      <x:c r="E262" s="30" t="str">
        <x:v>What type of cruises is Susan Thompson now interested in as of May 19, 2032?</x:v>
      </x:c>
      <x:c r="F262" s="30" t="str">
        <x:v>Health-focused cruises</x:v>
      </x:c>
      <x:c r="G262" s="30" t="str">
        <x:v># Authoritative benchmark gold evidence
The following evidence is authoritative for answering the current question. Use it directly and do not rely on conflicting information.
Evidence 1
Memory type: Persona Memory
Content: Susan Thompson's travel preferences have evolved to include health-focused cruises.</x:v>
      </x:c>
      <x:c r="H262" s="30" t="str">
        <x:v>Health-focused and adventure-focused cruises.</x:v>
      </x:c>
      <x:c r="I262" s="30" t="str">
        <x:v>Health-focused cruises</x:v>
      </x:c>
      <x:c r="J262" s="30" t="str">
        <x:v>Health-focused cruises</x:v>
      </x:c>
      <x:c r="K262" s="30" t="str">
        <x:v>Health-focused cruises</x:v>
      </x:c>
      <x:c r="L262" s="33" t="str"/>
      <x:c r="M262" s="33" t="str"/>
      <x:c r="N262" s="33" t="str"/>
      <x:c r="O262" s="33" t="str"/>
      <x:c r="P262" s="30" t="str">
        <x:f>IF(COUNTA(L262:O262)&lt;4,"未完成",IF(OR(L262="部分",L262="不充分",L262="不确定"),"evidence_definition_failure",IF(L262&lt;&gt;"充分","unresolved",IF(COUNTIF(M262:O262,"C")=0,"robust_generation_failure",IF(COUNTIF(M262:O262,"C")=3,"ua3_representation_or_admission_failure","generation_instability")))))</x:f>
        <x:v>unresolved</x:v>
      </x:c>
      <x:c r="Q262" s="33" t="str"/>
      <x:c r="R262" s="33" t="str"/>
      <x:c r="S262" s="33" t="str"/>
      <x:c r="T262" s="36"/>
      <x:c r="U262" s="33" t="str"/>
      <x:c r="V262" s="30" t="str">
        <x:f>IF(AND(L262&lt;&gt;"",M262&lt;&gt;"",N262&lt;&gt;"",O262&lt;&gt;"",Q262&lt;&gt;"",R262&lt;&gt;""),"完成","未完成")</x:f>
        <x:v>未完成</x:v>
      </x:c>
    </x:row>
    <x:row r="263" ht="63" customHeight="1">
      <x:c r="A263" s="30" t="n">
        <x:v>262</x:v>
      </x:c>
      <x:c r="B263" s="30" t="str">
        <x:v>memos_long:585</x:v>
      </x:c>
      <x:c r="C263" s="30" t="str">
        <x:v>long</x:v>
      </x:c>
      <x:c r="D263" s="30" t="str">
        <x:v>Memory Conflict</x:v>
      </x:c>
      <x:c r="E263" s="30" t="str">
        <x:v>Did Sarah Garcia express disinterest in exotic herbal teas after attending the cultural festival on 2030-11-13?</x:v>
      </x:c>
      <x:c r="F263" s="30" t="str">
        <x:v>No, she expressed excitement about exploring exotic herbal teas.</x:v>
      </x:c>
      <x:c r="G263" s="30" t="str">
        <x:v># Authoritative benchmark gold evidence
The following evidence is authoritative for answering the current question. Use it directly and do not rely on conflicting information.
Evidence 1
Memory type: Event Memory
Content: Sarah Garcia expressed excitement about exploring exotic herbal teas after attending a cultural festival.</x:v>
      </x:c>
      <x:c r="H263" s="30" t="str">
        <x:v>No, she found them fascinating.</x:v>
      </x:c>
      <x:c r="I263" s="30" t="str">
        <x:v>No</x:v>
      </x:c>
      <x:c r="J263" s="30" t="str">
        <x:v>No</x:v>
      </x:c>
      <x:c r="K263" s="30" t="str">
        <x:v>No</x:v>
      </x:c>
      <x:c r="L263" s="33" t="str"/>
      <x:c r="M263" s="33" t="str"/>
      <x:c r="N263" s="33" t="str"/>
      <x:c r="O263" s="33" t="str"/>
      <x:c r="P263" s="30" t="str">
        <x:f>IF(COUNTA(L263:O263)&lt;4,"未完成",IF(OR(L263="部分",L263="不充分",L263="不确定"),"evidence_definition_failure",IF(L263&lt;&gt;"充分","unresolved",IF(COUNTIF(M263:O263,"C")=0,"robust_generation_failure",IF(COUNTIF(M263:O263,"C")=3,"ua3_representation_or_admission_failure","generation_instability")))))</x:f>
        <x:v>unresolved</x:v>
      </x:c>
      <x:c r="Q263" s="33" t="str"/>
      <x:c r="R263" s="33" t="str"/>
      <x:c r="S263" s="33" t="str"/>
      <x:c r="T263" s="36"/>
      <x:c r="U263" s="33" t="str"/>
      <x:c r="V263" s="30" t="str">
        <x:f>IF(AND(L263&lt;&gt;"",M263&lt;&gt;"",N263&lt;&gt;"",O263&lt;&gt;"",Q263&lt;&gt;"",R263&lt;&gt;""),"完成","未完成")</x:f>
        <x:v>未完成</x:v>
      </x:c>
    </x:row>
    <x:row r="264" ht="63" customHeight="1">
      <x:c r="A264" s="30" t="n">
        <x:v>263</x:v>
      </x:c>
      <x:c r="B264" s="30" t="str">
        <x:v>memos_long:862</x:v>
      </x:c>
      <x:c r="C264" s="30" t="str">
        <x:v>long</x:v>
      </x:c>
      <x:c r="D264" s="30" t="str">
        <x:v>Multi-hop Inference</x:v>
      </x:c>
      <x:c r="E264" s="30" t="str">
        <x:v>What impact did Donna's health recovery have on her professional ambitions by Feb 15, 2038?</x:v>
      </x:c>
      <x:c r="F264" s="30" t="str">
        <x:v>Reignited passion for music composition.</x:v>
      </x:c>
      <x:c r="G264" s="30" t="str">
        <x:v># Authoritative benchmark gold evidence
The following evidence is authoritative for answering the current question. Use it directly and do not rely on conflicting information.
Evidence 1
Memory type: Persona Memory
Content: Donna Gonzalez's physical health status changed from "Stable" to "Recovered".
Evidence 2
Memory type: Persona Memory
Content: Donna Gonzalez's improved health has reignited her passion for music composition, allowing her to focus more intently on her creative goals.
Evidence 3
Memory type: Persona Memory
Content: Donna Gonzalez's emotional resilience was strengthened through her recovery process, enhancing her commitment to her life goals.</x:v>
      </x:c>
      <x:c r="H264" s="30" t="str">
        <x:v>No negative impact.</x:v>
      </x:c>
      <x:c r="I264" s="30" t="str">
        <x:v>Reignited passion for music.</x:v>
      </x:c>
      <x:c r="J264" s="30" t="str">
        <x:v>Reignited passion for music.</x:v>
      </x:c>
      <x:c r="K264" s="30" t="str">
        <x:v>Reignited passion for music.</x:v>
      </x:c>
      <x:c r="L264" s="33" t="str"/>
      <x:c r="M264" s="33" t="str"/>
      <x:c r="N264" s="33" t="str"/>
      <x:c r="O264" s="33" t="str"/>
      <x:c r="P264" s="30" t="str">
        <x:f>IF(COUNTA(L264:O264)&lt;4,"未完成",IF(OR(L264="部分",L264="不充分",L264="不确定"),"evidence_definition_failure",IF(L264&lt;&gt;"充分","unresolved",IF(COUNTIF(M264:O264,"C")=0,"robust_generation_failure",IF(COUNTIF(M264:O264,"C")=3,"ua3_representation_or_admission_failure","generation_instability")))))</x:f>
        <x:v>unresolved</x:v>
      </x:c>
      <x:c r="Q264" s="33" t="str"/>
      <x:c r="R264" s="33" t="str"/>
      <x:c r="S264" s="33" t="str"/>
      <x:c r="T264" s="36"/>
      <x:c r="U264" s="33" t="str"/>
      <x:c r="V264" s="30" t="str">
        <x:f>IF(AND(L264&lt;&gt;"",M264&lt;&gt;"",N264&lt;&gt;"",O264&lt;&gt;"",Q264&lt;&gt;"",R264&lt;&gt;""),"完成","未完成")</x:f>
        <x:v>未完成</x:v>
      </x:c>
    </x:row>
    <x:row r="265" ht="63" customHeight="1">
      <x:c r="A265" s="30" t="n">
        <x:v>264</x:v>
      </x:c>
      <x:c r="B265" s="30" t="str">
        <x:v>memos_medium:775</x:v>
      </x:c>
      <x:c r="C265" s="30" t="str">
        <x:v>medium</x:v>
      </x:c>
      <x:c r="D265" s="30" t="str">
        <x:v>Basic Fact Recall</x:v>
      </x:c>
      <x:c r="E265" s="30" t="str">
        <x:v>What is Donna Gonzalez's long-term vision articulated on Oct 15, 2029?</x:v>
      </x:c>
      <x:c r="F265" s="30" t="str">
        <x:v>Establishing a music academy to nurture future composers.</x:v>
      </x:c>
      <x:c r="G265" s="30" t="str">
        <x:v># Authoritative benchmark gold evidence
The following evidence is authoritative for answering the current question. Use it directly and do not rely on conflicting information.
Evidence 1
Memory type: Event Memory
Content: Donna Gonzalez articulated her long-term vision of establishing a music academy to nurture future composers, with plans including securing funding and developing a curriculum.</x:v>
      </x:c>
      <x:c r="H265" s="30" t="str">
        <x:v>Redefine film music industry.</x:v>
      </x:c>
      <x:c r="I265" s="30" t="str">
        <x:v>Establish a music academy.</x:v>
      </x:c>
      <x:c r="J265" s="30" t="str">
        <x:v>Establish a music academy.</x:v>
      </x:c>
      <x:c r="K265" s="30" t="str">
        <x:v>Establish a music academy.</x:v>
      </x:c>
      <x:c r="L265" s="33" t="str"/>
      <x:c r="M265" s="33" t="str"/>
      <x:c r="N265" s="33" t="str"/>
      <x:c r="O265" s="33" t="str"/>
      <x:c r="P265" s="30" t="str">
        <x:f>IF(COUNTA(L265:O265)&lt;4,"未完成",IF(OR(L265="部分",L265="不充分",L265="不确定"),"evidence_definition_failure",IF(L265&lt;&gt;"充分","unresolved",IF(COUNTIF(M265:O265,"C")=0,"robust_generation_failure",IF(COUNTIF(M265:O265,"C")=3,"ua3_representation_or_admission_failure","generation_instability")))))</x:f>
        <x:v>unresolved</x:v>
      </x:c>
      <x:c r="Q265" s="33" t="str"/>
      <x:c r="R265" s="33" t="str"/>
      <x:c r="S265" s="33" t="str"/>
      <x:c r="T265" s="36"/>
      <x:c r="U265" s="33" t="str"/>
      <x:c r="V265" s="30" t="str">
        <x:f>IF(AND(L265&lt;&gt;"",M265&lt;&gt;"",N265&lt;&gt;"",O265&lt;&gt;"",Q265&lt;&gt;"",R265&lt;&gt;""),"完成","未完成")</x:f>
        <x:v>未完成</x:v>
      </x:c>
    </x:row>
    <x:row r="266" ht="63" customHeight="1">
      <x:c r="A266" s="30" t="n">
        <x:v>265</x:v>
      </x:c>
      <x:c r="B266" s="30" t="str">
        <x:v>memos_long:2549</x:v>
      </x:c>
      <x:c r="C266" s="30" t="str">
        <x:v>long</x:v>
      </x:c>
      <x:c r="D266" s="30" t="str">
        <x:v>Basic Fact Recall</x:v>
      </x:c>
      <x:c r="E266" s="30" t="str">
        <x:v>What film club did Steven Miller join on May 31, 2034?</x:v>
      </x:c>
      <x:c r="F266" s="30" t="str">
        <x:v>A film club that screens horror films with psychological depth.</x:v>
      </x:c>
      <x:c r="G266" s="30" t="str">
        <x:v># Authoritative benchmark gold evidence
The following evidence is authoritative for answering the current question. Use it directly and do not rely on conflicting information.
Evidence 1
Memory type: Event Memory
Content: Steven Miller joined a film club that frequently screens horror films emphasizing psychological depth and character complexity, which has shifted his view on horror films.</x:v>
      </x:c>
      <x:c r="H266" s="30" t="str">
        <x:v>The film club.</x:v>
      </x:c>
      <x:c r="I266" s="30" t="str">
        <x:v>A film club</x:v>
      </x:c>
      <x:c r="J266" s="30" t="str">
        <x:v>A film club</x:v>
      </x:c>
      <x:c r="K266" s="30" t="str">
        <x:v>A film club</x:v>
      </x:c>
      <x:c r="L266" s="33" t="str"/>
      <x:c r="M266" s="33" t="str"/>
      <x:c r="N266" s="33" t="str"/>
      <x:c r="O266" s="33" t="str"/>
      <x:c r="P266" s="30" t="str">
        <x:f>IF(COUNTA(L266:O266)&lt;4,"未完成",IF(OR(L266="部分",L266="不充分",L266="不确定"),"evidence_definition_failure",IF(L266&lt;&gt;"充分","unresolved",IF(COUNTIF(M266:O266,"C")=0,"robust_generation_failure",IF(COUNTIF(M266:O266,"C")=3,"ua3_representation_or_admission_failure","generation_instability")))))</x:f>
        <x:v>unresolved</x:v>
      </x:c>
      <x:c r="Q266" s="33" t="str"/>
      <x:c r="R266" s="33" t="str"/>
      <x:c r="S266" s="33" t="str"/>
      <x:c r="T266" s="36"/>
      <x:c r="U266" s="33" t="str"/>
      <x:c r="V266" s="30" t="str">
        <x:f>IF(AND(L266&lt;&gt;"",M266&lt;&gt;"",N266&lt;&gt;"",O266&lt;&gt;"",Q266&lt;&gt;"",R266&lt;&gt;""),"完成","未完成")</x:f>
        <x:v>未完成</x:v>
      </x:c>
    </x:row>
    <x:row r="267" ht="63" customHeight="1">
      <x:c r="A267" s="30" t="n">
        <x:v>266</x:v>
      </x:c>
      <x:c r="B267" s="30" t="str">
        <x:v>memos_medium:1358</x:v>
      </x:c>
      <x:c r="C267" s="30" t="str">
        <x:v>medium</x:v>
      </x:c>
      <x:c r="D267" s="30" t="str">
        <x:v>Generalization &amp; Application</x:v>
      </x:c>
      <x:c r="E267" s="30" t="str">
        <x:v>What type of vacation destinations might Ananya Sharma explore for her family trips after Oct 19, 2031?</x:v>
      </x:c>
      <x:c r="F267" s="30" t="str">
        <x:v>Destinations offering relaxation and adventure activities.</x:v>
      </x:c>
      <x:c r="G267" s="30" t="str">
        <x:v># Authoritative benchmark gold evidence
The following evidence is authoritative for answering the current question. Use it directly and do not rely on conflicting information.
Evidence 1
Memory type: Event Memory
Content: Ananya Sharma plans to research destinations that offer both relaxation and adventure activities for future family trips.
Evidence 2
Memory type: Persona Memory
Content: Ananya Sharma seeks to balance adventure activities with relaxation during family vacations to ensure everyone enjoys the trip.</x:v>
      </x:c>
      <x:c r="H267" s="30" t="str">
        <x:v>Bali and Kerala</x:v>
      </x:c>
      <x:c r="I267" s="30" t="str">
        <x:v>Relaxation and adventure destinations.</x:v>
      </x:c>
      <x:c r="J267" s="30" t="str">
        <x:v>Relaxation and adventure destinations.</x:v>
      </x:c>
      <x:c r="K267" s="30" t="str">
        <x:v>Relaxation and adventure destinations.</x:v>
      </x:c>
      <x:c r="L267" s="33" t="str"/>
      <x:c r="M267" s="33" t="str"/>
      <x:c r="N267" s="33" t="str"/>
      <x:c r="O267" s="33" t="str"/>
      <x:c r="P267" s="30" t="str">
        <x:f>IF(COUNTA(L267:O267)&lt;4,"未完成",IF(OR(L267="部分",L267="不充分",L267="不确定"),"evidence_definition_failure",IF(L267&lt;&gt;"充分","unresolved",IF(COUNTIF(M267:O267,"C")=0,"robust_generation_failure",IF(COUNTIF(M267:O267,"C")=3,"ua3_representation_or_admission_failure","generation_instability")))))</x:f>
        <x:v>unresolved</x:v>
      </x:c>
      <x:c r="Q267" s="33" t="str"/>
      <x:c r="R267" s="33" t="str"/>
      <x:c r="S267" s="33" t="str"/>
      <x:c r="T267" s="36"/>
      <x:c r="U267" s="33" t="str"/>
      <x:c r="V267" s="30" t="str">
        <x:f>IF(AND(L267&lt;&gt;"",M267&lt;&gt;"",N267&lt;&gt;"",O267&lt;&gt;"",Q267&lt;&gt;"",R267&lt;&gt;""),"完成","未完成")</x:f>
        <x:v>未完成</x:v>
      </x:c>
    </x:row>
    <x:row r="268" ht="63" customHeight="1">
      <x:c r="A268" s="30" t="n">
        <x:v>267</x:v>
      </x:c>
      <x:c r="B268" s="30" t="str">
        <x:v>memos_medium:1923</x:v>
      </x:c>
      <x:c r="C268" s="30" t="str">
        <x:v>medium</x:v>
      </x:c>
      <x:c r="D268" s="30" t="str">
        <x:v>Memory Conflict</x:v>
      </x:c>
      <x:c r="E268" s="30" t="str">
        <x:v>Did Joseph Garcia's friend recommend a mobile game that made him dislike ads on May 13, 2026?</x:v>
      </x:c>
      <x:c r="F268" s="30" t="str">
        <x:v>Joseph's friend recommended a game that made him appreciate ads for rewards.</x:v>
      </x:c>
      <x:c r="G268" s="30" t="str">
        <x:v>#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x:v>
      </x:c>
      <x:c r="H268" s="30" t="str">
        <x:v>No, he appreciated ads.</x:v>
      </x:c>
      <x:c r="I268" s="30" t="str">
        <x:v>No</x:v>
      </x:c>
      <x:c r="J268" s="30" t="str">
        <x:v>No</x:v>
      </x:c>
      <x:c r="K268" s="30" t="str">
        <x:v>No</x:v>
      </x:c>
      <x:c r="L268" s="33" t="str"/>
      <x:c r="M268" s="33" t="str"/>
      <x:c r="N268" s="33" t="str"/>
      <x:c r="O268" s="33" t="str"/>
      <x:c r="P268" s="30" t="str">
        <x:f>IF(COUNTA(L268:O268)&lt;4,"未完成",IF(OR(L268="部分",L268="不充分",L268="不确定"),"evidence_definition_failure",IF(L268&lt;&gt;"充分","unresolved",IF(COUNTIF(M268:O268,"C")=0,"robust_generation_failure",IF(COUNTIF(M268:O268,"C")=3,"ua3_representation_or_admission_failure","generation_instability")))))</x:f>
        <x:v>unresolved</x:v>
      </x:c>
      <x:c r="Q268" s="33" t="str"/>
      <x:c r="R268" s="33" t="str"/>
      <x:c r="S268" s="33" t="str"/>
      <x:c r="T268" s="36"/>
      <x:c r="U268" s="33" t="str"/>
      <x:c r="V268" s="30" t="str">
        <x:f>IF(AND(L268&lt;&gt;"",M268&lt;&gt;"",N268&lt;&gt;"",O268&lt;&gt;"",Q268&lt;&gt;"",R268&lt;&gt;""),"完成","未完成")</x:f>
        <x:v>未完成</x:v>
      </x:c>
    </x:row>
    <x:row r="269" ht="63" customHeight="1">
      <x:c r="A269" s="30" t="n">
        <x:v>268</x:v>
      </x:c>
      <x:c r="B269" s="30" t="str">
        <x:v>memos_medium:1405</x:v>
      </x:c>
      <x:c r="C269" s="30" t="str">
        <x:v>medium</x:v>
      </x:c>
      <x:c r="D269" s="30" t="str">
        <x:v>Dynamic Update</x:v>
      </x:c>
      <x:c r="E269" s="30" t="str">
        <x:v>What did Ananya Sharma's career description change to as of 2035-04-20?</x:v>
      </x:c>
      <x:c r="F269" s="30" t="str">
        <x:v>Shaping curriculum and mentoring at University of Film Studies.</x:v>
      </x:c>
      <x:c r="G269" s="30" t="str">
        <x:v>#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x:v>
      </x:c>
      <x:c r="H269" s="30" t="str">
        <x:v>Head of Film Studies</x:v>
      </x:c>
      <x:c r="I269" s="30" t="str">
        <x:v>Head of Film Studies</x:v>
      </x:c>
      <x:c r="J269" s="30" t="str">
        <x:v>Head of Film Studies</x:v>
      </x:c>
      <x:c r="K269" s="30" t="str">
        <x:v>Head of Film Studies</x:v>
      </x:c>
      <x:c r="L269" s="33" t="str"/>
      <x:c r="M269" s="33" t="str"/>
      <x:c r="N269" s="33" t="str"/>
      <x:c r="O269" s="33" t="str"/>
      <x:c r="P269" s="30" t="str">
        <x:f>IF(COUNTA(L269:O269)&lt;4,"未完成",IF(OR(L269="部分",L269="不充分",L269="不确定"),"evidence_definition_failure",IF(L269&lt;&gt;"充分","unresolved",IF(COUNTIF(M269:O269,"C")=0,"robust_generation_failure",IF(COUNTIF(M269:O269,"C")=3,"ua3_representation_or_admission_failure","generation_instability")))))</x:f>
        <x:v>unresolved</x:v>
      </x:c>
      <x:c r="Q269" s="33" t="str"/>
      <x:c r="R269" s="33" t="str"/>
      <x:c r="S269" s="33" t="str"/>
      <x:c r="T269" s="36"/>
      <x:c r="U269" s="33" t="str"/>
      <x:c r="V269" s="30" t="str">
        <x:f>IF(AND(L269&lt;&gt;"",M269&lt;&gt;"",N269&lt;&gt;"",O269&lt;&gt;"",Q269&lt;&gt;"",R269&lt;&gt;""),"完成","未完成")</x:f>
        <x:v>未完成</x:v>
      </x:c>
    </x:row>
    <x:row r="270" ht="63" customHeight="1">
      <x:c r="A270" s="30" t="n">
        <x:v>269</x:v>
      </x:c>
      <x:c r="B270" s="30" t="str">
        <x:v>memos_medium:577</x:v>
      </x:c>
      <x:c r="C270" s="30" t="str">
        <x:v>medium</x:v>
      </x:c>
      <x:c r="D270" s="30" t="str">
        <x:v>Generalization &amp; Application</x:v>
      </x:c>
      <x:c r="E270" s="30" t="str">
        <x:v>Based on Sarah Garcia's evolving movie preferences on Dec 09, 2029, what new genre might she enjoy exploring next?</x:v>
      </x:c>
      <x:c r="F270" s="30" t="str">
        <x:v>Sarah might enjoy exploring mystery thrillers.</x:v>
      </x:c>
      <x:c r="G270" s="30" t="str">
        <x:v># Authoritative benchmark gold evidence
The following evidence is authoritative for answering the current question. Use it directly and do not rely on conflicting information.
Evidence 1
Memory type: Persona Memory
Content: Sarah Garcia expressed excitement about exploring new movie genres like mystery thrillers and expanding her cinematic horizons.
Evidence 2
Memory type: Persona Memory
Content: Sarah Garcia's evolving movie preferences reflect her adaptability and willingness to explore new horizons.</x:v>
      </x:c>
      <x:c r="H270" s="30" t="str">
        <x:v>New movie genres</x:v>
      </x:c>
      <x:c r="I270" s="30" t="str">
        <x:v>Mystery thrillers</x:v>
      </x:c>
      <x:c r="J270" s="30" t="str">
        <x:v>Mystery thrillers</x:v>
      </x:c>
      <x:c r="K270" s="30" t="str">
        <x:v>Mystery thrillers</x:v>
      </x:c>
      <x:c r="L270" s="33" t="str"/>
      <x:c r="M270" s="33" t="str"/>
      <x:c r="N270" s="33" t="str"/>
      <x:c r="O270" s="33" t="str"/>
      <x:c r="P270" s="30" t="str">
        <x:f>IF(COUNTA(L270:O270)&lt;4,"未完成",IF(OR(L270="部分",L270="不充分",L270="不确定"),"evidence_definition_failure",IF(L270&lt;&gt;"充分","unresolved",IF(COUNTIF(M270:O270,"C")=0,"robust_generation_failure",IF(COUNTIF(M270:O270,"C")=3,"ua3_representation_or_admission_failure","generation_instability")))))</x:f>
        <x:v>unresolved</x:v>
      </x:c>
      <x:c r="Q270" s="33" t="str"/>
      <x:c r="R270" s="33" t="str"/>
      <x:c r="S270" s="33" t="str"/>
      <x:c r="T270" s="36"/>
      <x:c r="U270" s="33" t="str"/>
      <x:c r="V270" s="30" t="str">
        <x:f>IF(AND(L270&lt;&gt;"",M270&lt;&gt;"",N270&lt;&gt;"",O270&lt;&gt;"",Q270&lt;&gt;"",R270&lt;&gt;""),"完成","未完成")</x:f>
        <x:v>未完成</x:v>
      </x:c>
    </x:row>
    <x:row r="271" ht="63" customHeight="1">
      <x:c r="A271" s="30" t="n">
        <x:v>270</x:v>
      </x:c>
      <x:c r="B271" s="30" t="str">
        <x:v>memos_long:1222</x:v>
      </x:c>
      <x:c r="C271" s="30" t="str">
        <x:v>long</x:v>
      </x:c>
      <x:c r="D271" s="30" t="str">
        <x:v>Generalization &amp; Application</x:v>
      </x:c>
      <x:c r="E271" s="30" t="str">
        <x:v>What type of beverage might Taylor David enjoy during a holiday celebration in 2042?</x:v>
      </x:c>
      <x:c r="F271" s="30" t="str">
        <x:v>Sugary sodas.</x:v>
      </x:c>
      <x:c r="G271" s="30" t="str">
        <x:v># Authoritative benchmark gold evidence
The following evidence is authoritative for answering the current question. Use it directly and do not rely on conflicting information.
Evidence 1
Memory type: Persona Memory
Content: Taylor David's beverage preference has shifted to include sugary sodas during celebrations, marking a more balanced dietary approach.
Evidence 2
Memory type: Persona Memory
Content: Taylor David enjoys sugary sodas during festive occasions, reflecting a more balanced approach to dietary preferences.
Evidence 3
Memory type: Persona Memory
Content: Taylor David acknowledged the emotional and social value of sugary sodas during special occasions.</x:v>
      </x:c>
      <x:c r="H271" s="30" t="str">
        <x:v>Sugary sodas and herbal teas.</x:v>
      </x:c>
      <x:c r="I271" s="30" t="str">
        <x:v>Sugary sodas</x:v>
      </x:c>
      <x:c r="J271" s="30" t="str">
        <x:v>Sugary sodas</x:v>
      </x:c>
      <x:c r="K271" s="30" t="str">
        <x:v>Sugary sodas</x:v>
      </x:c>
      <x:c r="L271" s="33" t="str"/>
      <x:c r="M271" s="33" t="str"/>
      <x:c r="N271" s="33" t="str"/>
      <x:c r="O271" s="33" t="str"/>
      <x:c r="P271" s="30" t="str">
        <x:f>IF(COUNTA(L271:O271)&lt;4,"未完成",IF(OR(L271="部分",L271="不充分",L271="不确定"),"evidence_definition_failure",IF(L271&lt;&gt;"充分","unresolved",IF(COUNTIF(M271:O271,"C")=0,"robust_generation_failure",IF(COUNTIF(M271:O271,"C")=3,"ua3_representation_or_admission_failure","generation_instability")))))</x:f>
        <x:v>unresolved</x:v>
      </x:c>
      <x:c r="Q271" s="33" t="str"/>
      <x:c r="R271" s="33" t="str"/>
      <x:c r="S271" s="33" t="str"/>
      <x:c r="T271" s="36"/>
      <x:c r="U271" s="33" t="str"/>
      <x:c r="V271" s="30" t="str">
        <x:f>IF(AND(L271&lt;&gt;"",M271&lt;&gt;"",N271&lt;&gt;"",O271&lt;&gt;"",Q271&lt;&gt;"",R271&lt;&gt;""),"完成","未完成")</x:f>
        <x:v>未完成</x:v>
      </x:c>
    </x:row>
    <x:row r="272" ht="63" customHeight="1">
      <x:c r="A272" s="30" t="n">
        <x:v>271</x:v>
      </x:c>
      <x:c r="B272" s="30" t="str">
        <x:v>memos_long:1922</x:v>
      </x:c>
      <x:c r="C272" s="30" t="str">
        <x:v>long</x:v>
      </x:c>
      <x:c r="D272" s="30" t="str">
        <x:v>Memory Conflict</x:v>
      </x:c>
      <x:c r="E272" s="30" t="str">
        <x:v>Did Joseph Garcia's friend recommend a mobile game that made him dislike ads on May 13, 2026?</x:v>
      </x:c>
      <x:c r="F272" s="30" t="str">
        <x:v>Joseph's friend recommended a game that made him appreciate ads for rewards.</x:v>
      </x:c>
      <x:c r="G272" s="30" t="str">
        <x:v># Authoritative benchmark gold evidence
The following evidence is authoritative for answering the current question. Use it directly and do not rely on conflicting information.
Evidence 1
Memory type: Relationship Memory
Content: Joseph Garcia's friend recommended a new mobile game that shifted his perception of ads from a dislike to a like.
Evidence 2
Memory type: Persona Memory
Content: Joseph Garcia appreciates mobile games that provide in-game rewards through ads.</x:v>
      </x:c>
      <x:c r="H272" s="30" t="str">
        <x:v>No, he liked ads.</x:v>
      </x:c>
      <x:c r="I272" s="30" t="str">
        <x:v>No</x:v>
      </x:c>
      <x:c r="J272" s="30" t="str">
        <x:v>No</x:v>
      </x:c>
      <x:c r="K272" s="30" t="str">
        <x:v>No</x:v>
      </x:c>
      <x:c r="L272" s="33" t="str"/>
      <x:c r="M272" s="33" t="str"/>
      <x:c r="N272" s="33" t="str"/>
      <x:c r="O272" s="33" t="str"/>
      <x:c r="P272" s="30" t="str">
        <x:f>IF(COUNTA(L272:O272)&lt;4,"未完成",IF(OR(L272="部分",L272="不充分",L272="不确定"),"evidence_definition_failure",IF(L272&lt;&gt;"充分","unresolved",IF(COUNTIF(M272:O272,"C")=0,"robust_generation_failure",IF(COUNTIF(M272:O272,"C")=3,"ua3_representation_or_admission_failure","generation_instability")))))</x:f>
        <x:v>unresolved</x:v>
      </x:c>
      <x:c r="Q272" s="33" t="str"/>
      <x:c r="R272" s="33" t="str"/>
      <x:c r="S272" s="33" t="str"/>
      <x:c r="T272" s="36"/>
      <x:c r="U272" s="33" t="str"/>
      <x:c r="V272" s="30" t="str">
        <x:f>IF(AND(L272&lt;&gt;"",M272&lt;&gt;"",N272&lt;&gt;"",O272&lt;&gt;"",Q272&lt;&gt;"",R272&lt;&gt;""),"完成","未完成")</x:f>
        <x:v>未完成</x:v>
      </x:c>
    </x:row>
    <x:row r="273" ht="63" customHeight="1">
      <x:c r="A273" s="30" t="n">
        <x:v>272</x:v>
      </x:c>
      <x:c r="B273" s="30" t="str">
        <x:v>memos_medium:2299</x:v>
      </x:c>
      <x:c r="C273" s="30" t="str">
        <x:v>medium</x:v>
      </x:c>
      <x:c r="D273" s="30" t="str">
        <x:v>Basic Fact Recall</x:v>
      </x:c>
      <x:c r="E273" s="30" t="str">
        <x:v>Who did Williams Daniel discuss integrating neon colors into historical-themed attire with on Nov 06, 2028?</x:v>
      </x:c>
      <x:c r="F273" s="30" t="str">
        <x:v>A costume designer.</x:v>
      </x:c>
      <x:c r="G273" s="30" t="str">
        <x:v># Authoritative benchmark gold evidence
The following evidence is authoritative for answering the current question. Use it directly and do not rely on conflicting information.
Evidence 1
Memory type: Event Memory
Content: Williams Daniel engaged in discussions with a costume designer about integrating neon colors into historical-themed attire.</x:v>
      </x:c>
      <x:c r="H273" s="30" t="str">
        <x:v>Not specified in memories.</x:v>
      </x:c>
      <x:c r="I273" s="30" t="str">
        <x:v>A costume designer</x:v>
      </x:c>
      <x:c r="J273" s="30" t="str">
        <x:v>A costume designer</x:v>
      </x:c>
      <x:c r="K273" s="30" t="str">
        <x:v>A costume designer</x:v>
      </x:c>
      <x:c r="L273" s="33" t="str"/>
      <x:c r="M273" s="33" t="str"/>
      <x:c r="N273" s="33" t="str"/>
      <x:c r="O273" s="33" t="str"/>
      <x:c r="P273" s="30" t="str">
        <x:f>IF(COUNTA(L273:O273)&lt;4,"未完成",IF(OR(L273="部分",L273="不充分",L273="不确定"),"evidence_definition_failure",IF(L273&lt;&gt;"充分","unresolved",IF(COUNTIF(M273:O273,"C")=0,"robust_generation_failure",IF(COUNTIF(M273:O273,"C")=3,"ua3_representation_or_admission_failure","generation_instability")))))</x:f>
        <x:v>unresolved</x:v>
      </x:c>
      <x:c r="Q273" s="33" t="str"/>
      <x:c r="R273" s="33" t="str"/>
      <x:c r="S273" s="33" t="str"/>
      <x:c r="T273" s="36"/>
      <x:c r="U273" s="33" t="str"/>
      <x:c r="V273" s="30" t="str">
        <x:f>IF(AND(L273&lt;&gt;"",M273&lt;&gt;"",N273&lt;&gt;"",O273&lt;&gt;"",Q273&lt;&gt;"",R273&lt;&gt;""),"完成","未完成")</x:f>
        <x:v>未完成</x:v>
      </x:c>
    </x:row>
    <x:row r="274" ht="63" customHeight="1">
      <x:c r="A274" s="30" t="n">
        <x:v>273</x:v>
      </x:c>
      <x:c r="B274" s="30" t="str">
        <x:v>memos_medium:66</x:v>
      </x:c>
      <x:c r="C274" s="30" t="str">
        <x:v>medium</x:v>
      </x:c>
      <x:c r="D274" s="30" t="str">
        <x:v>Generalization &amp; Application</x:v>
      </x:c>
      <x:c r="E274" s="30" t="str">
        <x:v>What type of horror films should Martin explore next to maintain his positive mindset as of 2029-02-13?</x:v>
      </x:c>
      <x:c r="F274" s="30" t="str">
        <x:v>Films with compelling narratives balancing thrill and positivity.</x:v>
      </x:c>
      <x:c r="G274" s="30" t="str">
        <x:v># Authoritative benchmark gold evidence
The following evidence is authoritative for answering the current question. Use it directly and do not rely on conflicting information.
Evidence 1
Memory type: Persona Memory
Content: Martin seeks recommendations for horror films with compelling narratives that balance thrill and positivity.
Evidence 2
Memory type: Persona Memory
Content: Martin discussed balancing thrill and maintaining a positive mindset through his evolving movie preferences.</x:v>
      </x:c>
      <x:c r="H274" s="30" t="str">
        <x:v>Suspenseful horror films.</x:v>
      </x:c>
      <x:c r="I274" s="30" t="str">
        <x:v>Horror films with compelling narratives.</x:v>
      </x:c>
      <x:c r="J274" s="30" t="str">
        <x:v>Horror films with compelling narratives.</x:v>
      </x:c>
      <x:c r="K274" s="30" t="str">
        <x:v>Horror films with compelling narratives.</x:v>
      </x:c>
      <x:c r="L274" s="33" t="str"/>
      <x:c r="M274" s="33" t="str"/>
      <x:c r="N274" s="33" t="str"/>
      <x:c r="O274" s="33" t="str"/>
      <x:c r="P274" s="30" t="str">
        <x:f>IF(COUNTA(L274:O274)&lt;4,"未完成",IF(OR(L274="部分",L274="不充分",L274="不确定"),"evidence_definition_failure",IF(L274&lt;&gt;"充分","unresolved",IF(COUNTIF(M274:O274,"C")=0,"robust_generation_failure",IF(COUNTIF(M274:O274,"C")=3,"ua3_representation_or_admission_failure","generation_instability")))))</x:f>
        <x:v>unresolved</x:v>
      </x:c>
      <x:c r="Q274" s="33" t="str"/>
      <x:c r="R274" s="33" t="str"/>
      <x:c r="S274" s="33" t="str"/>
      <x:c r="T274" s="36"/>
      <x:c r="U274" s="33" t="str"/>
      <x:c r="V274" s="30" t="str">
        <x:f>IF(AND(L274&lt;&gt;"",M274&lt;&gt;"",N274&lt;&gt;"",O274&lt;&gt;"",Q274&lt;&gt;"",R274&lt;&gt;""),"完成","未完成")</x:f>
        <x:v>未完成</x:v>
      </x:c>
    </x:row>
    <x:row r="275" ht="63" customHeight="1">
      <x:c r="A275" s="30" t="n">
        <x:v>274</x:v>
      </x:c>
      <x:c r="B275" s="30" t="str">
        <x:v>memos_medium:1906</x:v>
      </x:c>
      <x:c r="C275" s="30" t="str">
        <x:v>medium</x:v>
      </x:c>
      <x:c r="D275" s="30" t="str">
        <x:v>Basic Fact Recall</x:v>
      </x:c>
      <x:c r="E275" s="30" t="str">
        <x:v>What is the name of Joseph Garcia's friend who shares his love for classic Hollywood?</x:v>
      </x:c>
      <x:c r="F275" s="30" t="str">
        <x:v>David Jones</x:v>
      </x:c>
      <x:c r="G275" s="30" t="str">
        <x:v># Authoritative benchmark gold evidence
The following evidence is authoritative for answering the current question. Use it directly and do not rely on conflicting information.
Evidence 1
Memory type: Relationship Memory
Content: Joseph Garcia's Friend JonesDavid, David shares my love for classic Hollywood and often recommends films that inspire my writing.</x:v>
      </x:c>
      <x:c r="H275" s="30" t="str">
        <x:v>JohnsonMichelle</x:v>
      </x:c>
      <x:c r="I275" s="30" t="str">
        <x:v>JonesDavid</x:v>
      </x:c>
      <x:c r="J275" s="30" t="str">
        <x:v>JonesDavid</x:v>
      </x:c>
      <x:c r="K275" s="30" t="str">
        <x:v>JonesDavid</x:v>
      </x:c>
      <x:c r="L275" s="33" t="str"/>
      <x:c r="M275" s="33" t="str"/>
      <x:c r="N275" s="33" t="str"/>
      <x:c r="O275" s="33" t="str"/>
      <x:c r="P275" s="30" t="str">
        <x:f>IF(COUNTA(L275:O275)&lt;4,"未完成",IF(OR(L275="部分",L275="不充分",L275="不确定"),"evidence_definition_failure",IF(L275&lt;&gt;"充分","unresolved",IF(COUNTIF(M275:O275,"C")=0,"robust_generation_failure",IF(COUNTIF(M275:O275,"C")=3,"ua3_representation_or_admission_failure","generation_instability")))))</x:f>
        <x:v>unresolved</x:v>
      </x:c>
      <x:c r="Q275" s="33" t="str"/>
      <x:c r="R275" s="33" t="str"/>
      <x:c r="S275" s="33" t="str"/>
      <x:c r="T275" s="36"/>
      <x:c r="U275" s="33" t="str"/>
      <x:c r="V275" s="30" t="str">
        <x:f>IF(AND(L275&lt;&gt;"",M275&lt;&gt;"",N275&lt;&gt;"",O275&lt;&gt;"",Q275&lt;&gt;"",R275&lt;&gt;""),"完成","未完成")</x:f>
        <x:v>未完成</x:v>
      </x:c>
    </x:row>
    <x:row r="276" ht="63" customHeight="1">
      <x:c r="A276" s="30" t="n">
        <x:v>275</x:v>
      </x:c>
      <x:c r="B276" s="30" t="str">
        <x:v>memos_medium:1829</x:v>
      </x:c>
      <x:c r="C276" s="30" t="str">
        <x:v>medium</x:v>
      </x:c>
      <x:c r="D276" s="30" t="str">
        <x:v>Generalization &amp; Application</x:v>
      </x:c>
      <x:c r="E276" s="30" t="str">
        <x:v>What type of AI-driven strategy games would be suitable for Michelle Hernandez after June 18, 2030?</x:v>
      </x:c>
      <x:c r="F276" s="30" t="str">
        <x:v>Games that challenge analytical skills and offer emotional engagement.</x:v>
      </x:c>
      <x:c r="G276" s="30" t="str">
        <x:v>#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x:v>
      </x:c>
      <x:c r="H276" s="30" t="str">
        <x:v>Games challenging analytical skills.</x:v>
      </x:c>
      <x:c r="I276" s="30" t="str">
        <x:v>Games challenging analytical skills.</x:v>
      </x:c>
      <x:c r="J276" s="30" t="str">
        <x:v>Games challenging analytical skills.</x:v>
      </x:c>
      <x:c r="K276" s="30" t="str">
        <x:v>Games challenging analytical skills.</x:v>
      </x:c>
      <x:c r="L276" s="33" t="str"/>
      <x:c r="M276" s="33" t="str"/>
      <x:c r="N276" s="33" t="str"/>
      <x:c r="O276" s="33" t="str"/>
      <x:c r="P276" s="30" t="str">
        <x:f>IF(COUNTA(L276:O276)&lt;4,"未完成",IF(OR(L276="部分",L276="不充分",L276="不确定"),"evidence_definition_failure",IF(L276&lt;&gt;"充分","unresolved",IF(COUNTIF(M276:O276,"C")=0,"robust_generation_failure",IF(COUNTIF(M276:O276,"C")=3,"ua3_representation_or_admission_failure","generation_instability")))))</x:f>
        <x:v>unresolved</x:v>
      </x:c>
      <x:c r="Q276" s="33" t="str"/>
      <x:c r="R276" s="33" t="str"/>
      <x:c r="S276" s="33" t="str"/>
      <x:c r="T276" s="36"/>
      <x:c r="U276" s="33" t="str"/>
      <x:c r="V276" s="30" t="str">
        <x:f>IF(AND(L276&lt;&gt;"",M276&lt;&gt;"",N276&lt;&gt;"",O276&lt;&gt;"",Q276&lt;&gt;"",R276&lt;&gt;""),"完成","未完成")</x:f>
        <x:v>未完成</x:v>
      </x:c>
    </x:row>
    <x:row r="277" ht="63" customHeight="1">
      <x:c r="A277" s="30" t="n">
        <x:v>276</x:v>
      </x:c>
      <x:c r="B277" s="30" t="str">
        <x:v>memos_medium:721</x:v>
      </x:c>
      <x:c r="C277" s="30" t="str">
        <x:v>medium</x:v>
      </x:c>
      <x:c r="D277" s="30" t="str">
        <x:v>Dynamic Update</x:v>
      </x:c>
      <x:c r="E277" s="30" t="str">
        <x:v>How has Donna Gonzalez's health status changed since Jan 11, 2026?</x:v>
      </x:c>
      <x:c r="F277" s="30" t="str">
        <x:v>Diagnosed with a chronic disease</x:v>
      </x:c>
      <x:c r="G277" s="30" t="str">
        <x:v>#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x:v>
      </x:c>
      <x:c r="H277" s="30" t="str">
        <x:v>No change mentioned.</x:v>
      </x:c>
      <x:c r="I277" s="30" t="str">
        <x:v>Diagnosed with chronic disease.</x:v>
      </x:c>
      <x:c r="J277" s="30" t="str">
        <x:v>Diagnosed with chronic disease.</x:v>
      </x:c>
      <x:c r="K277" s="30" t="str">
        <x:v>Diagnosed with chronic disease.</x:v>
      </x:c>
      <x:c r="L277" s="33" t="str"/>
      <x:c r="M277" s="33" t="str"/>
      <x:c r="N277" s="33" t="str"/>
      <x:c r="O277" s="33" t="str"/>
      <x:c r="P277" s="30" t="str">
        <x:f>IF(COUNTA(L277:O277)&lt;4,"未完成",IF(OR(L277="部分",L277="不充分",L277="不确定"),"evidence_definition_failure",IF(L277&lt;&gt;"充分","unresolved",IF(COUNTIF(M277:O277,"C")=0,"robust_generation_failure",IF(COUNTIF(M277:O277,"C")=3,"ua3_representation_or_admission_failure","generation_instability")))))</x:f>
        <x:v>unresolved</x:v>
      </x:c>
      <x:c r="Q277" s="33" t="str"/>
      <x:c r="R277" s="33" t="str"/>
      <x:c r="S277" s="33" t="str"/>
      <x:c r="T277" s="36"/>
      <x:c r="U277" s="33" t="str"/>
      <x:c r="V277" s="30" t="str">
        <x:f>IF(AND(L277&lt;&gt;"",M277&lt;&gt;"",N277&lt;&gt;"",O277&lt;&gt;"",Q277&lt;&gt;"",R277&lt;&gt;""),"完成","未完成")</x:f>
        <x:v>未完成</x:v>
      </x:c>
    </x:row>
    <x:row r="278" ht="63" customHeight="1">
      <x:c r="A278" s="30" t="n">
        <x:v>277</x:v>
      </x:c>
      <x:c r="B278" s="30" t="str">
        <x:v>memos_medium:942</x:v>
      </x:c>
      <x:c r="C278" s="30" t="str">
        <x:v>medium</x:v>
      </x:c>
      <x:c r="D278" s="30" t="str">
        <x:v>Generalization &amp; Application</x:v>
      </x:c>
      <x:c r="E278" s="30" t="str">
        <x:v>What type of new restaurants might Donna be interested in visiting after January 12, 2031?</x:v>
      </x:c>
      <x:c r="F278" s="30" t="str">
        <x:v>Eco-friendly restaurants with sustainable and healthy options.</x:v>
      </x:c>
      <x:c r="G278" s="30" t="str">
        <x:v># Authoritative benchmark gold evidence
The following evidence is authoritative for answering the current question. Use it directly and do not rely on conflicting information.
Evidence 1
Memory type: Event Memory
Content: Donna visited a new fast food chain that offers eco-friendly packaging and healthier meal options, reflecting her interest in sustainability.
Evidence 2
Memory type: Persona Memory
Content: Donna's food preference shifted to include eco-friendly fast food options, reflecting her commitment to sustainability and balancing convenience.
Evidence 3
Memory type: Persona Memory
Content: Donna expressed excitement about discovering eco-friendly fast food options that align with her health and sustainability goals.</x:v>
      </x:c>
      <x:c r="H278" s="30" t="str">
        <x:v>Eco-friendly fast food chains.</x:v>
      </x:c>
      <x:c r="I278" s="30" t="str">
        <x:v>Eco-friendly fast food chains</x:v>
      </x:c>
      <x:c r="J278" s="30" t="str">
        <x:v>Eco-friendly fast food chains</x:v>
      </x:c>
      <x:c r="K278" s="30" t="str">
        <x:v>Eco-friendly fast food chains</x:v>
      </x:c>
      <x:c r="L278" s="33" t="str"/>
      <x:c r="M278" s="33" t="str"/>
      <x:c r="N278" s="33" t="str"/>
      <x:c r="O278" s="33" t="str"/>
      <x:c r="P278" s="30" t="str">
        <x:f>IF(COUNTA(L278:O278)&lt;4,"未完成",IF(OR(L278="部分",L278="不充分",L278="不确定"),"evidence_definition_failure",IF(L278&lt;&gt;"充分","unresolved",IF(COUNTIF(M278:O278,"C")=0,"robust_generation_failure",IF(COUNTIF(M278:O278,"C")=3,"ua3_representation_or_admission_failure","generation_instability")))))</x:f>
        <x:v>unresolved</x:v>
      </x:c>
      <x:c r="Q278" s="33" t="str"/>
      <x:c r="R278" s="33" t="str"/>
      <x:c r="S278" s="33" t="str"/>
      <x:c r="T278" s="36"/>
      <x:c r="U278" s="33" t="str"/>
      <x:c r="V278" s="30" t="str">
        <x:f>IF(AND(L278&lt;&gt;"",M278&lt;&gt;"",N278&lt;&gt;"",O278&lt;&gt;"",Q278&lt;&gt;"",R278&lt;&gt;""),"完成","未完成")</x:f>
        <x:v>未完成</x:v>
      </x:c>
    </x:row>
    <x:row r="279" ht="63" customHeight="1">
      <x:c r="A279" s="30" t="n">
        <x:v>278</x:v>
      </x:c>
      <x:c r="B279" s="30" t="str">
        <x:v>memos_medium:3391</x:v>
      </x:c>
      <x:c r="C279" s="30" t="str">
        <x:v>medium</x:v>
      </x:c>
      <x:c r="D279" s="30" t="str">
        <x:v>Generalization &amp; Application</x:v>
      </x:c>
      <x:c r="E279" s="30" t="str">
        <x:v>Given Christopher's preference for convertible skirts, what type of clothing might he choose for an event on Nov 20, 2030, that requires transitioning from casual to formal attire?</x:v>
      </x:c>
      <x:c r="F279" s="30" t="str">
        <x:v>Convertible skirts.</x:v>
      </x:c>
      <x:c r="G279" s="30" t="str">
        <x:v># Authoritative benchmark gold evidence
The following evidence is authoritative for answering the current question. Use it directly and do not rely on conflicting information.
Evidence 1
Memory type: Persona Memory
Content: Christopher's clothing preference changed from liking flowy skirts to liking convertible skirts, appreciating their practicality and versatility.
Evidence 2
Memory type: Persona Memory
Content: Christopher expressed enthusiasm about the practicality and versatility of convertible skirts, appreciating their ability to transition from casual to formal settings.</x:v>
      </x:c>
      <x:c r="H279" s="30" t="str">
        <x:v>Convertible skirts and trousers.</x:v>
      </x:c>
      <x:c r="I279" s="30" t="str">
        <x:v>Convertible skirt</x:v>
      </x:c>
      <x:c r="J279" s="30" t="str">
        <x:v>Convertible skirt</x:v>
      </x:c>
      <x:c r="K279" s="30" t="str">
        <x:v>Convertible skirt</x:v>
      </x:c>
      <x:c r="L279" s="33" t="str"/>
      <x:c r="M279" s="33" t="str"/>
      <x:c r="N279" s="33" t="str"/>
      <x:c r="O279" s="33" t="str"/>
      <x:c r="P279" s="30" t="str">
        <x:f>IF(COUNTA(L279:O279)&lt;4,"未完成",IF(OR(L279="部分",L279="不充分",L279="不确定"),"evidence_definition_failure",IF(L279&lt;&gt;"充分","unresolved",IF(COUNTIF(M279:O279,"C")=0,"robust_generation_failure",IF(COUNTIF(M279:O279,"C")=3,"ua3_representation_or_admission_failure","generation_instability")))))</x:f>
        <x:v>unresolved</x:v>
      </x:c>
      <x:c r="Q279" s="33" t="str"/>
      <x:c r="R279" s="33" t="str"/>
      <x:c r="S279" s="33" t="str"/>
      <x:c r="T279" s="36"/>
      <x:c r="U279" s="33" t="str"/>
      <x:c r="V279" s="30" t="str">
        <x:f>IF(AND(L279&lt;&gt;"",M279&lt;&gt;"",N279&lt;&gt;"",O279&lt;&gt;"",Q279&lt;&gt;"",R279&lt;&gt;""),"完成","未完成")</x:f>
        <x:v>未完成</x:v>
      </x:c>
    </x:row>
    <x:row r="280" ht="63" customHeight="1">
      <x:c r="A280" s="30" t="n">
        <x:v>279</x:v>
      </x:c>
      <x:c r="B280" s="30" t="str">
        <x:v>memos_long:208</x:v>
      </x:c>
      <x:c r="C280" s="30" t="str">
        <x:v>long</x:v>
      </x:c>
      <x:c r="D280" s="30" t="str">
        <x:v>Multi-hop Inference</x:v>
      </x:c>
      <x:c r="E280" s="30" t="str">
        <x:v>How did Johnson's exploratory motivation influence his stress management strategies between Feb 15, 2029, and May 10, 2029?</x:v>
      </x:c>
      <x:c r="F280" s="30" t="str">
        <x:v>Testing new approaches and ideas for balance.</x:v>
      </x:c>
      <x:c r="G280" s="30" t="str">
        <x:v>#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x:v>
      </x:c>
      <x:c r="H280" s="30" t="str">
        <x:v>No relevant memories found.</x:v>
      </x:c>
      <x:c r="I280" s="30" t="str">
        <x:v>Tested new approaches and ideas.</x:v>
      </x:c>
      <x:c r="J280" s="30" t="str">
        <x:v>Tested new approaches and ideas.</x:v>
      </x:c>
      <x:c r="K280" s="30" t="str">
        <x:v>Tested new approaches and ideas.</x:v>
      </x:c>
      <x:c r="L280" s="33" t="str"/>
      <x:c r="M280" s="33" t="str"/>
      <x:c r="N280" s="33" t="str"/>
      <x:c r="O280" s="33" t="str"/>
      <x:c r="P280" s="30" t="str">
        <x:f>IF(COUNTA(L280:O280)&lt;4,"未完成",IF(OR(L280="部分",L280="不充分",L280="不确定"),"evidence_definition_failure",IF(L280&lt;&gt;"充分","unresolved",IF(COUNTIF(M280:O280,"C")=0,"robust_generation_failure",IF(COUNTIF(M280:O280,"C")=3,"ua3_representation_or_admission_failure","generation_instability")))))</x:f>
        <x:v>unresolved</x:v>
      </x:c>
      <x:c r="Q280" s="33" t="str"/>
      <x:c r="R280" s="33" t="str"/>
      <x:c r="S280" s="33" t="str"/>
      <x:c r="T280" s="36"/>
      <x:c r="U280" s="33" t="str"/>
      <x:c r="V280" s="30" t="str">
        <x:f>IF(AND(L280&lt;&gt;"",M280&lt;&gt;"",N280&lt;&gt;"",O280&lt;&gt;"",Q280&lt;&gt;"",R280&lt;&gt;""),"完成","未完成")</x:f>
        <x:v>未完成</x:v>
      </x:c>
    </x:row>
    <x:row r="281" ht="63" customHeight="1">
      <x:c r="A281" s="30" t="n">
        <x:v>280</x:v>
      </x:c>
      <x:c r="B281" s="30" t="str">
        <x:v>memos_medium:1754</x:v>
      </x:c>
      <x:c r="C281" s="30" t="str">
        <x:v>medium</x:v>
      </x:c>
      <x:c r="D281" s="30" t="str">
        <x:v>Generalization &amp; Application</x:v>
      </x:c>
      <x:c r="E281" s="30" t="str">
        <x:v>What type of beverages might Susan Thompson explore during her wellness workshops after Oct 11, 2039?</x:v>
      </x:c>
      <x:c r="F281" s="30" t="str">
        <x:v>Low-sugar fruit juices.</x:v>
      </x:c>
      <x:c r="G281" s="30" t="str">
        <x:v># Authoritative benchmark gold evidence
The following evidence is authoritative for answering the current question. Use it directly and do not rely on conflicting information.
Evidence 1
Memory type: Persona Memory
Content: Susan Thompson appreciates low-sugar fruit juices for their refreshing taste and hydration benefits without causing bloating.
Evidence 2
Memory type: Event Memory
Content: Susan Thompson expressed excitement about including low-sugar fruit juices in her regular diet.
Evidence 3
Memory type: Event Memory
Content: Susan Thompson plans to share insights from her experience with low-sugar fruit juices in her health workshops to inspire others.</x:v>
      </x:c>
      <x:c r="H281" s="30" t="str">
        <x:v>Low-sugar fruit juices and herbal teas.</x:v>
      </x:c>
      <x:c r="I281" s="30" t="str">
        <x:v>Low-sugar fruit juices.</x:v>
      </x:c>
      <x:c r="J281" s="30" t="str">
        <x:v>Low-sugar fruit juices.</x:v>
      </x:c>
      <x:c r="K281" s="30" t="str">
        <x:v>Low-sugar fruit juices.</x:v>
      </x:c>
      <x:c r="L281" s="33" t="str"/>
      <x:c r="M281" s="33" t="str"/>
      <x:c r="N281" s="33" t="str"/>
      <x:c r="O281" s="33" t="str"/>
      <x:c r="P281" s="30" t="str">
        <x:f>IF(COUNTA(L281:O281)&lt;4,"未完成",IF(OR(L281="部分",L281="不充分",L281="不确定"),"evidence_definition_failure",IF(L281&lt;&gt;"充分","unresolved",IF(COUNTIF(M281:O281,"C")=0,"robust_generation_failure",IF(COUNTIF(M281:O281,"C")=3,"ua3_representation_or_admission_failure","generation_instability")))))</x:f>
        <x:v>unresolved</x:v>
      </x:c>
      <x:c r="Q281" s="33" t="str"/>
      <x:c r="R281" s="33" t="str"/>
      <x:c r="S281" s="33" t="str"/>
      <x:c r="T281" s="36"/>
      <x:c r="U281" s="33" t="str"/>
      <x:c r="V281" s="30" t="str">
        <x:f>IF(AND(L281&lt;&gt;"",M281&lt;&gt;"",N281&lt;&gt;"",O281&lt;&gt;"",Q281&lt;&gt;"",R281&lt;&gt;""),"完成","未完成")</x:f>
        <x:v>未完成</x:v>
      </x:c>
    </x:row>
    <x:row r="282" ht="63" customHeight="1">
      <x:c r="A282" s="30" t="n">
        <x:v>281</x:v>
      </x:c>
      <x:c r="B282" s="30" t="str">
        <x:v>memos_medium:616</x:v>
      </x:c>
      <x:c r="C282" s="30" t="str">
        <x:v>medium</x:v>
      </x:c>
      <x:c r="D282" s="30" t="str">
        <x:v>Multi-hop Inference</x:v>
      </x:c>
      <x:c r="E282" s="30" t="str">
        <x:v>What was Sarah Garcia's job title before becoming Executive Director at Community Change Initiative?</x:v>
      </x:c>
      <x:c r="F282" s="30" t="str">
        <x:v>Head of Social Initiatives</x:v>
      </x:c>
      <x:c r="G282" s="30" t="str">
        <x:v># Authoritative benchmark gold evidence
The following evidence is authoritative for answering the current question. Use it directly and do not rely on conflicting information.
Evidence 1
Memory type: Persona Memory
Content: Sarah Garcia's career_status updated job_title from "head of social initiatives" to "executive director"
Evidence 2
Memory type: Event Memory
Content: Sarah Garcia decided to transition to a non-profit leadership role as Executive Director at Community Change Initiative on May 08, 2033.</x:v>
      </x:c>
      <x:c r="H282" s="30" t="str">
        <x:v>Impact Solutions employee</x:v>
      </x:c>
      <x:c r="I282" s="30" t="str">
        <x:v>head of social initiatives</x:v>
      </x:c>
      <x:c r="J282" s="30" t="str">
        <x:v>head of social initiatives</x:v>
      </x:c>
      <x:c r="K282" s="30" t="str">
        <x:v>head of social initiatives</x:v>
      </x:c>
      <x:c r="L282" s="33" t="str"/>
      <x:c r="M282" s="33" t="str"/>
      <x:c r="N282" s="33" t="str"/>
      <x:c r="O282" s="33" t="str"/>
      <x:c r="P282" s="30" t="str">
        <x:f>IF(COUNTA(L282:O282)&lt;4,"未完成",IF(OR(L282="部分",L282="不充分",L282="不确定"),"evidence_definition_failure",IF(L282&lt;&gt;"充分","unresolved",IF(COUNTIF(M282:O282,"C")=0,"robust_generation_failure",IF(COUNTIF(M282:O282,"C")=3,"ua3_representation_or_admission_failure","generation_instability")))))</x:f>
        <x:v>unresolved</x:v>
      </x:c>
      <x:c r="Q282" s="33" t="str"/>
      <x:c r="R282" s="33" t="str"/>
      <x:c r="S282" s="33" t="str"/>
      <x:c r="T282" s="36"/>
      <x:c r="U282" s="33" t="str"/>
      <x:c r="V282" s="30" t="str">
        <x:f>IF(AND(L282&lt;&gt;"",M282&lt;&gt;"",N282&lt;&gt;"",O282&lt;&gt;"",Q282&lt;&gt;"",R282&lt;&gt;""),"完成","未完成")</x:f>
        <x:v>未完成</x:v>
      </x:c>
    </x:row>
    <x:row r="283" ht="63" customHeight="1">
      <x:c r="A283" s="30" t="n">
        <x:v>282</x:v>
      </x:c>
      <x:c r="B283" s="30" t="str">
        <x:v>memos_long:2277</x:v>
      </x:c>
      <x:c r="C283" s="30" t="str">
        <x:v>long</x:v>
      </x:c>
      <x:c r="D283" s="30" t="str">
        <x:v>Generalization &amp; Application</x:v>
      </x:c>
      <x:c r="E283" s="30" t="str">
        <x:v>How might Williams Daniel manage his research and creative tasks for upcoming projects in 2027?</x:v>
      </x:c>
      <x:c r="F283" s="30" t="str">
        <x:v>Seek efficient management advice.</x:v>
      </x:c>
      <x:c r="G283" s="30" t="str">
        <x:v>#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x:v>
      </x:c>
      <x:c r="H283" s="30" t="str">
        <x:v>Set specific time blocks.</x:v>
      </x:c>
      <x:c r="I283" s="30" t="str">
        <x:v>Seek advice on task management.</x:v>
      </x:c>
      <x:c r="J283" s="30" t="str">
        <x:v>Seek advice on task management.</x:v>
      </x:c>
      <x:c r="K283" s="30" t="str">
        <x:v>Seek advice on task management.</x:v>
      </x:c>
      <x:c r="L283" s="33" t="str"/>
      <x:c r="M283" s="33" t="str"/>
      <x:c r="N283" s="33" t="str"/>
      <x:c r="O283" s="33" t="str"/>
      <x:c r="P283" s="30" t="str">
        <x:f>IF(COUNTA(L283:O283)&lt;4,"未完成",IF(OR(L283="部分",L283="不充分",L283="不确定"),"evidence_definition_failure",IF(L283&lt;&gt;"充分","unresolved",IF(COUNTIF(M283:O283,"C")=0,"robust_generation_failure",IF(COUNTIF(M283:O283,"C")=3,"ua3_representation_or_admission_failure","generation_instability")))))</x:f>
        <x:v>unresolved</x:v>
      </x:c>
      <x:c r="Q283" s="33" t="str"/>
      <x:c r="R283" s="33" t="str"/>
      <x:c r="S283" s="33" t="str"/>
      <x:c r="T283" s="36"/>
      <x:c r="U283" s="33" t="str"/>
      <x:c r="V283" s="30" t="str">
        <x:f>IF(AND(L283&lt;&gt;"",M283&lt;&gt;"",N283&lt;&gt;"",O283&lt;&gt;"",Q283&lt;&gt;"",R283&lt;&gt;""),"完成","未完成")</x:f>
        <x:v>未完成</x:v>
      </x:c>
    </x:row>
    <x:row r="284" ht="63" customHeight="1">
      <x:c r="A284" s="30" t="n">
        <x:v>283</x:v>
      </x:c>
      <x:c r="B284" s="30" t="str">
        <x:v>memos_long:1360</x:v>
      </x:c>
      <x:c r="C284" s="30" t="str">
        <x:v>long</x:v>
      </x:c>
      <x:c r="D284" s="30" t="str">
        <x:v>Generalization &amp; Application</x:v>
      </x:c>
      <x:c r="E284" s="30" t="str">
        <x:v>What new sport might Ananya Sharma explore next based on her interest in strategic depth?</x:v>
      </x:c>
      <x:c r="F284" s="30" t="str">
        <x:v>Chess, due to its strategic nature.</x:v>
      </x:c>
      <x:c r="G284" s="30" t="str">
        <x:v># Authoritative benchmark gold evidence
The following evidence is authoritative for answering the current question. Use it directly and do not rely on conflicting information.
Evidence 1
Memory type: Persona Memory
Content: Ananya Sharma is excited about exploring sports like golf and boxing for their strategic depth and relaxation.
Evidence 2
Memory type: Event Memory
Content: Ananya Sharma attended a charity golf event, finding the strategic elements more engaging than anticipated.</x:v>
      </x:c>
      <x:c r="H284" s="30" t="str">
        <x:v>Golf</x:v>
      </x:c>
      <x:c r="I284" s="30" t="str">
        <x:v>Golf or boxing</x:v>
      </x:c>
      <x:c r="J284" s="30" t="str">
        <x:v>Golf or boxing</x:v>
      </x:c>
      <x:c r="K284" s="30" t="str">
        <x:v>Golf or boxing</x:v>
      </x:c>
      <x:c r="L284" s="33" t="str"/>
      <x:c r="M284" s="33" t="str"/>
      <x:c r="N284" s="33" t="str"/>
      <x:c r="O284" s="33" t="str"/>
      <x:c r="P284" s="30" t="str">
        <x:f>IF(COUNTA(L284:O284)&lt;4,"未完成",IF(OR(L284="部分",L284="不充分",L284="不确定"),"evidence_definition_failure",IF(L284&lt;&gt;"充分","unresolved",IF(COUNTIF(M284:O284,"C")=0,"robust_generation_failure",IF(COUNTIF(M284:O284,"C")=3,"ua3_representation_or_admission_failure","generation_instability")))))</x:f>
        <x:v>unresolved</x:v>
      </x:c>
      <x:c r="Q284" s="33" t="str"/>
      <x:c r="R284" s="33" t="str"/>
      <x:c r="S284" s="33" t="str"/>
      <x:c r="T284" s="36"/>
      <x:c r="U284" s="33" t="str"/>
      <x:c r="V284" s="30" t="str">
        <x:f>IF(AND(L284&lt;&gt;"",M284&lt;&gt;"",N284&lt;&gt;"",O284&lt;&gt;"",Q284&lt;&gt;"",R284&lt;&gt;""),"完成","未完成")</x:f>
        <x:v>未完成</x:v>
      </x:c>
    </x:row>
    <x:row r="285" ht="63" customHeight="1">
      <x:c r="A285" s="30" t="n">
        <x:v>284</x:v>
      </x:c>
      <x:c r="B285" s="30" t="str">
        <x:v>memos_medium:1216</x:v>
      </x:c>
      <x:c r="C285" s="30" t="str">
        <x:v>medium</x:v>
      </x:c>
      <x:c r="D285" s="30" t="str">
        <x:v>Generalization &amp; Application</x:v>
      </x:c>
      <x:c r="E285" s="30" t="str">
        <x:v>Based on Taylor David's game preferences on August 16, 2040, what type of workshop might he find beneficial for his creative meal planning?</x:v>
      </x:c>
      <x:c r="F285" s="30" t="str">
        <x:v>A workshop on creative problem-solving techniques.</x:v>
      </x:c>
      <x:c r="G285" s="30" t="str">
        <x:v># Authoritative benchmark gold evidence
The following evidence is authoritative for answering the current question. Use it directly and do not rely on conflicting information.
Evidence 1
Memory type: Event Memory
Content: Taylor David attended a creative workshop on August 16, 2040, which inspired a shift in his game preference towards creative puzzle games.
Evidence 2
Memory type: Persona Memory
Content: Taylor David's game preference has evolved to favor creative puzzle games that stimulate innovative thinking and problem-solving.
Evidence 3
Memory type: Persona Memory
Content: Taylor David expressed excitement about integrating creative puzzle games into his routine to enhance meal planning creativity.</x:v>
      </x:c>
      <x:c r="H285" s="30" t="str">
        <x:v>Creative puzzle game workshop</x:v>
      </x:c>
      <x:c r="I285" s="30" t="str">
        <x:v>Creative puzzle workshop</x:v>
      </x:c>
      <x:c r="J285" s="30" t="str">
        <x:v>Creative puzzle workshop</x:v>
      </x:c>
      <x:c r="K285" s="30" t="str">
        <x:v>Creative puzzle workshop</x:v>
      </x:c>
      <x:c r="L285" s="33" t="str"/>
      <x:c r="M285" s="33" t="str"/>
      <x:c r="N285" s="33" t="str"/>
      <x:c r="O285" s="33" t="str"/>
      <x:c r="P285" s="30" t="str">
        <x:f>IF(COUNTA(L285:O285)&lt;4,"未完成",IF(OR(L285="部分",L285="不充分",L285="不确定"),"evidence_definition_failure",IF(L285&lt;&gt;"充分","unresolved",IF(COUNTIF(M285:O285,"C")=0,"robust_generation_failure",IF(COUNTIF(M285:O285,"C")=3,"ua3_representation_or_admission_failure","generation_instability")))))</x:f>
        <x:v>unresolved</x:v>
      </x:c>
      <x:c r="Q285" s="33" t="str"/>
      <x:c r="R285" s="33" t="str"/>
      <x:c r="S285" s="33" t="str"/>
      <x:c r="T285" s="36"/>
      <x:c r="U285" s="33" t="str"/>
      <x:c r="V285" s="30" t="str">
        <x:f>IF(AND(L285&lt;&gt;"",M285&lt;&gt;"",N285&lt;&gt;"",O285&lt;&gt;"",Q285&lt;&gt;"",R285&lt;&gt;""),"完成","未完成")</x:f>
        <x:v>未完成</x:v>
      </x:c>
    </x:row>
    <x:row r="286" ht="63" customHeight="1">
      <x:c r="A286" s="30" t="n">
        <x:v>285</x:v>
      </x:c>
      <x:c r="B286" s="30" t="str">
        <x:v>memos_long:1528</x:v>
      </x:c>
      <x:c r="C286" s="30" t="str">
        <x:v>long</x:v>
      </x:c>
      <x:c r="D286" s="30" t="str">
        <x:v>Dynamic Update</x:v>
      </x:c>
      <x:c r="E286" s="30" t="str">
        <x:v>What is Jennifer Martin's current employment status as of Sep 20, 2032?</x:v>
      </x:c>
      <x:c r="F286" s="30" t="str">
        <x:v>Unemployed and exploring new opportunities.</x:v>
      </x:c>
      <x:c r="G286" s="30" t="str">
        <x:v># Authoritative benchmark gold evidence
The following evidence is authoritative for answering the current question. Use it directly and do not rely on conflicting information.
Evidence 1
Memory type: Event Memory
Content: Jennifer Martin's employment status changed from employed to unemployed due to layoff from CloudTech Advisors.
Evidence 2
Memory type: Event Memory
Content: Jennifer Martin is currently unemployed and exploring new opportunities in cloud computing after being laid off.</x:v>
      </x:c>
      <x:c r="H286" s="30" t="str">
        <x:v>Exploring cybersecurity career.</x:v>
      </x:c>
      <x:c r="I286" s="30" t="str">
        <x:v>Unemployed</x:v>
      </x:c>
      <x:c r="J286" s="30" t="str">
        <x:v>Unemployed</x:v>
      </x:c>
      <x:c r="K286" s="30" t="str">
        <x:v>Unemployed</x:v>
      </x:c>
      <x:c r="L286" s="33" t="str"/>
      <x:c r="M286" s="33" t="str"/>
      <x:c r="N286" s="33" t="str"/>
      <x:c r="O286" s="33" t="str"/>
      <x:c r="P286" s="30" t="str">
        <x:f>IF(COUNTA(L286:O286)&lt;4,"未完成",IF(OR(L286="部分",L286="不充分",L286="不确定"),"evidence_definition_failure",IF(L286&lt;&gt;"充分","unresolved",IF(COUNTIF(M286:O286,"C")=0,"robust_generation_failure",IF(COUNTIF(M286:O286,"C")=3,"ua3_representation_or_admission_failure","generation_instability")))))</x:f>
        <x:v>unresolved</x:v>
      </x:c>
      <x:c r="Q286" s="33" t="str"/>
      <x:c r="R286" s="33" t="str"/>
      <x:c r="S286" s="33" t="str"/>
      <x:c r="T286" s="36"/>
      <x:c r="U286" s="33" t="str"/>
      <x:c r="V286" s="30" t="str">
        <x:f>IF(AND(L286&lt;&gt;"",M286&lt;&gt;"",N286&lt;&gt;"",O286&lt;&gt;"",Q286&lt;&gt;"",R286&lt;&gt;""),"完成","未完成")</x:f>
        <x:v>未完成</x:v>
      </x:c>
    </x:row>
    <x:row r="287" ht="63" customHeight="1">
      <x:c r="A287" s="30" t="n">
        <x:v>286</x:v>
      </x:c>
      <x:c r="B287" s="30" t="str">
        <x:v>memos_long:2459</x:v>
      </x:c>
      <x:c r="C287" s="30" t="str">
        <x:v>long</x:v>
      </x:c>
      <x:c r="D287" s="30" t="str">
        <x:v>Generalization &amp; Application</x:v>
      </x:c>
      <x:c r="E287" s="30" t="str">
        <x:v>What new leisure activity might Steven explore after August 22, 2027, based on his evolving movie preferences?</x:v>
      </x:c>
      <x:c r="F287" s="30" t="str">
        <x:v>Steven might explore watching more romantic comedies.</x:v>
      </x:c>
      <x:c r="G287" s="30" t="str">
        <x:v># Authoritative benchmark gold evidence
The following evidence is authoritative for answering the current question. Use it directly and do not rely on conflicting information.
Evidence 1
Memory type: Persona Memory
Content: Steven Miller's dislike for romantic comedies has evolved; he now appreciates the diversity and innovative storytelling in newer films.
Evidence 2
Memory type: Persona Memory
Content: Steven Miller is open to exploring romantic comedies further, recognizing the diversity and depth in storytelling they now offer.
Evidence 3
Memory type: Persona Memory
Content: Steven Miller expressed curiosity about how his evolving movie preferences might affect his leisure activities and personal interests.</x:v>
      </x:c>
      <x:c r="H287" s="30" t="str">
        <x:v>No new activity specified.</x:v>
      </x:c>
      <x:c r="I287" s="30" t="str">
        <x:v>Exploring romantic comedies further.</x:v>
      </x:c>
      <x:c r="J287" s="30" t="str">
        <x:v>Exploring romantic comedies further.</x:v>
      </x:c>
      <x:c r="K287" s="30" t="str">
        <x:v>Exploring romantic comedies further.</x:v>
      </x:c>
      <x:c r="L287" s="33" t="str"/>
      <x:c r="M287" s="33" t="str"/>
      <x:c r="N287" s="33" t="str"/>
      <x:c r="O287" s="33" t="str"/>
      <x:c r="P287" s="30" t="str">
        <x:f>IF(COUNTA(L287:O287)&lt;4,"未完成",IF(OR(L287="部分",L287="不充分",L287="不确定"),"evidence_definition_failure",IF(L287&lt;&gt;"充分","unresolved",IF(COUNTIF(M287:O287,"C")=0,"robust_generation_failure",IF(COUNTIF(M287:O287,"C")=3,"ua3_representation_or_admission_failure","generation_instability")))))</x:f>
        <x:v>unresolved</x:v>
      </x:c>
      <x:c r="Q287" s="33" t="str"/>
      <x:c r="R287" s="33" t="str"/>
      <x:c r="S287" s="33" t="str"/>
      <x:c r="T287" s="36"/>
      <x:c r="U287" s="33" t="str"/>
      <x:c r="V287" s="30" t="str">
        <x:f>IF(AND(L287&lt;&gt;"",M287&lt;&gt;"",N287&lt;&gt;"",O287&lt;&gt;"",Q287&lt;&gt;"",R287&lt;&gt;""),"完成","未完成")</x:f>
        <x:v>未完成</x:v>
      </x:c>
    </x:row>
    <x:row r="288" ht="63" customHeight="1">
      <x:c r="A288" s="30" t="n">
        <x:v>287</x:v>
      </x:c>
      <x:c r="B288" s="30" t="str">
        <x:v>memos_long:1875</x:v>
      </x:c>
      <x:c r="C288" s="30" t="str">
        <x:v>long</x:v>
      </x:c>
      <x:c r="D288" s="30" t="str">
        <x:v>Generalization &amp; Application</x:v>
      </x:c>
      <x:c r="E288" s="30" t="str">
        <x:v>What movie genres could Michelle explore to enhance her analytical skills as of Dec 13, 2035?</x:v>
      </x:c>
      <x:c r="F288" s="30" t="str">
        <x:v>Genres with fresh narratives and intellectual challenges.</x:v>
      </x:c>
      <x:c r="G288" s="30" t="str">
        <x:v># Authoritative benchmark gold evidence
The following evidence is authoritative for answering the current question. Use it directly and do not rely on conflicting information.
Evidence 1
Memory type: Persona Memory
Content: Michelle Hernandez is seeking recommendations for movie genres that offer fresh narratives and stimulate her analytical skills.
Evidence 2
Memory type: Persona Memory
Content: Michelle Hernandez values engaging with narratives that challenge her intellectually and offer new perspectives.
Evidence 3
Memory type: Persona Memory
Content: Michelle Hernandez is curious about experimenting with different movie genres to overcome creative blocks and enhance her analytical skills.</x:v>
      </x:c>
      <x:c r="H288" s="30" t="str">
        <x:v>Psychological thrillers and sci-fi.</x:v>
      </x:c>
      <x:c r="I288" s="30" t="str">
        <x:v>Fresh, intellectually challenging narratives.</x:v>
      </x:c>
      <x:c r="J288" s="30" t="str">
        <x:v>Fresh, intellectually challenging narratives.</x:v>
      </x:c>
      <x:c r="K288" s="30" t="str">
        <x:v>Fresh, intellectually challenging narratives.</x:v>
      </x:c>
      <x:c r="L288" s="33" t="str"/>
      <x:c r="M288" s="33" t="str"/>
      <x:c r="N288" s="33" t="str"/>
      <x:c r="O288" s="33" t="str"/>
      <x:c r="P288" s="30" t="str">
        <x:f>IF(COUNTA(L288:O288)&lt;4,"未完成",IF(OR(L288="部分",L288="不充分",L288="不确定"),"evidence_definition_failure",IF(L288&lt;&gt;"充分","unresolved",IF(COUNTIF(M288:O288,"C")=0,"robust_generation_failure",IF(COUNTIF(M288:O288,"C")=3,"ua3_representation_or_admission_failure","generation_instability")))))</x:f>
        <x:v>unresolved</x:v>
      </x:c>
      <x:c r="Q288" s="33" t="str"/>
      <x:c r="R288" s="33" t="str"/>
      <x:c r="S288" s="33" t="str"/>
      <x:c r="T288" s="36"/>
      <x:c r="U288" s="33" t="str"/>
      <x:c r="V288" s="30" t="str">
        <x:f>IF(AND(L288&lt;&gt;"",M288&lt;&gt;"",N288&lt;&gt;"",O288&lt;&gt;"",Q288&lt;&gt;"",R288&lt;&gt;""),"完成","未完成")</x:f>
        <x:v>未完成</x:v>
      </x:c>
    </x:row>
    <x:row r="289" ht="63" customHeight="1">
      <x:c r="A289" s="30" t="n">
        <x:v>288</x:v>
      </x:c>
      <x:c r="B289" s="30" t="str">
        <x:v>memos_medium:208</x:v>
      </x:c>
      <x:c r="C289" s="30" t="str">
        <x:v>medium</x:v>
      </x:c>
      <x:c r="D289" s="30" t="str">
        <x:v>Multi-hop Inference</x:v>
      </x:c>
      <x:c r="E289" s="30" t="str">
        <x:v>How did Johnson's exploratory motivation influence his stress management strategies between Feb 15, 2029, and May 10, 2029?</x:v>
      </x:c>
      <x:c r="F289" s="30" t="str">
        <x:v>Testing new approaches and ideas for balance.</x:v>
      </x:c>
      <x:c r="G289" s="30" t="str">
        <x:v># Authoritative benchmark gold evidence
The following evidence is authoritative for answering the current question. Use it directly and do not rely on conflicting information.
Evidence 1
Memory type: Event Memory
Content: Johnson Joseph aims to explore new skills and interests during his part-time role at Albi B&amp;B to enhance personal growth.
Evidence 2
Memory type: Persona Memory
Content: Johnson Joseph's exploratory motivation led him to test new approaches and ideas during his transition to part-time management.
Evidence 3
Memory type: Persona Memory
Content: Johnson Joseph adopted mindfulness practices and scheduled downtime to manage stress effectively.</x:v>
      </x:c>
      <x:c r="H289" s="30" t="str">
        <x:v>No relevant memories found.</x:v>
      </x:c>
      <x:c r="I289" s="30" t="str">
        <x:v>Tested new approaches and ideas.</x:v>
      </x:c>
      <x:c r="J289" s="30" t="str">
        <x:v>Tested new approaches and ideas.</x:v>
      </x:c>
      <x:c r="K289" s="30" t="str">
        <x:v>Tested new approaches and ideas.</x:v>
      </x:c>
      <x:c r="L289" s="33" t="str"/>
      <x:c r="M289" s="33" t="str"/>
      <x:c r="N289" s="33" t="str"/>
      <x:c r="O289" s="33" t="str"/>
      <x:c r="P289" s="30" t="str">
        <x:f>IF(COUNTA(L289:O289)&lt;4,"未完成",IF(OR(L289="部分",L289="不充分",L289="不确定"),"evidence_definition_failure",IF(L289&lt;&gt;"充分","unresolved",IF(COUNTIF(M289:O289,"C")=0,"robust_generation_failure",IF(COUNTIF(M289:O289,"C")=3,"ua3_representation_or_admission_failure","generation_instability")))))</x:f>
        <x:v>unresolved</x:v>
      </x:c>
      <x:c r="Q289" s="33" t="str"/>
      <x:c r="R289" s="33" t="str"/>
      <x:c r="S289" s="33" t="str"/>
      <x:c r="T289" s="36"/>
      <x:c r="U289" s="33" t="str"/>
      <x:c r="V289" s="30" t="str">
        <x:f>IF(AND(L289&lt;&gt;"",M289&lt;&gt;"",N289&lt;&gt;"",O289&lt;&gt;"",Q289&lt;&gt;"",R289&lt;&gt;""),"完成","未完成")</x:f>
        <x:v>未完成</x:v>
      </x:c>
    </x:row>
    <x:row r="290" ht="63" customHeight="1">
      <x:c r="A290" s="30" t="n">
        <x:v>289</x:v>
      </x:c>
      <x:c r="B290" s="30" t="str">
        <x:v>memos_long:3448</x:v>
      </x:c>
      <x:c r="C290" s="30" t="str">
        <x:v>long</x:v>
      </x:c>
      <x:c r="D290" s="30" t="str">
        <x:v>Basic Fact Recall</x:v>
      </x:c>
      <x:c r="E290" s="30" t="str">
        <x:v>What type of documentaries has Christopher shown a growing interest in by Mar 20, 2035?</x:v>
      </x:c>
      <x:c r="F290" s="30" t="str">
        <x:v>Documentaries that tackle social issues.</x:v>
      </x:c>
      <x:c r="G290" s="30" t="str">
        <x:v># Authoritative benchmark gold evidence
The following evidence is authoritative for answering the current question. Use it directly and do not rely on conflicting information.
Evidence 1
Memory type: Persona Memory
Content: Christopher expressed a growing interest in documentaries that tackle social issues, motivated by a desire to be informed and engaged with global challenges.</x:v>
      </x:c>
      <x:c r="H290" s="30" t="str">
        <x:v>Community screenings documentaries.</x:v>
      </x:c>
      <x:c r="I290" s="30" t="str">
        <x:v>Social issue documentaries</x:v>
      </x:c>
      <x:c r="J290" s="30" t="str">
        <x:v>Social issue documentaries</x:v>
      </x:c>
      <x:c r="K290" s="30" t="str">
        <x:v>Social issue documentaries</x:v>
      </x:c>
      <x:c r="L290" s="33" t="str"/>
      <x:c r="M290" s="33" t="str"/>
      <x:c r="N290" s="33" t="str"/>
      <x:c r="O290" s="33" t="str"/>
      <x:c r="P290" s="30" t="str">
        <x:f>IF(COUNTA(L290:O290)&lt;4,"未完成",IF(OR(L290="部分",L290="不充分",L290="不确定"),"evidence_definition_failure",IF(L290&lt;&gt;"充分","unresolved",IF(COUNTIF(M290:O290,"C")=0,"robust_generation_failure",IF(COUNTIF(M290:O290,"C")=3,"ua3_representation_or_admission_failure","generation_instability")))))</x:f>
        <x:v>unresolved</x:v>
      </x:c>
      <x:c r="Q290" s="33" t="str"/>
      <x:c r="R290" s="33" t="str"/>
      <x:c r="S290" s="33" t="str"/>
      <x:c r="T290" s="36"/>
      <x:c r="U290" s="33" t="str"/>
      <x:c r="V290" s="30" t="str">
        <x:f>IF(AND(L290&lt;&gt;"",M290&lt;&gt;"",N290&lt;&gt;"",O290&lt;&gt;"",Q290&lt;&gt;"",R290&lt;&gt;""),"完成","未完成")</x:f>
        <x:v>未完成</x:v>
      </x:c>
    </x:row>
    <x:row r="291" ht="63" customHeight="1">
      <x:c r="A291" s="30" t="n">
        <x:v>290</x:v>
      </x:c>
      <x:c r="B291" s="30" t="str">
        <x:v>memos_long:2942</x:v>
      </x:c>
      <x:c r="C291" s="30" t="str">
        <x:v>long</x:v>
      </x:c>
      <x:c r="D291" s="30" t="str">
        <x:v>Generalization &amp; Application</x:v>
      </x:c>
      <x:c r="E291" s="30" t="str">
        <x:v>What type of restaurant might Karen Brown enjoy visiting in the future, considering her evolving food preferences as of 2026-04-22?</x:v>
      </x:c>
      <x:c r="F291" s="30" t="str">
        <x:v>Restaurants offering social and stress-relief experiences.</x:v>
      </x:c>
      <x:c r="G291" s="30" t="str">
        <x:v># Authoritative benchmark gold evidence
The following evidence is authoritative for answering the current question. Use it directly and do not rely on conflicting information.
Evidence 1
Memory type: Event Memory
Content: Karen Brown experienced social benefits and stress relief from occasional indulgence in fast food during a team outing.
Evidence 2
Memory type: Persona Memory
Content: Karen Brown's dislike for fast food burgers has been reevaluated, leading to the deletion of this preference.
Evidence 3
Memory type: Persona Memory
Content: Karen Brown values occasional indulgence for stress relief and social bonding.
Evidence 4
Memory type: Persona Memory
Content: Karen Brown's balance between health consciousness and indulgence is a new aspect of her lifestyle.
Evidence 5
Memory type: Persona Memory
Content: Karen Brown's evolving food preferences reflect her adaptability and resilience.</x:v>
      </x:c>
      <x:c r="H291" s="30" t="str">
        <x:v>Fast food restaurant</x:v>
      </x:c>
      <x:c r="I291" s="30" t="str">
        <x:v>Fast food restaurants</x:v>
      </x:c>
      <x:c r="J291" s="30" t="str">
        <x:v>Fast food restaurants</x:v>
      </x:c>
      <x:c r="K291" s="30" t="str">
        <x:v>Fast food restaurants</x:v>
      </x:c>
      <x:c r="L291" s="33" t="str"/>
      <x:c r="M291" s="33" t="str"/>
      <x:c r="N291" s="33" t="str"/>
      <x:c r="O291" s="33" t="str"/>
      <x:c r="P291" s="30" t="str">
        <x:f>IF(COUNTA(L291:O291)&lt;4,"未完成",IF(OR(L291="部分",L291="不充分",L291="不确定"),"evidence_definition_failure",IF(L291&lt;&gt;"充分","unresolved",IF(COUNTIF(M291:O291,"C")=0,"robust_generation_failure",IF(COUNTIF(M291:O291,"C")=3,"ua3_representation_or_admission_failure","generation_instability")))))</x:f>
        <x:v>unresolved</x:v>
      </x:c>
      <x:c r="Q291" s="33" t="str"/>
      <x:c r="R291" s="33" t="str"/>
      <x:c r="S291" s="33" t="str"/>
      <x:c r="T291" s="36"/>
      <x:c r="U291" s="33" t="str"/>
      <x:c r="V291" s="30" t="str">
        <x:f>IF(AND(L291&lt;&gt;"",M291&lt;&gt;"",N291&lt;&gt;"",O291&lt;&gt;"",Q291&lt;&gt;"",R291&lt;&gt;""),"完成","未完成")</x:f>
        <x:v>未完成</x:v>
      </x:c>
    </x:row>
    <x:row r="292" ht="63" customHeight="1">
      <x:c r="A292" s="30" t="n">
        <x:v>291</x:v>
      </x:c>
      <x:c r="B292" s="30" t="str">
        <x:v>memos_long:1390</x:v>
      </x:c>
      <x:c r="C292" s="30" t="str">
        <x:v>long</x:v>
      </x:c>
      <x:c r="D292" s="30" t="str">
        <x:v>Generalization &amp; Application</x:v>
      </x:c>
      <x:c r="E292" s="30" t="str">
        <x:v>What strategic activities might Ananya Sharma enjoy integrating into her routine after Jul 08, 2034?</x:v>
      </x:c>
      <x:c r="F292" s="30" t="str">
        <x:v>Ananya might enjoy activities involving strategic thinking and relaxation.</x:v>
      </x:c>
      <x:c r="G292" s="30" t="str">
        <x:v># Authoritative benchmark gold evidence
The following evidence is authoritative for answering the current question. Use it directly and do not rely on conflicting information.
Evidence 1
Memory type: Persona Memory
Content: Ananya Sharma's sports preference evolved to include golf for its strategic depth and calming environment.
Evidence 2
Memory type: Persona Memory
Content: Ananya Sharma plans to integrate golf into her routine for relaxation and strategic thinking.
Evidence 3
Memory type: Persona Memory
Content: Ananya Sharma's compensatory motivation led her to appreciate golf's strategic aspects, balancing her sports interests.</x:v>
      </x:c>
      <x:c r="H292" s="30" t="str">
        <x:v>Golf and yoga.</x:v>
      </x:c>
      <x:c r="I292" s="30" t="str">
        <x:v>Golf for strategic thinking.</x:v>
      </x:c>
      <x:c r="J292" s="30" t="str">
        <x:v>Golf for strategic thinking.</x:v>
      </x:c>
      <x:c r="K292" s="30" t="str">
        <x:v>Golf for strategic thinking.</x:v>
      </x:c>
      <x:c r="L292" s="33" t="str"/>
      <x:c r="M292" s="33" t="str"/>
      <x:c r="N292" s="33" t="str"/>
      <x:c r="O292" s="33" t="str"/>
      <x:c r="P292" s="30" t="str">
        <x:f>IF(COUNTA(L292:O292)&lt;4,"未完成",IF(OR(L292="部分",L292="不充分",L292="不确定"),"evidence_definition_failure",IF(L292&lt;&gt;"充分","unresolved",IF(COUNTIF(M292:O292,"C")=0,"robust_generation_failure",IF(COUNTIF(M292:O292,"C")=3,"ua3_representation_or_admission_failure","generation_instability")))))</x:f>
        <x:v>unresolved</x:v>
      </x:c>
      <x:c r="Q292" s="33" t="str"/>
      <x:c r="R292" s="33" t="str"/>
      <x:c r="S292" s="33" t="str"/>
      <x:c r="T292" s="36"/>
      <x:c r="U292" s="33" t="str"/>
      <x:c r="V292" s="30" t="str">
        <x:f>IF(AND(L292&lt;&gt;"",M292&lt;&gt;"",N292&lt;&gt;"",O292&lt;&gt;"",Q292&lt;&gt;"",R292&lt;&gt;""),"完成","未完成")</x:f>
        <x:v>未完成</x:v>
      </x:c>
    </x:row>
    <x:row r="293" ht="63" customHeight="1">
      <x:c r="A293" s="30" t="n">
        <x:v>292</x:v>
      </x:c>
      <x:c r="B293" s="30" t="str">
        <x:v>memos_long:721</x:v>
      </x:c>
      <x:c r="C293" s="30" t="str">
        <x:v>long</x:v>
      </x:c>
      <x:c r="D293" s="30" t="str">
        <x:v>Dynamic Update</x:v>
      </x:c>
      <x:c r="E293" s="30" t="str">
        <x:v>How has Donna Gonzalez's health status changed since Jan 11, 2026?</x:v>
      </x:c>
      <x:c r="F293" s="30" t="str">
        <x:v>Diagnosed with a chronic disease</x:v>
      </x:c>
      <x:c r="G293" s="30" t="str">
        <x:v># Authoritative benchmark gold evidence
The following evidence is authoritative for answering the current question. Use it directly and do not rely on conflicting information.
Evidence 1
Memory type: Persona Memory
Content: Donna Gonzalez was diagnosed with a chronic disease.
Evidence 2
Memory type: Event Memory
Content: Donna Gonzalez began experiencing health issues shortly after her salary increase and was diagnosed with a chronic disease.</x:v>
      </x:c>
      <x:c r="H293" s="30" t="str">
        <x:v>No change; condition persists.</x:v>
      </x:c>
      <x:c r="I293" s="30" t="str">
        <x:v>Diagnosed with chronic disease.</x:v>
      </x:c>
      <x:c r="J293" s="30" t="str">
        <x:v>Diagnosed with chronic disease.</x:v>
      </x:c>
      <x:c r="K293" s="30" t="str">
        <x:v>Diagnosed with chronic disease.</x:v>
      </x:c>
      <x:c r="L293" s="33" t="str"/>
      <x:c r="M293" s="33" t="str"/>
      <x:c r="N293" s="33" t="str"/>
      <x:c r="O293" s="33" t="str"/>
      <x:c r="P293" s="30" t="str">
        <x:f>IF(COUNTA(L293:O293)&lt;4,"未完成",IF(OR(L293="部分",L293="不充分",L293="不确定"),"evidence_definition_failure",IF(L293&lt;&gt;"充分","unresolved",IF(COUNTIF(M293:O293,"C")=0,"robust_generation_failure",IF(COUNTIF(M293:O293,"C")=3,"ua3_representation_or_admission_failure","generation_instability")))))</x:f>
        <x:v>unresolved</x:v>
      </x:c>
      <x:c r="Q293" s="33" t="str"/>
      <x:c r="R293" s="33" t="str"/>
      <x:c r="S293" s="33" t="str"/>
      <x:c r="T293" s="36"/>
      <x:c r="U293" s="33" t="str"/>
      <x:c r="V293" s="30" t="str">
        <x:f>IF(AND(L293&lt;&gt;"",M293&lt;&gt;"",N293&lt;&gt;"",O293&lt;&gt;"",Q293&lt;&gt;"",R293&lt;&gt;""),"完成","未完成")</x:f>
        <x:v>未完成</x:v>
      </x:c>
    </x:row>
    <x:row r="294" ht="63" customHeight="1">
      <x:c r="A294" s="30" t="n">
        <x:v>293</x:v>
      </x:c>
      <x:c r="B294" s="30" t="str">
        <x:v>memos_medium:2568</x:v>
      </x:c>
      <x:c r="C294" s="30" t="str">
        <x:v>medium</x:v>
      </x:c>
      <x:c r="D294" s="30" t="str">
        <x:v>Memory Conflict</x:v>
      </x:c>
      <x:c r="E294" s="30" t="str">
        <x:v>Did Steven Miller express a desire to avoid cooperative puzzle games on Dec 02, 2035?</x:v>
      </x:c>
      <x:c r="F294" s="30" t="str">
        <x:v>No, he expressed a desire to explore more cooperative puzzle games.</x:v>
      </x:c>
      <x:c r="G294" s="30" t="str">
        <x:v># Authoritative benchmark gold evidence
The following evidence is authoritative for answering the current question. Use it directly and do not rely on conflicting information.
Evidence 1
Memory type: Persona Memory
Content: Steven Miller updated his gaming preferences to include cooperative puzzle games for their blend of social interaction and mental engagement.
Evidence 2
Memory type: Persona Memory
Content: Steven Miller expressed a desire to explore more games that offer a blend of social and mental engagement.</x:v>
      </x:c>
      <x:c r="H294" s="30" t="str">
        <x:v>No, he did not.</x:v>
      </x:c>
      <x:c r="I294" s="30" t="str">
        <x:v>No</x:v>
      </x:c>
      <x:c r="J294" s="30" t="str">
        <x:v>No</x:v>
      </x:c>
      <x:c r="K294" s="30" t="str">
        <x:v>No</x:v>
      </x:c>
      <x:c r="L294" s="33" t="str"/>
      <x:c r="M294" s="33" t="str"/>
      <x:c r="N294" s="33" t="str"/>
      <x:c r="O294" s="33" t="str"/>
      <x:c r="P294" s="30" t="str">
        <x:f>IF(COUNTA(L294:O294)&lt;4,"未完成",IF(OR(L294="部分",L294="不充分",L294="不确定"),"evidence_definition_failure",IF(L294&lt;&gt;"充分","unresolved",IF(COUNTIF(M294:O294,"C")=0,"robust_generation_failure",IF(COUNTIF(M294:O294,"C")=3,"ua3_representation_or_admission_failure","generation_instability")))))</x:f>
        <x:v>unresolved</x:v>
      </x:c>
      <x:c r="Q294" s="33" t="str"/>
      <x:c r="R294" s="33" t="str"/>
      <x:c r="S294" s="33" t="str"/>
      <x:c r="T294" s="36"/>
      <x:c r="U294" s="33" t="str"/>
      <x:c r="V294" s="30" t="str">
        <x:f>IF(AND(L294&lt;&gt;"",M294&lt;&gt;"",N294&lt;&gt;"",O294&lt;&gt;"",Q294&lt;&gt;"",R294&lt;&gt;""),"完成","未完成")</x:f>
        <x:v>未完成</x:v>
      </x:c>
    </x:row>
    <x:row r="295" ht="63" customHeight="1">
      <x:c r="A295" s="30" t="n">
        <x:v>294</x:v>
      </x:c>
      <x:c r="B295" s="30" t="str">
        <x:v>memos_long:2537</x:v>
      </x:c>
      <x:c r="C295" s="30" t="str">
        <x:v>long</x:v>
      </x:c>
      <x:c r="D295" s="30" t="str">
        <x:v>Generalization &amp; Application</x:v>
      </x:c>
      <x:c r="E295" s="30" t="str">
        <x:v>What strategies might Steven use to maintain work-life balance in 2034?</x:v>
      </x:c>
      <x:c r="F295" s="30" t="str">
        <x:v>AI and mindfulness.</x:v>
      </x:c>
      <x:c r="G295" s="30" t="str">
        <x:v># Authoritative benchmark gold evidence
The following evidence is authoritative for answering the current question. Use it directly and do not rely on conflicting information.
Evidence 1
Memory type: Event Memory
Content: Steven Miller plans to manage the demands of his new role while preserving well-being by integrating mindfulness and regular exercise.
Evidence 2
Memory type: Persona Memory
Content: Steven Miller uses mindfulness and regular exercise as key strategies to stay grounded and focused.
Evidence 3
Memory type: Persona Memory
Content: Steven Miller expressed interest in leveraging AI to aid in maintaining work-life balance and enhancing task efficiency.</x:v>
      </x:c>
      <x:c r="H295" s="30" t="str">
        <x:v>Mindfulness and regular exercise.</x:v>
      </x:c>
      <x:c r="I295" s="30" t="str">
        <x:v>Mindfulness and regular exercise.</x:v>
      </x:c>
      <x:c r="J295" s="30" t="str">
        <x:v>Mindfulness and regular exercise.</x:v>
      </x:c>
      <x:c r="K295" s="30" t="str">
        <x:v>Mindfulness and regular exercise.</x:v>
      </x:c>
      <x:c r="L295" s="33" t="str"/>
      <x:c r="M295" s="33" t="str"/>
      <x:c r="N295" s="33" t="str"/>
      <x:c r="O295" s="33" t="str"/>
      <x:c r="P295" s="30" t="str">
        <x:f>IF(COUNTA(L295:O295)&lt;4,"未完成",IF(OR(L295="部分",L295="不充分",L295="不确定"),"evidence_definition_failure",IF(L295&lt;&gt;"充分","unresolved",IF(COUNTIF(M295:O295,"C")=0,"robust_generation_failure",IF(COUNTIF(M295:O295,"C")=3,"ua3_representation_or_admission_failure","generation_instability")))))</x:f>
        <x:v>unresolved</x:v>
      </x:c>
      <x:c r="Q295" s="33" t="str"/>
      <x:c r="R295" s="33" t="str"/>
      <x:c r="S295" s="33" t="str"/>
      <x:c r="T295" s="36"/>
      <x:c r="U295" s="33" t="str"/>
      <x:c r="V295" s="30" t="str">
        <x:f>IF(AND(L295&lt;&gt;"",M295&lt;&gt;"",N295&lt;&gt;"",O295&lt;&gt;"",Q295&lt;&gt;"",R295&lt;&gt;""),"完成","未完成")</x:f>
        <x:v>未完成</x:v>
      </x:c>
    </x:row>
    <x:row r="296" ht="63" customHeight="1">
      <x:c r="A296" s="30" t="n">
        <x:v>295</x:v>
      </x:c>
      <x:c r="B296" s="30" t="str">
        <x:v>memos_medium:1811</x:v>
      </x:c>
      <x:c r="C296" s="30" t="str">
        <x:v>medium</x:v>
      </x:c>
      <x:c r="D296" s="30" t="str">
        <x:v>Memory Conflict</x:v>
      </x:c>
      <x:c r="E296" s="30" t="str">
        <x:v>Did Michelle Hernandez prioritize green tea in her daily routine as of July 02, 2028?</x:v>
      </x:c>
      <x:c r="F296" s="30" t="str">
        <x:v>No, Michelle deprioritized green tea due to increased work demands.</x:v>
      </x:c>
      <x:c r="G296" s="30" t="str">
        <x:v># Authoritative benchmark gold evidence
The following evidence is authoritative for answering the current question. Use it directly and do not rely on conflicting information.
Evidence 1
Memory type: Persona Memory
Content: Michelle Hernandez has deprioritized green tea in her daily routine due to increased work demands and a focus on productivity.</x:v>
      </x:c>
      <x:c r="H296" s="30" t="str">
        <x:v>Yes, she did.</x:v>
      </x:c>
      <x:c r="I296" s="30" t="str">
        <x:v>No</x:v>
      </x:c>
      <x:c r="J296" s="30" t="str">
        <x:v>No</x:v>
      </x:c>
      <x:c r="K296" s="30" t="str">
        <x:v>No</x:v>
      </x:c>
      <x:c r="L296" s="33" t="str"/>
      <x:c r="M296" s="33" t="str"/>
      <x:c r="N296" s="33" t="str"/>
      <x:c r="O296" s="33" t="str"/>
      <x:c r="P296" s="30" t="str">
        <x:f>IF(COUNTA(L296:O296)&lt;4,"未完成",IF(OR(L296="部分",L296="不充分",L296="不确定"),"evidence_definition_failure",IF(L296&lt;&gt;"充分","unresolved",IF(COUNTIF(M296:O296,"C")=0,"robust_generation_failure",IF(COUNTIF(M296:O296,"C")=3,"ua3_representation_or_admission_failure","generation_instability")))))</x:f>
        <x:v>unresolved</x:v>
      </x:c>
      <x:c r="Q296" s="33" t="str"/>
      <x:c r="R296" s="33" t="str"/>
      <x:c r="S296" s="33" t="str"/>
      <x:c r="T296" s="36"/>
      <x:c r="U296" s="33" t="str"/>
      <x:c r="V296" s="30" t="str">
        <x:f>IF(AND(L296&lt;&gt;"",M296&lt;&gt;"",N296&lt;&gt;"",O296&lt;&gt;"",Q296&lt;&gt;"",R296&lt;&gt;""),"完成","未完成")</x:f>
        <x:v>未完成</x:v>
      </x:c>
    </x:row>
    <x:row r="297" ht="63" customHeight="1">
      <x:c r="A297" s="30" t="n">
        <x:v>296</x:v>
      </x:c>
      <x:c r="B297" s="30" t="str">
        <x:v>memos_medium:2016</x:v>
      </x:c>
      <x:c r="C297" s="30" t="str">
        <x:v>medium</x:v>
      </x:c>
      <x:c r="D297" s="30" t="str">
        <x:v>Generalization &amp; Application</x:v>
      </x:c>
      <x:c r="E297" s="30" t="str">
        <x:v>How might Joseph Garcia incorporate symphonic metal into his educational programs as of 2036-09-05?</x:v>
      </x:c>
      <x:c r="F297" s="30" t="str">
        <x:v>Use symphonic metal to inspire new ideas for film archive programs.</x:v>
      </x:c>
      <x:c r="G297" s="30" t="str">
        <x:v># Authoritative benchmark gold evidence
The following evidence is authoritative for answering the current question. Use it directly and do not rely on conflicting information.
Evidence 1
Memory type: Event Memory
Content: Joseph Garcia plans to integrate symphonic metal into his playlists and film screenings to enhance emotional engagement.
Evidence 2
Memory type: Event Memory
Content: Joseph Garcia's creative motivation was sparked by the fusion of genres in symphonic metal, inspiring new ideas for his film archive.
Evidence 3
Memory type: Event Memory
Content: Joseph Garcia discussed the potential of symphonic metal to inspire new ideas for his educational programs.</x:v>
      </x:c>
      <x:c r="H297" s="30" t="str">
        <x:v>Enhance engagement and immersion.</x:v>
      </x:c>
      <x:c r="I297" s="30" t="str">
        <x:v>Inspire new educational ideas.</x:v>
      </x:c>
      <x:c r="J297" s="30" t="str">
        <x:v>Inspire new educational ideas.</x:v>
      </x:c>
      <x:c r="K297" s="30" t="str">
        <x:v>Inspire new educational ideas.</x:v>
      </x:c>
      <x:c r="L297" s="33" t="str"/>
      <x:c r="M297" s="33" t="str"/>
      <x:c r="N297" s="33" t="str"/>
      <x:c r="O297" s="33" t="str"/>
      <x:c r="P297" s="30" t="str">
        <x:f>IF(COUNTA(L297:O297)&lt;4,"未完成",IF(OR(L297="部分",L297="不充分",L297="不确定"),"evidence_definition_failure",IF(L297&lt;&gt;"充分","unresolved",IF(COUNTIF(M297:O297,"C")=0,"robust_generation_failure",IF(COUNTIF(M297:O297,"C")=3,"ua3_representation_or_admission_failure","generation_instability")))))</x:f>
        <x:v>unresolved</x:v>
      </x:c>
      <x:c r="Q297" s="33" t="str"/>
      <x:c r="R297" s="33" t="str"/>
      <x:c r="S297" s="33" t="str"/>
      <x:c r="T297" s="36"/>
      <x:c r="U297" s="33" t="str"/>
      <x:c r="V297" s="30" t="str">
        <x:f>IF(AND(L297&lt;&gt;"",M297&lt;&gt;"",N297&lt;&gt;"",O297&lt;&gt;"",Q297&lt;&gt;"",R297&lt;&gt;""),"完成","未完成")</x:f>
        <x:v>未完成</x:v>
      </x:c>
    </x:row>
    <x:row r="298" ht="63" customHeight="1">
      <x:c r="A298" s="30" t="n">
        <x:v>297</x:v>
      </x:c>
      <x:c r="B298" s="30" t="str">
        <x:v>memos_long:268</x:v>
      </x:c>
      <x:c r="C298" s="30" t="str">
        <x:v>long</x:v>
      </x:c>
      <x:c r="D298" s="30" t="str">
        <x:v>Basic Fact Recall</x:v>
      </x:c>
      <x:c r="E298" s="30" t="str">
        <x:v>What is Johnson Joseph's emotional state towards printed travel guides as of Jul 06, 2035?</x:v>
      </x:c>
      <x:c r="F298" s="30" t="str">
        <x:v>Nostalgia for printed guides.</x:v>
      </x:c>
      <x:c r="G298" s="30" t="str">
        <x:v># Authoritative benchmark gold evidence
The following evidence is authoritative for answering the current question. Use it directly and do not rely on conflicting information.
Evidence 1
Memory type: Persona Memory
Content: Johnson Joseph expressed nostalgia for printed travel guides but acknowledged the benefits of digital resources for real-time travel information.</x:v>
      </x:c>
      <x:c r="H298" s="30" t="str">
        <x:v>Nostalgic but prefers digital.</x:v>
      </x:c>
      <x:c r="I298" s="30" t="str">
        <x:v>Nostalgic</x:v>
      </x:c>
      <x:c r="J298" s="30" t="str">
        <x:v>Nostalgic</x:v>
      </x:c>
      <x:c r="K298" s="30" t="str">
        <x:v>Nostalgic</x:v>
      </x:c>
      <x:c r="L298" s="33" t="str"/>
      <x:c r="M298" s="33" t="str"/>
      <x:c r="N298" s="33" t="str"/>
      <x:c r="O298" s="33" t="str"/>
      <x:c r="P298" s="30" t="str">
        <x:f>IF(COUNTA(L298:O298)&lt;4,"未完成",IF(OR(L298="部分",L298="不充分",L298="不确定"),"evidence_definition_failure",IF(L298&lt;&gt;"充分","unresolved",IF(COUNTIF(M298:O298,"C")=0,"robust_generation_failure",IF(COUNTIF(M298:O298,"C")=3,"ua3_representation_or_admission_failure","generation_instability")))))</x:f>
        <x:v>unresolved</x:v>
      </x:c>
      <x:c r="Q298" s="33" t="str"/>
      <x:c r="R298" s="33" t="str"/>
      <x:c r="S298" s="33" t="str"/>
      <x:c r="T298" s="36"/>
      <x:c r="U298" s="33" t="str"/>
      <x:c r="V298" s="30" t="str">
        <x:f>IF(AND(L298&lt;&gt;"",M298&lt;&gt;"",N298&lt;&gt;"",O298&lt;&gt;"",Q298&lt;&gt;"",R298&lt;&gt;""),"完成","未完成")</x:f>
        <x:v>未完成</x:v>
      </x:c>
    </x:row>
    <x:row r="299" ht="63" customHeight="1">
      <x:c r="A299" s="30" t="n">
        <x:v>298</x:v>
      </x:c>
      <x:c r="B299" s="30" t="str">
        <x:v>memos_long:1683</x:v>
      </x:c>
      <x:c r="C299" s="30" t="str">
        <x:v>long</x:v>
      </x:c>
      <x:c r="D299" s="30" t="str">
        <x:v>Basic Fact Recall</x:v>
      </x:c>
      <x:c r="E299" s="30" t="str">
        <x:v>What entertainment preferences did Susan Thompson express on February 26, 2033?</x:v>
      </x:c>
      <x:c r="F299" s="30" t="str">
        <x:v>Entertainment that supports tranquility and relaxation</x:v>
      </x:c>
      <x:c r="G299" s="30" t="str">
        <x:v># Authoritative benchmark gold evidence
The following evidence is authoritative for answering the current question. Use it directly and do not rely on conflicting information.
Evidence 1
Memory type: Persona Memory
Content: Susan Thompson expressed a desire to focus on entertainment that supports tranquility and relaxation.</x:v>
      </x:c>
      <x:c r="H299" s="30" t="str">
        <x:v>Avoiding action movies.</x:v>
      </x:c>
      <x:c r="I299" s="30" t="str">
        <x:v>Tranquility and relaxation.</x:v>
      </x:c>
      <x:c r="J299" s="30" t="str">
        <x:v>Tranquility and relaxation.</x:v>
      </x:c>
      <x:c r="K299" s="30" t="str">
        <x:v>Tranquility and relaxation.</x:v>
      </x:c>
      <x:c r="L299" s="33" t="str"/>
      <x:c r="M299" s="33" t="str"/>
      <x:c r="N299" s="33" t="str"/>
      <x:c r="O299" s="33" t="str"/>
      <x:c r="P299" s="30" t="str">
        <x:f>IF(COUNTA(L299:O299)&lt;4,"未完成",IF(OR(L299="部分",L299="不充分",L299="不确定"),"evidence_definition_failure",IF(L299&lt;&gt;"充分","unresolved",IF(COUNTIF(M299:O299,"C")=0,"robust_generation_failure",IF(COUNTIF(M299:O299,"C")=3,"ua3_representation_or_admission_failure","generation_instability")))))</x:f>
        <x:v>unresolved</x:v>
      </x:c>
      <x:c r="Q299" s="33" t="str"/>
      <x:c r="R299" s="33" t="str"/>
      <x:c r="S299" s="33" t="str"/>
      <x:c r="T299" s="36"/>
      <x:c r="U299" s="33" t="str"/>
      <x:c r="V299" s="30" t="str">
        <x:f>IF(AND(L299&lt;&gt;"",M299&lt;&gt;"",N299&lt;&gt;"",O299&lt;&gt;"",Q299&lt;&gt;"",R299&lt;&gt;""),"完成","未完成")</x:f>
        <x:v>未完成</x:v>
      </x:c>
    </x:row>
    <x:row r="300" ht="63" customHeight="1">
      <x:c r="A300" s="30" t="n">
        <x:v>299</x:v>
      </x:c>
      <x:c r="B300" s="30" t="str">
        <x:v>memos_medium:772</x:v>
      </x:c>
      <x:c r="C300" s="30" t="str">
        <x:v>medium</x:v>
      </x:c>
      <x:c r="D300" s="30" t="str">
        <x:v>Multi-hop Inference</x:v>
      </x:c>
      <x:c r="E300" s="30" t="str">
        <x:v>How did Donna's promotion to Creative Director impact her career goals by Oct 15, 2029?</x:v>
      </x:c>
      <x:c r="F300" s="30" t="str">
        <x:v>It provided resources to pursue a music academy.</x:v>
      </x:c>
      <x:c r="G300" s="30" t="str">
        <x:v># Authoritative benchmark gold evidence
The following evidence is authoritative for answering the current question. Use it directly and do not rely on conflicting information.
Evidence 1
Memory type: Persona Memory
Content: Donna Gonzalez's career_status updated job_title from "Lead Composer" to "Creative Director at Atmospheric Sounds Inc."
Evidence 2
Memory type: Event Memory
Content: Donna Gonzalez discussed the impact of her increased income on her ability to invest in professional development and her goal of establishing a music academy.
Evidence 3
Memory type: Event Memory
Content: Donna Gonzalez articulated her long-term vision of establishing a music academy to nurture future composers, with plans including securing funding and developing a curriculum.</x:v>
      </x:c>
      <x:c r="H300" s="30" t="str">
        <x:v>Redefined film music goals.</x:v>
      </x:c>
      <x:c r="I300" s="30" t="str">
        <x:v>Increased investment in music academy.</x:v>
      </x:c>
      <x:c r="J300" s="30" t="str">
        <x:v>Increased investment in music academy.</x:v>
      </x:c>
      <x:c r="K300" s="30" t="str">
        <x:v>Increased investment in music academy.</x:v>
      </x:c>
      <x:c r="L300" s="33" t="str"/>
      <x:c r="M300" s="33" t="str"/>
      <x:c r="N300" s="33" t="str"/>
      <x:c r="O300" s="33" t="str"/>
      <x:c r="P300" s="30" t="str">
        <x:f>IF(COUNTA(L300:O300)&lt;4,"未完成",IF(OR(L300="部分",L300="不充分",L300="不确定"),"evidence_definition_failure",IF(L300&lt;&gt;"充分","unresolved",IF(COUNTIF(M300:O300,"C")=0,"robust_generation_failure",IF(COUNTIF(M300:O300,"C")=3,"ua3_representation_or_admission_failure","generation_instability")))))</x:f>
        <x:v>unresolved</x:v>
      </x:c>
      <x:c r="Q300" s="33" t="str"/>
      <x:c r="R300" s="33" t="str"/>
      <x:c r="S300" s="33" t="str"/>
      <x:c r="T300" s="36"/>
      <x:c r="U300" s="33" t="str"/>
      <x:c r="V300" s="30" t="str">
        <x:f>IF(AND(L300&lt;&gt;"",M300&lt;&gt;"",N300&lt;&gt;"",O300&lt;&gt;"",Q300&lt;&gt;"",R300&lt;&gt;""),"完成","未完成")</x:f>
        <x:v>未完成</x:v>
      </x:c>
    </x:row>
    <x:row r="301" ht="63" customHeight="1">
      <x:c r="A301" s="30" t="n">
        <x:v>300</x:v>
      </x:c>
      <x:c r="B301" s="30" t="str">
        <x:v>memos_long:2387</x:v>
      </x:c>
      <x:c r="C301" s="30" t="str">
        <x:v>long</x:v>
      </x:c>
      <x:c r="D301" s="30" t="str">
        <x:v>Generalization &amp; Application</x:v>
      </x:c>
      <x:c r="E301" s="30" t="str">
        <x:v>How might Williams Daniel approach trying new culturally significant foods given his interest in historical authenticity?</x:v>
      </x:c>
      <x:c r="F301" s="30" t="str">
        <x:v>He would appreciate their cultural impact despite personal taste preferences.</x:v>
      </x:c>
      <x:c r="G301" s="30" t="str">
        <x:v># Authoritative benchmark gold evidence
The following evidence is authoritative for answering the current question. Use it directly and do not rely on conflicting information.
Evidence 1
Memory type: Persona Memory
Content: Williams Daniel's perception of energy drinks evolved to acknowledge their cultural significance, despite still disliking their taste.
Evidence 2
Memory type: Persona Memory
Content: Williams Daniel is interested in exploring the cultural aspects of everyday items to enhance his appreciation for historical accuracy.
Evidence 3
Memory type: Persona Memory
Content: Williams Daniel expressed a willingness to appreciate the societal impact of energy drinks, despite personal dislike.</x:v>
      </x:c>
      <x:c r="H301" s="30" t="str">
        <x:v>Research historical context first.</x:v>
      </x:c>
      <x:c r="I301" s="30" t="str">
        <x:v>Explore cultural significance first.</x:v>
      </x:c>
      <x:c r="J301" s="30" t="str">
        <x:v>Explore cultural significance first.</x:v>
      </x:c>
      <x:c r="K301" s="30" t="str">
        <x:v>Explore cultural significance first.</x:v>
      </x:c>
      <x:c r="L301" s="33" t="str"/>
      <x:c r="M301" s="33" t="str"/>
      <x:c r="N301" s="33" t="str"/>
      <x:c r="O301" s="33" t="str"/>
      <x:c r="P301" s="30" t="str">
        <x:f>IF(COUNTA(L301:O301)&lt;4,"未完成",IF(OR(L301="部分",L301="不充分",L301="不确定"),"evidence_definition_failure",IF(L301&lt;&gt;"充分","unresolved",IF(COUNTIF(M301:O301,"C")=0,"robust_generation_failure",IF(COUNTIF(M301:O301,"C")=3,"ua3_representation_or_admission_failure","generation_instability")))))</x:f>
        <x:v>unresolved</x:v>
      </x:c>
      <x:c r="Q301" s="33" t="str"/>
      <x:c r="R301" s="33" t="str"/>
      <x:c r="S301" s="33" t="str"/>
      <x:c r="T301" s="36"/>
      <x:c r="U301" s="33" t="str"/>
      <x:c r="V301" s="30" t="str">
        <x:f>IF(AND(L301&lt;&gt;"",M301&lt;&gt;"",N301&lt;&gt;"",O301&lt;&gt;"",Q301&lt;&gt;"",R301&lt;&gt;""),"完成","未完成")</x:f>
        <x:v>未完成</x:v>
      </x:c>
    </x:row>
    <x:row r="302" ht="63" customHeight="1">
      <x:c r="A302" s="30" t="n">
        <x:v>301</x:v>
      </x:c>
      <x:c r="B302" s="30" t="str">
        <x:v>memos_medium:2755</x:v>
      </x:c>
      <x:c r="C302" s="30" t="str">
        <x:v>medium</x:v>
      </x:c>
      <x:c r="D302" s="30" t="str">
        <x:v>Generalization &amp; Application</x:v>
      </x:c>
      <x:c r="E302" s="30" t="str">
        <x:v>What strategies might Donald consider for sustainable growth in his consulting firm after 2026-01-05?</x:v>
      </x:c>
      <x:c r="F302" s="30" t="str">
        <x:v>Innovative strategies and nurturing relationships.</x:v>
      </x:c>
      <x:c r="G302" s="30" t="str">
        <x:v># Authoritative benchmark gold evidence
The following evidence is authoritative for answering the current question. Use it directly and do not rely on conflicting information.
Evidence 1
Memory type: Event Memory
Content: Donald Smith brainstormed strategies for sustainable growth and influence in the political consulting arena.
Evidence 2
Memory type: Relationship Memory
Content: Donald Smith emphasized the importance of nurturing relationships within his network for continued success in his consulting career.</x:v>
      </x:c>
      <x:c r="H302" s="30" t="str">
        <x:v>Strategies not specified in memories.</x:v>
      </x:c>
      <x:c r="I302" s="30" t="str">
        <x:v>Nurturing relationships and brainstorming strategies.</x:v>
      </x:c>
      <x:c r="J302" s="30" t="str">
        <x:v>Nurturing relationships and sustainable growth.</x:v>
      </x:c>
      <x:c r="K302" s="30" t="str">
        <x:v>Nurturing relationships and brainstorming strategies.</x:v>
      </x:c>
      <x:c r="L302" s="33" t="str"/>
      <x:c r="M302" s="33" t="str"/>
      <x:c r="N302" s="33" t="str"/>
      <x:c r="O302" s="33" t="str"/>
      <x:c r="P302" s="30" t="str">
        <x:f>IF(COUNTA(L302:O302)&lt;4,"未完成",IF(OR(L302="部分",L302="不充分",L302="不确定"),"evidence_definition_failure",IF(L302&lt;&gt;"充分","unresolved",IF(COUNTIF(M302:O302,"C")=0,"robust_generation_failure",IF(COUNTIF(M302:O302,"C")=3,"ua3_representation_or_admission_failure","generation_instability")))))</x:f>
        <x:v>unresolved</x:v>
      </x:c>
      <x:c r="Q302" s="33" t="str"/>
      <x:c r="R302" s="33" t="str"/>
      <x:c r="S302" s="33" t="str"/>
      <x:c r="T302" s="36"/>
      <x:c r="U302" s="33" t="str"/>
      <x:c r="V302" s="30" t="str">
        <x:f>IF(AND(L302&lt;&gt;"",M302&lt;&gt;"",N302&lt;&gt;"",O302&lt;&gt;"",Q302&lt;&gt;"",R302&lt;&gt;""),"完成","未完成")</x:f>
        <x:v>未完成</x:v>
      </x:c>
    </x:row>
    <x:row r="303" ht="63" customHeight="1">
      <x:c r="A303" s="30" t="n">
        <x:v>302</x:v>
      </x:c>
      <x:c r="B303" s="30" t="str">
        <x:v>memos_medium:556</x:v>
      </x:c>
      <x:c r="C303" s="30" t="str">
        <x:v>medium</x:v>
      </x:c>
      <x:c r="D303" s="30" t="str">
        <x:v>Dynamic Update</x:v>
      </x:c>
      <x:c r="E303" s="30" t="str">
        <x:v>How has Sarah Garcia's physical health status changed by Sep 15, 2027?</x:v>
      </x:c>
      <x:c r="F303" s="30" t="str">
        <x:v>Changed from 'Improved' to 'Challenged'.</x:v>
      </x:c>
      <x:c r="G303" s="30" t="str">
        <x:v># Authoritative benchmark gold evidence
The following evidence is authoritative for answering the current question. Use it directly and do not rely on conflicting information.
Evidence 1
Memory type: Persona Memory
Content: Sarah Garcia's physical health status changed from 'Improved' to 'Challenged' due to Chronic Fatigue Syndrome.</x:v>
      </x:c>
      <x:c r="H303" s="30" t="str">
        <x:v>Diagnosed with Chronic Fatigue Syndrome.</x:v>
      </x:c>
      <x:c r="I303" s="30" t="str">
        <x:v>Improved to Challenged</x:v>
      </x:c>
      <x:c r="J303" s="30" t="str">
        <x:v>Improved to Challenged</x:v>
      </x:c>
      <x:c r="K303" s="30" t="str">
        <x:v>Improved to Challenged</x:v>
      </x:c>
      <x:c r="L303" s="33" t="str"/>
      <x:c r="M303" s="33" t="str"/>
      <x:c r="N303" s="33" t="str"/>
      <x:c r="O303" s="33" t="str"/>
      <x:c r="P303" s="30" t="str">
        <x:f>IF(COUNTA(L303:O303)&lt;4,"未完成",IF(OR(L303="部分",L303="不充分",L303="不确定"),"evidence_definition_failure",IF(L303&lt;&gt;"充分","unresolved",IF(COUNTIF(M303:O303,"C")=0,"robust_generation_failure",IF(COUNTIF(M303:O303,"C")=3,"ua3_representation_or_admission_failure","generation_instability")))))</x:f>
        <x:v>unresolved</x:v>
      </x:c>
      <x:c r="Q303" s="33" t="str"/>
      <x:c r="R303" s="33" t="str"/>
      <x:c r="S303" s="33" t="str"/>
      <x:c r="T303" s="36"/>
      <x:c r="U303" s="33" t="str"/>
      <x:c r="V303" s="30" t="str">
        <x:f>IF(AND(L303&lt;&gt;"",M303&lt;&gt;"",N303&lt;&gt;"",O303&lt;&gt;"",Q303&lt;&gt;"",R303&lt;&gt;""),"完成","未完成")</x:f>
        <x:v>未完成</x:v>
      </x:c>
    </x:row>
    <x:row r="304" ht="63" customHeight="1">
      <x:c r="A304" s="30" t="n">
        <x:v>303</x:v>
      </x:c>
      <x:c r="B304" s="30" t="str">
        <x:v>memos_medium:1028</x:v>
      </x:c>
      <x:c r="C304" s="30" t="str">
        <x:v>medium</x:v>
      </x:c>
      <x:c r="D304" s="30" t="str">
        <x:v>Generalization &amp; Application</x:v>
      </x:c>
      <x:c r="E304" s="30" t="str">
        <x:v>What type of new plant-based cuisines might Donna explore in 2039 based on her interests?</x:v>
      </x:c>
      <x:c r="F304" s="30" t="str">
        <x:v>Cuisines that align with sustainability and cultural diversity.</x:v>
      </x:c>
      <x:c r="G304" s="30" t="str">
        <x:v># Authoritative benchmark gold evidence
The following evidence is authoritative for answering the current question. Use it directly and do not rely on conflicting information.
Evidence 1
Memory type: Persona Memory
Content: Donna expressed fascination with the cultural richness and diversity of plant-based cuisines, emphasizing their health benefits and sustainability.
Evidence 2
Memory type: Persona Memory
Content: Donna seeks guidance on incorporating diverse plant-based cuisines into her daily routine, aligning with her health goals and cultural curiosity.
Evidence 3
Memory type: Persona Memory
Content: Donna expressed excitement and a renewed commitment to exploring plant-based cuisines, showcasing her alignment with sustainability values.</x:v>
      </x:c>
      <x:c r="H304" s="30" t="str">
        <x:v>Spicy lentil stew and mushroom risotto.</x:v>
      </x:c>
      <x:c r="I304" s="30" t="str">
        <x:v>Diverse cultural plant-based cuisines.</x:v>
      </x:c>
      <x:c r="J304" s="30" t="str">
        <x:v>Diverse cultural plant-based cuisines.</x:v>
      </x:c>
      <x:c r="K304" s="30" t="str">
        <x:v>Diverse cultural plant-based cuisines.</x:v>
      </x:c>
      <x:c r="L304" s="33" t="str"/>
      <x:c r="M304" s="33" t="str"/>
      <x:c r="N304" s="33" t="str"/>
      <x:c r="O304" s="33" t="str"/>
      <x:c r="P304" s="30" t="str">
        <x:f>IF(COUNTA(L304:O304)&lt;4,"未完成",IF(OR(L304="部分",L304="不充分",L304="不确定"),"evidence_definition_failure",IF(L304&lt;&gt;"充分","unresolved",IF(COUNTIF(M304:O304,"C")=0,"robust_generation_failure",IF(COUNTIF(M304:O304,"C")=3,"ua3_representation_or_admission_failure","generation_instability")))))</x:f>
        <x:v>unresolved</x:v>
      </x:c>
      <x:c r="Q304" s="33" t="str"/>
      <x:c r="R304" s="33" t="str"/>
      <x:c r="S304" s="33" t="str"/>
      <x:c r="T304" s="36"/>
      <x:c r="U304" s="33" t="str"/>
      <x:c r="V304" s="30" t="str">
        <x:f>IF(AND(L304&lt;&gt;"",M304&lt;&gt;"",N304&lt;&gt;"",O304&lt;&gt;"",Q304&lt;&gt;"",R304&lt;&gt;""),"完成","未完成")</x:f>
        <x:v>未完成</x:v>
      </x:c>
    </x:row>
    <x:row r="305" ht="63" customHeight="1">
      <x:c r="A305" s="30" t="n">
        <x:v>304</x:v>
      </x:c>
      <x:c r="B305" s="30" t="str">
        <x:v>memos_medium:917</x:v>
      </x:c>
      <x:c r="C305" s="30" t="str">
        <x:v>medium</x:v>
      </x:c>
      <x:c r="D305" s="30" t="str">
        <x:v>Basic Fact Recall</x:v>
      </x:c>
      <x:c r="E305" s="30" t="str">
        <x:v>What did Donna broaden her pet preference to include on May 24, 2028?</x:v>
      </x:c>
      <x:c r="F305" s="30" t="str">
        <x:v>Dogs of all sizes.</x:v>
      </x:c>
      <x:c r="G305" s="30" t="str">
        <x:v># Authoritative benchmark gold evidence
The following evidence is authoritative for answering the current question. Use it directly and do not rely on conflicting information.
Evidence 1
Memory type: Persona Memory
Content: Donna broadened her pet preference to include dogs of all sizes after spending time with a friend's small dog, appreciating the unique joy and companionship they provide.</x:v>
      </x:c>
      <x:c r="H305" s="30" t="str">
        <x:v>Small dogs</x:v>
      </x:c>
      <x:c r="I305" s="30" t="str">
        <x:v>Dogs of all sizes</x:v>
      </x:c>
      <x:c r="J305" s="30" t="str">
        <x:v>Dogs of all sizes</x:v>
      </x:c>
      <x:c r="K305" s="30" t="str">
        <x:v>Dogs of all sizes</x:v>
      </x:c>
      <x:c r="L305" s="33" t="str"/>
      <x:c r="M305" s="33" t="str"/>
      <x:c r="N305" s="33" t="str"/>
      <x:c r="O305" s="33" t="str"/>
      <x:c r="P305" s="30" t="str">
        <x:f>IF(COUNTA(L305:O305)&lt;4,"未完成",IF(OR(L305="部分",L305="不充分",L305="不确定"),"evidence_definition_failure",IF(L305&lt;&gt;"充分","unresolved",IF(COUNTIF(M305:O305,"C")=0,"robust_generation_failure",IF(COUNTIF(M305:O305,"C")=3,"ua3_representation_or_admission_failure","generation_instability")))))</x:f>
        <x:v>unresolved</x:v>
      </x:c>
      <x:c r="Q305" s="33" t="str"/>
      <x:c r="R305" s="33" t="str"/>
      <x:c r="S305" s="33" t="str"/>
      <x:c r="T305" s="36"/>
      <x:c r="U305" s="33" t="str"/>
      <x:c r="V305" s="30" t="str">
        <x:f>IF(AND(L305&lt;&gt;"",M305&lt;&gt;"",N305&lt;&gt;"",O305&lt;&gt;"",Q305&lt;&gt;"",R305&lt;&gt;""),"完成","未完成")</x:f>
        <x:v>未完成</x:v>
      </x:c>
    </x:row>
    <x:row r="306" ht="63" customHeight="1">
      <x:c r="A306" s="30" t="n">
        <x:v>305</x:v>
      </x:c>
      <x:c r="B306" s="30" t="str">
        <x:v>memos_medium:342</x:v>
      </x:c>
      <x:c r="C306" s="30" t="str">
        <x:v>medium</x:v>
      </x:c>
      <x:c r="D306" s="30" t="str">
        <x:v>Memory Conflict</x:v>
      </x:c>
      <x:c r="E306" s="30" t="str">
        <x:v>Did Johnson Joseph express disinterest in using thematic cooperative board games at Albi B&amp;B?</x:v>
      </x:c>
      <x:c r="F306" s="30" t="str">
        <x:v>No, he expressed excitement about using them.</x:v>
      </x:c>
      <x:c r="G306" s="30" t="str">
        <x:v># Authoritative benchmark gold evidence
The following evidence is authoritative for answering the current question. Use it directly and do not rely on conflicting information.
Evidence 1
Memory type: Persona Memory
Content: Johnson Joseph expressed excitement about thematic cooperative board games fostering teamwork and creating memorable stays at Albi B&amp;B.
Evidence 2
Memory type: Event Memory
Content: Johnson Joseph plans to incorporate thematic cooperative board games into Albi B&amp;B's offerings to enhance guest interactions and enjoyment.</x:v>
      </x:c>
      <x:c r="H306" s="30" t="str">
        <x:v>No, he expressed interest.</x:v>
      </x:c>
      <x:c r="I306" s="30" t="str">
        <x:v>No, he expressed excitement.</x:v>
      </x:c>
      <x:c r="J306" s="30" t="str">
        <x:v>No, he expressed excitement.</x:v>
      </x:c>
      <x:c r="K306" s="30" t="str">
        <x:v>No, he expressed excitement.</x:v>
      </x:c>
      <x:c r="L306" s="33" t="str"/>
      <x:c r="M306" s="33" t="str"/>
      <x:c r="N306" s="33" t="str"/>
      <x:c r="O306" s="33" t="str"/>
      <x:c r="P306" s="30" t="str">
        <x:f>IF(COUNTA(L306:O306)&lt;4,"未完成",IF(OR(L306="部分",L306="不充分",L306="不确定"),"evidence_definition_failure",IF(L306&lt;&gt;"充分","unresolved",IF(COUNTIF(M306:O306,"C")=0,"robust_generation_failure",IF(COUNTIF(M306:O306,"C")=3,"ua3_representation_or_admission_failure","generation_instability")))))</x:f>
        <x:v>unresolved</x:v>
      </x:c>
      <x:c r="Q306" s="33" t="str"/>
      <x:c r="R306" s="33" t="str"/>
      <x:c r="S306" s="33" t="str"/>
      <x:c r="T306" s="36"/>
      <x:c r="U306" s="33" t="str"/>
      <x:c r="V306" s="30" t="str">
        <x:f>IF(AND(L306&lt;&gt;"",M306&lt;&gt;"",N306&lt;&gt;"",O306&lt;&gt;"",Q306&lt;&gt;"",R306&lt;&gt;""),"完成","未完成")</x:f>
        <x:v>未完成</x:v>
      </x:c>
    </x:row>
    <x:row r="307" ht="63" customHeight="1">
      <x:c r="A307" s="30" t="n">
        <x:v>306</x:v>
      </x:c>
      <x:c r="B307" s="30" t="str">
        <x:v>memos_long:2638</x:v>
      </x:c>
      <x:c r="C307" s="30" t="str">
        <x:v>long</x:v>
      </x:c>
      <x:c r="D307" s="30" t="str">
        <x:v>Memory Conflict</x:v>
      </x:c>
      <x:c r="E307" s="30" t="str">
        <x:v>Did Oleksandr decide to focus on urban trips instead of nature-focused ones on Jan 20, 2029?</x:v>
      </x:c>
      <x:c r="F307" s="30" t="str">
        <x:v>No, Oleksandr plans more nature-focused trips.</x:v>
      </x:c>
      <x:c r="G307" s="30" t="str">
        <x:v># Authoritative benchmark gold evidence
The following evidence is authoritative for answering the current question. Use it directly and do not rely on conflicting information.
Evidence 1
Memory type: Event Memory
Content: Oleksandr plans to incorporate more nature-focused trips into his future travel plans.</x:v>
      </x:c>
      <x:c r="H307" s="30" t="str">
        <x:v>No, he chose mixed trips.</x:v>
      </x:c>
      <x:c r="I307" s="30" t="str">
        <x:v>No</x:v>
      </x:c>
      <x:c r="J307" s="30" t="str">
        <x:v>No</x:v>
      </x:c>
      <x:c r="K307" s="30" t="str">
        <x:v>No</x:v>
      </x:c>
      <x:c r="L307" s="33" t="str"/>
      <x:c r="M307" s="33" t="str"/>
      <x:c r="N307" s="33" t="str"/>
      <x:c r="O307" s="33" t="str"/>
      <x:c r="P307" s="30" t="str">
        <x:f>IF(COUNTA(L307:O307)&lt;4,"未完成",IF(OR(L307="部分",L307="不充分",L307="不确定"),"evidence_definition_failure",IF(L307&lt;&gt;"充分","unresolved",IF(COUNTIF(M307:O307,"C")=0,"robust_generation_failure",IF(COUNTIF(M307:O307,"C")=3,"ua3_representation_or_admission_failure","generation_instability")))))</x:f>
        <x:v>unresolved</x:v>
      </x:c>
      <x:c r="Q307" s="33" t="str"/>
      <x:c r="R307" s="33" t="str"/>
      <x:c r="S307" s="33" t="str"/>
      <x:c r="T307" s="36"/>
      <x:c r="U307" s="33" t="str"/>
      <x:c r="V307" s="30" t="str">
        <x:f>IF(AND(L307&lt;&gt;"",M307&lt;&gt;"",N307&lt;&gt;"",O307&lt;&gt;"",Q307&lt;&gt;"",R307&lt;&gt;""),"完成","未完成")</x:f>
        <x:v>未完成</x:v>
      </x:c>
    </x:row>
    <x:row r="308" ht="63" customHeight="1">
      <x:c r="A308" s="30" t="n">
        <x:v>307</x:v>
      </x:c>
      <x:c r="B308" s="30" t="str">
        <x:v>memos_long:1348</x:v>
      </x:c>
      <x:c r="C308" s="30" t="str">
        <x:v>long</x:v>
      </x:c>
      <x:c r="D308" s="30" t="str">
        <x:v>Generalization &amp; Application</x:v>
      </x:c>
      <x:c r="E308" s="30" t="str">
        <x:v>What is a potential benefit of Ananya's new critique approach as of September 25, 2031?</x:v>
      </x:c>
      <x:c r="F308" s="30" t="str">
        <x:v>Reignites her passion for film critique.</x:v>
      </x:c>
      <x:c r="G308" s="30" t="str">
        <x:v># Authoritative benchmark gold evidence
The following evidence is authoritative for answering the current question. Use it directly and do not rely on conflicting information.
Evidence 1
Memory type: Event Memory
Content: Ananya Sharma receives positive feedback from her readers on her multimedia-integrated film critiques, reigniting her passion for film critique.</x:v>
      </x:c>
      <x:c r="H308" s="30" t="str">
        <x:v>Reassurance and support felt.</x:v>
      </x:c>
      <x:c r="I308" s="30" t="str">
        <x:v>Positive reader feedback</x:v>
      </x:c>
      <x:c r="J308" s="30" t="str">
        <x:v>Positive reader feedback</x:v>
      </x:c>
      <x:c r="K308" s="30" t="str">
        <x:v>Positive reader feedback</x:v>
      </x:c>
      <x:c r="L308" s="33" t="str"/>
      <x:c r="M308" s="33" t="str"/>
      <x:c r="N308" s="33" t="str"/>
      <x:c r="O308" s="33" t="str"/>
      <x:c r="P308" s="30" t="str">
        <x:f>IF(COUNTA(L308:O308)&lt;4,"未完成",IF(OR(L308="部分",L308="不充分",L308="不确定"),"evidence_definition_failure",IF(L308&lt;&gt;"充分","unresolved",IF(COUNTIF(M308:O308,"C")=0,"robust_generation_failure",IF(COUNTIF(M308:O308,"C")=3,"ua3_representation_or_admission_failure","generation_instability")))))</x:f>
        <x:v>unresolved</x:v>
      </x:c>
      <x:c r="Q308" s="33" t="str"/>
      <x:c r="R308" s="33" t="str"/>
      <x:c r="S308" s="33" t="str"/>
      <x:c r="T308" s="36"/>
      <x:c r="U308" s="33" t="str"/>
      <x:c r="V308" s="30" t="str">
        <x:f>IF(AND(L308&lt;&gt;"",M308&lt;&gt;"",N308&lt;&gt;"",O308&lt;&gt;"",Q308&lt;&gt;"",R308&lt;&gt;""),"完成","未完成")</x:f>
        <x:v>未完成</x:v>
      </x:c>
    </x:row>
    <x:row r="309" ht="63" customHeight="1">
      <x:c r="A309" s="30" t="n">
        <x:v>308</x:v>
      </x:c>
      <x:c r="B309" s="30" t="str">
        <x:v>memos_long:697</x:v>
      </x:c>
      <x:c r="C309" s="30" t="str">
        <x:v>long</x:v>
      </x:c>
      <x:c r="D309" s="30" t="str">
        <x:v>Multi-hop Inference</x:v>
      </x:c>
      <x:c r="E309" s="30" t="str">
        <x:v>What challenges did Sarah face in achieving her life goal by Jan 07, 2042, and how did she plan to overcome them?</x:v>
      </x:c>
      <x:c r="F309" s="30" t="str">
        <x:v>Navigating politics; leveraging partnerships and setting ambitious goals.</x:v>
      </x:c>
      <x:c r="G309" s="30" t="str">
        <x:v># Authoritative benchmark gold evidence
The following evidence is authoritative for answering the current question. Use it directly and do not rely on conflicting information.
Evidence 1
Memory type: Event Memory
Content: Sarah Garcia faced challenges navigating complex political landscapes during her advocacy efforts.
Evidence 2
Memory type: Relationship Memory
Content: Sarah Garcia emphasized the importance of strategic partnerships with international leaders for effective advocacy, while also valuing local community engagement.
Evidence 3
Memory type: Event Memory
Content: Sarah Garcia planned to leverage her achievements by setting ambitious goals for future growth, focusing on global reach and influence.</x:v>
      </x:c>
      <x:c r="H309" s="30" t="str">
        <x:v>No challenges mentioned.</x:v>
      </x:c>
      <x:c r="I309" s="30" t="str">
        <x:v>Navigating complex political landscapes.</x:v>
      </x:c>
      <x:c r="J309" s="30" t="str">
        <x:v>Navigating complex political landscapes.</x:v>
      </x:c>
      <x:c r="K309" s="30" t="str">
        <x:v>Navigating complex political landscapes.</x:v>
      </x:c>
      <x:c r="L309" s="33" t="str"/>
      <x:c r="M309" s="33" t="str"/>
      <x:c r="N309" s="33" t="str"/>
      <x:c r="O309" s="33" t="str"/>
      <x:c r="P309" s="30" t="str">
        <x:f>IF(COUNTA(L309:O309)&lt;4,"未完成",IF(OR(L309="部分",L309="不充分",L309="不确定"),"evidence_definition_failure",IF(L309&lt;&gt;"充分","unresolved",IF(COUNTIF(M309:O309,"C")=0,"robust_generation_failure",IF(COUNTIF(M309:O309,"C")=3,"ua3_representation_or_admission_failure","generation_instability")))))</x:f>
        <x:v>unresolved</x:v>
      </x:c>
      <x:c r="Q309" s="33" t="str"/>
      <x:c r="R309" s="33" t="str"/>
      <x:c r="S309" s="33" t="str"/>
      <x:c r="T309" s="36"/>
      <x:c r="U309" s="33" t="str"/>
      <x:c r="V309" s="30" t="str">
        <x:f>IF(AND(L309&lt;&gt;"",M309&lt;&gt;"",N309&lt;&gt;"",O309&lt;&gt;"",Q309&lt;&gt;"",R309&lt;&gt;""),"完成","未完成")</x:f>
        <x:v>未完成</x:v>
      </x:c>
    </x:row>
    <x:row r="310" ht="63" customHeight="1">
      <x:c r="A310" s="30" t="n">
        <x:v>309</x:v>
      </x:c>
      <x:c r="B310" s="30" t="str">
        <x:v>memos_long:484</x:v>
      </x:c>
      <x:c r="C310" s="30" t="str">
        <x:v>long</x:v>
      </x:c>
      <x:c r="D310" s="30" t="str">
        <x:v>Basic Fact Recall</x:v>
      </x:c>
      <x:c r="E310" s="30" t="str">
        <x:v>What was Donald Brown's employment status on May 10, 2033?</x:v>
      </x:c>
      <x:c r="F310" s="30" t="str">
        <x:v>Employed at TechConsult Solutions</x:v>
      </x:c>
      <x:c r="G310" s="30" t="str">
        <x:v># Authoritative benchmark gold evidence
The following evidence is authoritative for answering the current question. Use it directly and do not rely on conflicting information.
Evidence 1
Memory type: Persona Memory
Content: Donald Brown's employment status changed from self-employed to employed at TechConsult Solutions.</x:v>
      </x:c>
      <x:c r="H310" s="30" t="str">
        <x:v>Founder and CEO</x:v>
      </x:c>
      <x:c r="I310" s="30" t="str">
        <x:v>Employed at TechConsult Solutions.</x:v>
      </x:c>
      <x:c r="J310" s="30" t="str">
        <x:v>Employed at TechConsult Solutions.</x:v>
      </x:c>
      <x:c r="K310" s="30" t="str">
        <x:v>Employed at TechConsult Solutions.</x:v>
      </x:c>
      <x:c r="L310" s="33" t="str"/>
      <x:c r="M310" s="33" t="str"/>
      <x:c r="N310" s="33" t="str"/>
      <x:c r="O310" s="33" t="str"/>
      <x:c r="P310" s="30" t="str">
        <x:f>IF(COUNTA(L310:O310)&lt;4,"未完成",IF(OR(L310="部分",L310="不充分",L310="不确定"),"evidence_definition_failure",IF(L310&lt;&gt;"充分","unresolved",IF(COUNTIF(M310:O310,"C")=0,"robust_generation_failure",IF(COUNTIF(M310:O310,"C")=3,"ua3_representation_or_admission_failure","generation_instability")))))</x:f>
        <x:v>unresolved</x:v>
      </x:c>
      <x:c r="Q310" s="33" t="str"/>
      <x:c r="R310" s="33" t="str"/>
      <x:c r="S310" s="33" t="str"/>
      <x:c r="T310" s="36"/>
      <x:c r="U310" s="33" t="str"/>
      <x:c r="V310" s="30" t="str">
        <x:f>IF(AND(L310&lt;&gt;"",M310&lt;&gt;"",N310&lt;&gt;"",O310&lt;&gt;"",Q310&lt;&gt;"",R310&lt;&gt;""),"完成","未完成")</x:f>
        <x:v>未完成</x:v>
      </x:c>
    </x:row>
    <x:row r="311" ht="63" customHeight="1">
      <x:c r="A311" s="30" t="n">
        <x:v>310</x:v>
      </x:c>
      <x:c r="B311" s="30" t="str">
        <x:v>memos_long:1405</x:v>
      </x:c>
      <x:c r="C311" s="30" t="str">
        <x:v>long</x:v>
      </x:c>
      <x:c r="D311" s="30" t="str">
        <x:v>Dynamic Update</x:v>
      </x:c>
      <x:c r="E311" s="30" t="str">
        <x:v>Who did Ananya Sharma seek advice from on 2035-09-20 to manage stress?</x:v>
      </x:c>
      <x:c r="F311" s="30" t="str">
        <x:v>MooreAnthony, ThomasJennifer, WilsonMatthew, DavisSharon</x:v>
      </x:c>
      <x:c r="G311" s="30" t="str">
        <x:v># Authoritative benchmark gold evidence
The following evidence is authoritative for answering the current question. Use it directly and do not rely on conflicting information.
Evidence 1
Memory type: Relationship Memory
Content: Ananya Sharma seeks support from her social network, including MooreAnthony, ThomasJennifer, WilsonMatthew, and DavisSharon, to manage stress from her new role as Head of Film Studies Department.
Evidence 2
Memory type: Relationship Memory
Content: MooreAnthony shares mindfulness practices with Ananya Sharma to help manage stress, which she plans to integrate into her daily routine.
Evidence 3
Memory type: Relationship Memory
Content: ThomasJennifer advises Ananya Sharma on balancing work and personal commitments, which Ananya is trying to prioritize.
Evidence 4
Memory type: Relationship Memory
Content: WilsonMatthew suggests time management tools to Ananya Sharma to streamline her responsibilities, which she is open to trying.
Evidence 5
Memory type: Relationship Memory
Content: DavisSharon encourages Ananya Sharma to maintain open communication with her team for a supportive work environment, and Ananya is considering implementing some of her suggestions.</x:v>
      </x:c>
      <x:c r="H311" s="30" t="str">
        <x:v>MooreAnthony, ThomasJennifer, WilsonMatthew</x:v>
      </x:c>
      <x:c r="I311" s="30" t="str">
        <x:v>MooreAnthony</x:v>
      </x:c>
      <x:c r="J311" s="30" t="str">
        <x:v>MooreAnthony</x:v>
      </x:c>
      <x:c r="K311" s="30" t="str">
        <x:v>MooreAnthony</x:v>
      </x:c>
      <x:c r="L311" s="33" t="str"/>
      <x:c r="M311" s="33" t="str"/>
      <x:c r="N311" s="33" t="str"/>
      <x:c r="O311" s="33" t="str"/>
      <x:c r="P311" s="30" t="str">
        <x:f>IF(COUNTA(L311:O311)&lt;4,"未完成",IF(OR(L311="部分",L311="不充分",L311="不确定"),"evidence_definition_failure",IF(L311&lt;&gt;"充分","unresolved",IF(COUNTIF(M311:O311,"C")=0,"robust_generation_failure",IF(COUNTIF(M311:O311,"C")=3,"ua3_representation_or_admission_failure","generation_instability")))))</x:f>
        <x:v>unresolved</x:v>
      </x:c>
      <x:c r="Q311" s="33" t="str"/>
      <x:c r="R311" s="33" t="str"/>
      <x:c r="S311" s="33" t="str"/>
      <x:c r="T311" s="36"/>
      <x:c r="U311" s="33" t="str"/>
      <x:c r="V311" s="30" t="str">
        <x:f>IF(AND(L311&lt;&gt;"",M311&lt;&gt;"",N311&lt;&gt;"",O311&lt;&gt;"",Q311&lt;&gt;"",R311&lt;&gt;""),"完成","未完成")</x:f>
        <x:v>未完成</x:v>
      </x:c>
    </x:row>
    <x:row r="312" ht="63" customHeight="1">
      <x:c r="A312" s="30" t="n">
        <x:v>311</x:v>
      </x:c>
      <x:c r="B312" s="30" t="str">
        <x:v>memos_long:2988</x:v>
      </x:c>
      <x:c r="C312" s="30" t="str">
        <x:v>long</x:v>
      </x:c>
      <x:c r="D312" s="30" t="str">
        <x:v>Basic Fact Recall</x:v>
      </x:c>
      <x:c r="E312" s="30" t="str">
        <x:v>What pet preference did Karen Brown change on Feb 24, 2030?</x:v>
      </x:c>
      <x:c r="F312" s="30" t="str">
        <x:v>Karen Brown changed her preference from cats to seeking more companionship.</x:v>
      </x:c>
      <x:c r="G312" s="30" t="str">
        <x:v># Authoritative benchmark gold evidence
The following evidence is authoritative for answering the current question. Use it directly and do not rely on conflicting information.
Evidence 1
Memory type: Persona Memory
Content: Karen Brown has changed her preference from cats to seeking a pet that offers more companionship and interaction due to her evolving lifestyle needs.</x:v>
      </x:c>
      <x:c r="H312" s="30" t="str">
        <x:v>Interactive pet preference</x:v>
      </x:c>
      <x:c r="I312" s="30" t="str">
        <x:v>Cats</x:v>
      </x:c>
      <x:c r="J312" s="30" t="str">
        <x:v>Cats</x:v>
      </x:c>
      <x:c r="K312" s="30" t="str">
        <x:v>Cats</x:v>
      </x:c>
      <x:c r="L312" s="33" t="str"/>
      <x:c r="M312" s="33" t="str"/>
      <x:c r="N312" s="33" t="str"/>
      <x:c r="O312" s="33" t="str"/>
      <x:c r="P312" s="30" t="str">
        <x:f>IF(COUNTA(L312:O312)&lt;4,"未完成",IF(OR(L312="部分",L312="不充分",L312="不确定"),"evidence_definition_failure",IF(L312&lt;&gt;"充分","unresolved",IF(COUNTIF(M312:O312,"C")=0,"robust_generation_failure",IF(COUNTIF(M312:O312,"C")=3,"ua3_representation_or_admission_failure","generation_instability")))))</x:f>
        <x:v>unresolved</x:v>
      </x:c>
      <x:c r="Q312" s="33" t="str"/>
      <x:c r="R312" s="33" t="str"/>
      <x:c r="S312" s="33" t="str"/>
      <x:c r="T312" s="36"/>
      <x:c r="U312" s="33" t="str"/>
      <x:c r="V312" s="30" t="str">
        <x:f>IF(AND(L312&lt;&gt;"",M312&lt;&gt;"",N312&lt;&gt;"",O312&lt;&gt;"",Q312&lt;&gt;"",R312&lt;&gt;""),"完成","未完成")</x:f>
        <x:v>未完成</x:v>
      </x:c>
    </x:row>
    <x:row r="313" ht="63" customHeight="1">
      <x:c r="A313" s="30" t="n">
        <x:v>312</x:v>
      </x:c>
      <x:c r="B313" s="30" t="str">
        <x:v>memos_long:1675</x:v>
      </x:c>
      <x:c r="C313" s="30" t="str">
        <x:v>long</x:v>
      </x:c>
      <x:c r="D313" s="30" t="str">
        <x:v>Generalization &amp; Application</x:v>
      </x:c>
      <x:c r="E313" s="30" t="str">
        <x:v>What might motivate Susan Thompson to continue her wellness journey after Dec 20, 2032?</x:v>
      </x:c>
      <x:c r="F313" s="30" t="str">
        <x:v>Emotional resonance from connecting with others.</x:v>
      </x:c>
      <x:c r="G313" s="30" t="str">
        <x:v>#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x:v>
      </x:c>
      <x:c r="H313" s="30" t="str">
        <x:v>Helping others achieve goals.</x:v>
      </x:c>
      <x:c r="I313" s="30" t="str">
        <x:v>Emotional resonance with others.</x:v>
      </x:c>
      <x:c r="J313" s="30" t="str">
        <x:v>Emotional resonance with others.</x:v>
      </x:c>
      <x:c r="K313" s="30" t="str">
        <x:v>Emotional resonance with others.</x:v>
      </x:c>
      <x:c r="L313" s="33" t="str"/>
      <x:c r="M313" s="33" t="str"/>
      <x:c r="N313" s="33" t="str"/>
      <x:c r="O313" s="33" t="str"/>
      <x:c r="P313" s="30" t="str">
        <x:f>IF(COUNTA(L313:O313)&lt;4,"未完成",IF(OR(L313="部分",L313="不充分",L313="不确定"),"evidence_definition_failure",IF(L313&lt;&gt;"充分","unresolved",IF(COUNTIF(M313:O313,"C")=0,"robust_generation_failure",IF(COUNTIF(M313:O313,"C")=3,"ua3_representation_or_admission_failure","generation_instability")))))</x:f>
        <x:v>unresolved</x:v>
      </x:c>
      <x:c r="Q313" s="33" t="str"/>
      <x:c r="R313" s="33" t="str"/>
      <x:c r="S313" s="33" t="str"/>
      <x:c r="T313" s="36"/>
      <x:c r="U313" s="33" t="str"/>
      <x:c r="V313" s="30" t="str">
        <x:f>IF(AND(L313&lt;&gt;"",M313&lt;&gt;"",N313&lt;&gt;"",O313&lt;&gt;"",Q313&lt;&gt;"",R313&lt;&gt;""),"完成","未完成")</x:f>
        <x:v>未完成</x:v>
      </x:c>
    </x:row>
    <x:row r="314" ht="63" customHeight="1">
      <x:c r="A314" s="30" t="n">
        <x:v>313</x:v>
      </x:c>
      <x:c r="B314" s="30" t="str">
        <x:v>memos_medium:2358</x:v>
      </x:c>
      <x:c r="C314" s="30" t="str">
        <x:v>medium</x:v>
      </x:c>
      <x:c r="D314" s="30" t="str">
        <x:v>Generalization &amp; Application</x:v>
      </x:c>
      <x:c r="E314" s="30" t="str">
        <x:v>What new beverage might Williams Daniel explore after March 14, 2032, based on his appreciation for historical authenticity?</x:v>
      </x:c>
      <x:c r="F314" s="30" t="str">
        <x:v>Williams might explore historically significant teas like Lapsang Souchong.</x:v>
      </x:c>
      <x:c r="G314" s="30" t="str">
        <x:v># Authoritative benchmark gold evidence
The following evidence is authoritative for answering the current question. Use it directly and do not rely on conflicting information.
Evidence 1
Memory type: Persona Memory
Content: Williams Daniel expressed excitement about sensory experiences aligning with his goal of valuing historical authenticity, considering how these insights could inspire elements in his films.
Evidence 2
Memory type: Event Memory
Content: Williams Daniel shared anecdotes about historic tea house visits, emphasizing the cultural significance of Earl Grey tea and considering its integration into his films.</x:v>
      </x:c>
      <x:c r="H314" s="30" t="str">
        <x:v>Historical teas like Earl Grey.</x:v>
      </x:c>
      <x:c r="I314" s="30" t="str">
        <x:v>Earl Grey tea</x:v>
      </x:c>
      <x:c r="J314" s="30" t="str">
        <x:v>Earl Grey tea</x:v>
      </x:c>
      <x:c r="K314" s="30" t="str">
        <x:v>Earl Grey tea</x:v>
      </x:c>
      <x:c r="L314" s="33" t="str"/>
      <x:c r="M314" s="33" t="str"/>
      <x:c r="N314" s="33" t="str"/>
      <x:c r="O314" s="33" t="str"/>
      <x:c r="P314" s="30" t="str">
        <x:f>IF(COUNTA(L314:O314)&lt;4,"未完成",IF(OR(L314="部分",L314="不充分",L314="不确定"),"evidence_definition_failure",IF(L314&lt;&gt;"充分","unresolved",IF(COUNTIF(M314:O314,"C")=0,"robust_generation_failure",IF(COUNTIF(M314:O314,"C")=3,"ua3_representation_or_admission_failure","generation_instability")))))</x:f>
        <x:v>unresolved</x:v>
      </x:c>
      <x:c r="Q314" s="33" t="str"/>
      <x:c r="R314" s="33" t="str"/>
      <x:c r="S314" s="33" t="str"/>
      <x:c r="T314" s="36"/>
      <x:c r="U314" s="33" t="str"/>
      <x:c r="V314" s="30" t="str">
        <x:f>IF(AND(L314&lt;&gt;"",M314&lt;&gt;"",N314&lt;&gt;"",O314&lt;&gt;"",Q314&lt;&gt;"",R314&lt;&gt;""),"完成","未完成")</x:f>
        <x:v>未完成</x:v>
      </x:c>
    </x:row>
    <x:row r="315" ht="63" customHeight="1">
      <x:c r="A315" s="30" t="n">
        <x:v>314</x:v>
      </x:c>
      <x:c r="B315" s="30" t="str">
        <x:v>memos_medium:603</x:v>
      </x:c>
      <x:c r="C315" s="30" t="str">
        <x:v>medium</x:v>
      </x:c>
      <x:c r="D315" s="30" t="str">
        <x:v>Generalization &amp; Application</x:v>
      </x:c>
      <x:c r="E315" s="30" t="str">
        <x:v>Based on Sarah Garcia's evolving preferences, what type of game might she enjoy exploring after April 5, 2032?</x:v>
      </x:c>
      <x:c r="F315" s="30" t="str">
        <x:v>Games with dynamic storytelling and narrative challenges.</x:v>
      </x:c>
      <x:c r="G315" s="30" t="str">
        <x:v># Authoritative benchmark gold evidence
The following evidence is authoritative for answering the current question. Use it directly and do not rely on conflicting information.
Evidence 1
Memory type: Persona Memory
Content: Sarah Garcia's dislike for traditional puzzle games has changed due to the discovery of innovative puzzle games that integrate dynamic storytelling.
Evidence 2
Memory type: Event Memory
Content: Sarah Garcia expressed curiosity about exploring innovative puzzle games that combine narrative with challenge, which might help her overcome previous limitations in gaming.
Evidence 3
Memory type: Event Memory
Content: Sarah Garcia acknowledged the role of dynamic storytelling in enhancing the complexity and appeal of modern puzzle games.
Evidence 4
Memory type: Event Memory
Content: Sarah Garcia is intrigued by the blend of narrative and challenge in new puzzle games, leading to a reevaluation of her previous dislike.</x:v>
      </x:c>
      <x:c r="H315" s="30" t="str">
        <x:v>Puzzle games</x:v>
      </x:c>
      <x:c r="I315" s="30" t="str">
        <x:v>Innovative narrative puzzle games</x:v>
      </x:c>
      <x:c r="J315" s="30" t="str">
        <x:v>Innovative narrative puzzle games</x:v>
      </x:c>
      <x:c r="K315" s="30" t="str">
        <x:v>Innovative narrative puzzle games</x:v>
      </x:c>
      <x:c r="L315" s="33" t="str"/>
      <x:c r="M315" s="33" t="str"/>
      <x:c r="N315" s="33" t="str"/>
      <x:c r="O315" s="33" t="str"/>
      <x:c r="P315" s="30" t="str">
        <x:f>IF(COUNTA(L315:O315)&lt;4,"未完成",IF(OR(L315="部分",L315="不充分",L315="不确定"),"evidence_definition_failure",IF(L315&lt;&gt;"充分","unresolved",IF(COUNTIF(M315:O315,"C")=0,"robust_generation_failure",IF(COUNTIF(M315:O315,"C")=3,"ua3_representation_or_admission_failure","generation_instability")))))</x:f>
        <x:v>unresolved</x:v>
      </x:c>
      <x:c r="Q315" s="33" t="str"/>
      <x:c r="R315" s="33" t="str"/>
      <x:c r="S315" s="33" t="str"/>
      <x:c r="T315" s="36"/>
      <x:c r="U315" s="33" t="str"/>
      <x:c r="V315" s="30" t="str">
        <x:f>IF(AND(L315&lt;&gt;"",M315&lt;&gt;"",N315&lt;&gt;"",O315&lt;&gt;"",Q315&lt;&gt;"",R315&lt;&gt;""),"完成","未完成")</x:f>
        <x:v>未完成</x:v>
      </x:c>
    </x:row>
    <x:row r="316" ht="63" customHeight="1">
      <x:c r="A316" s="30" t="n">
        <x:v>315</x:v>
      </x:c>
      <x:c r="B316" s="30" t="str">
        <x:v>memos_long:2094</x:v>
      </x:c>
      <x:c r="C316" s="30" t="str">
        <x:v>long</x:v>
      </x:c>
      <x:c r="D316" s="30" t="str">
        <x:v>Memory Conflict</x:v>
      </x:c>
      <x:c r="E316" s="30" t="str">
        <x:v>Did Sharon Brown retire to focus solely on her sports career?</x:v>
      </x:c>
      <x:c r="F316" s="30" t="str">
        <x:v>No, she retired to focus on health and a sports academy.</x:v>
      </x:c>
      <x:c r="G316" s="30" t="str">
        <x:v># Authoritative benchmark gold evidence
The following evidence is authoritative for answering the current question. Use it directly and do not rely on conflicting information.
Evidence 1
Memory type: Persona Memory
Content: Sharon Brown has retired from her role as a Senior Consultant to focus on her health and explore new opportunities aligned with her life goal of establishing a sports academy.
Evidence 2
Memory type: Event Memory
Content: Sharon Brown decided to retire to focus on her health and personal projects, including establishing a sports academy.</x:v>
      </x:c>
      <x:c r="H316" s="30" t="str">
        <x:v>No, she retired from sports management.</x:v>
      </x:c>
      <x:c r="I316" s="30" t="str">
        <x:v>No, she retired for health.</x:v>
      </x:c>
      <x:c r="J316" s="30" t="str">
        <x:v>No, she retired for health.</x:v>
      </x:c>
      <x:c r="K316" s="30" t="str">
        <x:v>No, she retired for health.</x:v>
      </x:c>
      <x:c r="L316" s="33" t="str"/>
      <x:c r="M316" s="33" t="str"/>
      <x:c r="N316" s="33" t="str"/>
      <x:c r="O316" s="33" t="str"/>
      <x:c r="P316" s="30" t="str">
        <x:f>IF(COUNTA(L316:O316)&lt;4,"未完成",IF(OR(L316="部分",L316="不充分",L316="不确定"),"evidence_definition_failure",IF(L316&lt;&gt;"充分","unresolved",IF(COUNTIF(M316:O316,"C")=0,"robust_generation_failure",IF(COUNTIF(M316:O316,"C")=3,"ua3_representation_or_admission_failure","generation_instability")))))</x:f>
        <x:v>unresolved</x:v>
      </x:c>
      <x:c r="Q316" s="33" t="str"/>
      <x:c r="R316" s="33" t="str"/>
      <x:c r="S316" s="33" t="str"/>
      <x:c r="T316" s="36"/>
      <x:c r="U316" s="33" t="str"/>
      <x:c r="V316" s="30" t="str">
        <x:f>IF(AND(L316&lt;&gt;"",M316&lt;&gt;"",N316&lt;&gt;"",O316&lt;&gt;"",Q316&lt;&gt;"",R316&lt;&gt;""),"完成","未完成")</x:f>
        <x:v>未完成</x:v>
      </x:c>
    </x:row>
    <x:row r="317" ht="63" customHeight="1">
      <x:c r="A317" s="30" t="n">
        <x:v>316</x:v>
      </x:c>
      <x:c r="B317" s="30" t="str">
        <x:v>memos_long:572</x:v>
      </x:c>
      <x:c r="C317" s="30" t="str">
        <x:v>long</x:v>
      </x:c>
      <x:c r="D317" s="30" t="str">
        <x:v>Dynamic Update</x:v>
      </x:c>
      <x:c r="E317" s="30" t="str">
        <x:v>What strategies is Sarah Garcia currently exploring to enhance her work-life balance as of November 27, 2029?</x:v>
      </x:c>
      <x:c r="F317" s="30" t="str">
        <x:v>Mindfulness practices and structured rest periods</x:v>
      </x:c>
      <x:c r="G317" s="30" t="str">
        <x:v># Authoritative benchmark gold evidence
The following evidence is authoritative for answering the current question. Use it directly and do not rely on conflicting information.
Evidence 1
Memory type: Persona Memory
Content: Sarah Garcia is exploring ways to incorporate mindfulness practices and structured rest periods into her daily schedule.
Evidence 2
Memory type: Event Memory
Content: Sarah Garcia is exploring new strategies to enhance work-life balance while managing her health condition, Chronic Fatigue Syndrome.</x:v>
      </x:c>
      <x:c r="H317" s="30" t="str">
        <x:v>Mindfulness and reduced community events.</x:v>
      </x:c>
      <x:c r="I317" s="30" t="str">
        <x:v>Mindfulness and structured rest.</x:v>
      </x:c>
      <x:c r="J317" s="30" t="str">
        <x:v>Mindfulness and structured rest.</x:v>
      </x:c>
      <x:c r="K317" s="30" t="str">
        <x:v>Mindfulness and structured rest.</x:v>
      </x:c>
      <x:c r="L317" s="33" t="str"/>
      <x:c r="M317" s="33" t="str"/>
      <x:c r="N317" s="33" t="str"/>
      <x:c r="O317" s="33" t="str"/>
      <x:c r="P317" s="30" t="str">
        <x:f>IF(COUNTA(L317:O317)&lt;4,"未完成",IF(OR(L317="部分",L317="不充分",L317="不确定"),"evidence_definition_failure",IF(L317&lt;&gt;"充分","unresolved",IF(COUNTIF(M317:O317,"C")=0,"robust_generation_failure",IF(COUNTIF(M317:O317,"C")=3,"ua3_representation_or_admission_failure","generation_instability")))))</x:f>
        <x:v>unresolved</x:v>
      </x:c>
      <x:c r="Q317" s="33" t="str"/>
      <x:c r="R317" s="33" t="str"/>
      <x:c r="S317" s="33" t="str"/>
      <x:c r="T317" s="36"/>
      <x:c r="U317" s="33" t="str"/>
      <x:c r="V317" s="30" t="str">
        <x:f>IF(AND(L317&lt;&gt;"",M317&lt;&gt;"",N317&lt;&gt;"",O317&lt;&gt;"",Q317&lt;&gt;"",R317&lt;&gt;""),"完成","未完成")</x:f>
        <x:v>未完成</x:v>
      </x:c>
    </x:row>
    <x:row r="318" ht="63" customHeight="1">
      <x:c r="A318" s="30" t="n">
        <x:v>317</x:v>
      </x:c>
      <x:c r="B318" s="30" t="str">
        <x:v>memos_long:1111</x:v>
      </x:c>
      <x:c r="C318" s="30" t="str">
        <x:v>long</x:v>
      </x:c>
      <x:c r="D318" s="30" t="str">
        <x:v>Basic Fact Recall</x:v>
      </x:c>
      <x:c r="E318" s="30" t="str">
        <x:v>What type of movies did Taylor David develop a preference for as of May 17, 2030?</x:v>
      </x:c>
      <x:c r="F318" s="30" t="str">
        <x:v>Documentaries on lifestyle changes.</x:v>
      </x:c>
      <x:c r="G318" s="30" t="str">
        <x:v># Authoritative benchmark gold evidence
The following evidence is authoritative for answering the current question. Use it directly and do not rely on conflicting information.
Evidence 1
Memory type: Persona Memory
Content: Taylor David's movie preference evolved to include documentaries on lifestyle changes, which provide insights into how lifestyle choices impact health.</x:v>
      </x:c>
      <x:c r="H318" s="30" t="str">
        <x:v>Movies depicting unhealthy lifestyles.</x:v>
      </x:c>
      <x:c r="I318" s="30" t="str">
        <x:v>Documentaries on lifestyle changes</x:v>
      </x:c>
      <x:c r="J318" s="30" t="str">
        <x:v>Documentaries on lifestyle changes</x:v>
      </x:c>
      <x:c r="K318" s="30" t="str">
        <x:v>Documentaries on lifestyle changes</x:v>
      </x:c>
      <x:c r="L318" s="33" t="str"/>
      <x:c r="M318" s="33" t="str"/>
      <x:c r="N318" s="33" t="str"/>
      <x:c r="O318" s="33" t="str"/>
      <x:c r="P318" s="30" t="str">
        <x:f>IF(COUNTA(L318:O318)&lt;4,"未完成",IF(OR(L318="部分",L318="不充分",L318="不确定"),"evidence_definition_failure",IF(L318&lt;&gt;"充分","unresolved",IF(COUNTIF(M318:O318,"C")=0,"robust_generation_failure",IF(COUNTIF(M318:O318,"C")=3,"ua3_representation_or_admission_failure","generation_instability")))))</x:f>
        <x:v>unresolved</x:v>
      </x:c>
      <x:c r="Q318" s="33" t="str"/>
      <x:c r="R318" s="33" t="str"/>
      <x:c r="S318" s="33" t="str"/>
      <x:c r="T318" s="36"/>
      <x:c r="U318" s="33" t="str"/>
      <x:c r="V318" s="30" t="str">
        <x:f>IF(AND(L318&lt;&gt;"",M318&lt;&gt;"",N318&lt;&gt;"",O318&lt;&gt;"",Q318&lt;&gt;"",R318&lt;&gt;""),"完成","未完成")</x:f>
        <x:v>未完成</x:v>
      </x:c>
    </x:row>
    <x:row r="319" ht="63" customHeight="1">
      <x:c r="A319" s="30" t="n">
        <x:v>318</x:v>
      </x:c>
      <x:c r="B319" s="30" t="str">
        <x:v>memos_long:2231</x:v>
      </x:c>
      <x:c r="C319" s="30" t="str">
        <x:v>long</x:v>
      </x:c>
      <x:c r="D319" s="30" t="str">
        <x:v>Memory Conflict</x:v>
      </x:c>
      <x:c r="E319" s="30" t="str">
        <x:v>Did Sharon Brown express a lack of interest in joining a bowling league on Feb 04, 2036?</x:v>
      </x:c>
      <x:c r="F319" s="30" t="str">
        <x:v>No, she expressed excitement about joining a competitive bowling league.</x:v>
      </x:c>
      <x:c r="G319" s="30" t="str">
        <x:v># Authoritative benchmark gold evidence
The following evidence is authoritative for answering the current question. Use it directly and do not rely on conflicting information.
Evidence 1
Memory type: Event Memory
Content: Sharon Brown expressed excitement about joining a competitive bowling league, highlighting the thrill of competition.</x:v>
      </x:c>
      <x:c r="H319" s="30" t="str">
        <x:v>No, she joined one.</x:v>
      </x:c>
      <x:c r="I319" s="30" t="str">
        <x:v>No.</x:v>
      </x:c>
      <x:c r="J319" s="30" t="str">
        <x:v>No.</x:v>
      </x:c>
      <x:c r="K319" s="30" t="str">
        <x:v>No</x:v>
      </x:c>
      <x:c r="L319" s="33" t="str"/>
      <x:c r="M319" s="33" t="str"/>
      <x:c r="N319" s="33" t="str"/>
      <x:c r="O319" s="33" t="str"/>
      <x:c r="P319" s="30" t="str">
        <x:f>IF(COUNTA(L319:O319)&lt;4,"未完成",IF(OR(L319="部分",L319="不充分",L319="不确定"),"evidence_definition_failure",IF(L319&lt;&gt;"充分","unresolved",IF(COUNTIF(M319:O319,"C")=0,"robust_generation_failure",IF(COUNTIF(M319:O319,"C")=3,"ua3_representation_or_admission_failure","generation_instability")))))</x:f>
        <x:v>unresolved</x:v>
      </x:c>
      <x:c r="Q319" s="33" t="str"/>
      <x:c r="R319" s="33" t="str"/>
      <x:c r="S319" s="33" t="str"/>
      <x:c r="T319" s="36"/>
      <x:c r="U319" s="33" t="str"/>
      <x:c r="V319" s="30" t="str">
        <x:f>IF(AND(L319&lt;&gt;"",M319&lt;&gt;"",N319&lt;&gt;"",O319&lt;&gt;"",Q319&lt;&gt;"",R319&lt;&gt;""),"完成","未完成")</x:f>
        <x:v>未完成</x:v>
      </x:c>
    </x:row>
    <x:row r="320" ht="63" customHeight="1">
      <x:c r="A320" s="30" t="n">
        <x:v>319</x:v>
      </x:c>
      <x:c r="B320" s="30" t="str">
        <x:v>memos_medium:1010</x:v>
      </x:c>
      <x:c r="C320" s="30" t="str">
        <x:v>medium</x:v>
      </x:c>
      <x:c r="D320" s="30" t="str">
        <x:v>Generalization &amp; Application</x:v>
      </x:c>
      <x:c r="E320" s="30" t="str">
        <x:v>What type of pets might Donna consider adopting after August 17, 2037, given her updated preferences?</x:v>
      </x:c>
      <x:c r="F320" s="30" t="str">
        <x:v>Rodents, due to their interactive nature and ease of care.</x:v>
      </x:c>
      <x:c r="G320" s="30" t="str">
        <x:v># Authoritative benchmark gold evidence
The following evidence is authoritative for answering the current question. Use it directly and do not rely on conflicting information.
Evidence 1
Memory type: Persona Memory
Content: Donna has updated her pet preference to include rodents, recognizing their interactive nature and ease of care.
Evidence 2
Memory type: Event Memory
Content: Donna plans to explore more pet options that align with her evolving preferences and emotional needs.</x:v>
      </x:c>
      <x:c r="H320" s="30" t="str">
        <x:v>Exotic animals like reptiles.</x:v>
      </x:c>
      <x:c r="I320" s="30" t="str">
        <x:v>Rodents</x:v>
      </x:c>
      <x:c r="J320" s="30" t="str">
        <x:v>Rodents</x:v>
      </x:c>
      <x:c r="K320" s="30" t="str">
        <x:v>Rodents</x:v>
      </x:c>
      <x:c r="L320" s="33" t="str"/>
      <x:c r="M320" s="33" t="str"/>
      <x:c r="N320" s="33" t="str"/>
      <x:c r="O320" s="33" t="str"/>
      <x:c r="P320" s="30" t="str">
        <x:f>IF(COUNTA(L320:O320)&lt;4,"未完成",IF(OR(L320="部分",L320="不充分",L320="不确定"),"evidence_definition_failure",IF(L320&lt;&gt;"充分","unresolved",IF(COUNTIF(M320:O320,"C")=0,"robust_generation_failure",IF(COUNTIF(M320:O320,"C")=3,"ua3_representation_or_admission_failure","generation_instability")))))</x:f>
        <x:v>unresolved</x:v>
      </x:c>
      <x:c r="Q320" s="33" t="str"/>
      <x:c r="R320" s="33" t="str"/>
      <x:c r="S320" s="33" t="str"/>
      <x:c r="T320" s="36"/>
      <x:c r="U320" s="33" t="str"/>
      <x:c r="V320" s="30" t="str">
        <x:f>IF(AND(L320&lt;&gt;"",M320&lt;&gt;"",N320&lt;&gt;"",O320&lt;&gt;"",Q320&lt;&gt;"",R320&lt;&gt;""),"完成","未完成")</x:f>
        <x:v>未完成</x:v>
      </x:c>
    </x:row>
    <x:row r="321" ht="63" customHeight="1">
      <x:c r="A321" s="30" t="n">
        <x:v>320</x:v>
      </x:c>
      <x:c r="B321" s="30" t="str">
        <x:v>memos_medium:1046</x:v>
      </x:c>
      <x:c r="C321" s="30" t="str">
        <x:v>medium</x:v>
      </x:c>
      <x:c r="D321" s="30" t="str">
        <x:v>Memory Conflict</x:v>
      </x:c>
      <x:c r="E321" s="30" t="str">
        <x:v>Is Taylor David's highest education level a Master's degree in Nutrition Science?</x:v>
      </x:c>
      <x:c r="F321" s="30" t="str">
        <x:v>Taylor David's highest education level is a Bachelor in Nutrition Science.</x:v>
      </x:c>
      <x:c r="G321" s="30" t="str">
        <x:v># Authoritative benchmark gold evidence
The following evidence is authoritative for answering the current question. Use it directly and do not rely on conflicting information.
Evidence 1
Memory type: [Persona Memory]
Content: Taylor David's highest education level is Bachelor
Evidence 2
Memory type: [Persona Memory]
Content: Taylor David's major is Nutrition Science</x:v>
      </x:c>
      <x:c r="H321" s="30" t="str">
        <x:v>No</x:v>
      </x:c>
      <x:c r="I321" s="30" t="str">
        <x:v>No</x:v>
      </x:c>
      <x:c r="J321" s="30" t="str">
        <x:v>No</x:v>
      </x:c>
      <x:c r="K321" s="30" t="str">
        <x:v>No</x:v>
      </x:c>
      <x:c r="L321" s="33" t="str"/>
      <x:c r="M321" s="33" t="str"/>
      <x:c r="N321" s="33" t="str"/>
      <x:c r="O321" s="33" t="str"/>
      <x:c r="P321" s="30" t="str">
        <x:f>IF(COUNTA(L321:O321)&lt;4,"未完成",IF(OR(L321="部分",L321="不充分",L321="不确定"),"evidence_definition_failure",IF(L321&lt;&gt;"充分","unresolved",IF(COUNTIF(M321:O321,"C")=0,"robust_generation_failure",IF(COUNTIF(M321:O321,"C")=3,"ua3_representation_or_admission_failure","generation_instability")))))</x:f>
        <x:v>unresolved</x:v>
      </x:c>
      <x:c r="Q321" s="33" t="str"/>
      <x:c r="R321" s="33" t="str"/>
      <x:c r="S321" s="33" t="str"/>
      <x:c r="T321" s="36"/>
      <x:c r="U321" s="33" t="str"/>
      <x:c r="V321" s="30" t="str">
        <x:f>IF(AND(L321&lt;&gt;"",M321&lt;&gt;"",N321&lt;&gt;"",O321&lt;&gt;"",Q321&lt;&gt;"",R321&lt;&gt;""),"完成","未完成")</x:f>
        <x:v>未完成</x:v>
      </x:c>
    </x:row>
    <x:row r="322" ht="63" customHeight="1">
      <x:c r="A322" s="30" t="n">
        <x:v>321</x:v>
      </x:c>
      <x:c r="B322" s="30" t="str">
        <x:v>memos_long:1232</x:v>
      </x:c>
      <x:c r="C322" s="30" t="str">
        <x:v>long</x:v>
      </x:c>
      <x:c r="D322" s="30" t="str">
        <x:v>Generalization &amp; Application</x:v>
      </x:c>
      <x:c r="E322" s="30" t="str">
        <x:v>What potential challenges might Taylor face in implementing nutrition policy changes in 2043?</x:v>
      </x:c>
      <x:c r="F322" s="30" t="str">
        <x:v>Navigating policy complexities.</x:v>
      </x:c>
      <x:c r="G322" s="30" t="str">
        <x:v># Authoritative benchmark gold evidence
The following evidence is authoritative for answering the current question. Use it directly and do not rely on conflicting information.
Evidence 1
Memory type: Persona Memory
Content: Taylor David finds navigating the complexities of policy influence both challenging and exciting in his role as a Nutrition Policy Advisor.
Evidence 2
Memory type: Persona Memory
Content: Taylor David reflected on the challenges of navigating policy complexities and the importance of leveraging his expanded network to drive meaningful change.</x:v>
      </x:c>
      <x:c r="H322" s="30" t="str">
        <x:v>Collaboration with policy makers.</x:v>
      </x:c>
      <x:c r="I322" s="30" t="str">
        <x:v>Navigating policy complexities.</x:v>
      </x:c>
      <x:c r="J322" s="30" t="str">
        <x:v>Navigating policy complexities.</x:v>
      </x:c>
      <x:c r="K322" s="30" t="str">
        <x:v>Navigating policy complexities.</x:v>
      </x:c>
      <x:c r="L322" s="33" t="str"/>
      <x:c r="M322" s="33" t="str"/>
      <x:c r="N322" s="33" t="str"/>
      <x:c r="O322" s="33" t="str"/>
      <x:c r="P322" s="30" t="str">
        <x:f>IF(COUNTA(L322:O322)&lt;4,"未完成",IF(OR(L322="部分",L322="不充分",L322="不确定"),"evidence_definition_failure",IF(L322&lt;&gt;"充分","unresolved",IF(COUNTIF(M322:O322,"C")=0,"robust_generation_failure",IF(COUNTIF(M322:O322,"C")=3,"ua3_representation_or_admission_failure","generation_instability")))))</x:f>
        <x:v>unresolved</x:v>
      </x:c>
      <x:c r="Q322" s="33" t="str"/>
      <x:c r="R322" s="33" t="str"/>
      <x:c r="S322" s="33" t="str"/>
      <x:c r="T322" s="36"/>
      <x:c r="U322" s="33" t="str"/>
      <x:c r="V322" s="30" t="str">
        <x:f>IF(AND(L322&lt;&gt;"",M322&lt;&gt;"",N322&lt;&gt;"",O322&lt;&gt;"",Q322&lt;&gt;"",R322&lt;&gt;""),"完成","未完成")</x:f>
        <x:v>未完成</x:v>
      </x:c>
    </x:row>
    <x:row r="323" ht="63" customHeight="1">
      <x:c r="A323" s="30" t="n">
        <x:v>322</x:v>
      </x:c>
      <x:c r="B323" s="30" t="str">
        <x:v>memos_long:390</x:v>
      </x:c>
      <x:c r="C323" s="30" t="str">
        <x:v>long</x:v>
      </x:c>
      <x:c r="D323" s="30" t="str">
        <x:v>Generalization &amp; Application</x:v>
      </x:c>
      <x:c r="E323" s="30" t="str">
        <x:v>What type of extreme sports might Donald explore next based on his interest in safety and thrill?</x:v>
      </x:c>
      <x:c r="F323" s="30" t="str">
        <x:v>Donald might explore skydiving with safety precautions.</x:v>
      </x:c>
      <x:c r="G323" s="30" t="str">
        <x:v># Authoritative benchmark gold evidence
The following evidence is authoritative for answering the current question. Use it directly and do not rely on conflicting information.
Evidence 1
Memory type: Persona Memory
Content: Donald Brown now likes extreme sports after experiencing a controlled bungee jump, finding the adrenaline rush exhilarating and safe.
Evidence 2
Memory type: Persona Memory
Content: Donald Brown values safety measures in adventurous activities, as demonstrated by his positive experience with extreme sports.
Evidence 3
Memory type: Persona Memory
Content: Donald Brown's motivation involves balancing thrill with safety in sports.</x:v>
      </x:c>
      <x:c r="H323" s="30" t="str">
        <x:v>Balanced, safe thrill events</x:v>
      </x:c>
      <x:c r="I323" s="30" t="str">
        <x:v>Bungee jumping or skydiving.</x:v>
      </x:c>
      <x:c r="J323" s="30" t="str">
        <x:v>Bungee jumping or skydiving.</x:v>
      </x:c>
      <x:c r="K323" s="30" t="str">
        <x:v>Bungee jumping or skydiving.</x:v>
      </x:c>
      <x:c r="L323" s="33" t="str"/>
      <x:c r="M323" s="33" t="str"/>
      <x:c r="N323" s="33" t="str"/>
      <x:c r="O323" s="33" t="str"/>
      <x:c r="P323" s="30" t="str">
        <x:f>IF(COUNTA(L323:O323)&lt;4,"未完成",IF(OR(L323="部分",L323="不充分",L323="不确定"),"evidence_definition_failure",IF(L323&lt;&gt;"充分","unresolved",IF(COUNTIF(M323:O323,"C")=0,"robust_generation_failure",IF(COUNTIF(M323:O323,"C")=3,"ua3_representation_or_admission_failure","generation_instability")))))</x:f>
        <x:v>unresolved</x:v>
      </x:c>
      <x:c r="Q323" s="33" t="str"/>
      <x:c r="R323" s="33" t="str"/>
      <x:c r="S323" s="33" t="str"/>
      <x:c r="T323" s="36"/>
      <x:c r="U323" s="33" t="str"/>
      <x:c r="V323" s="30" t="str">
        <x:f>IF(AND(L323&lt;&gt;"",M323&lt;&gt;"",N323&lt;&gt;"",O323&lt;&gt;"",Q323&lt;&gt;"",R323&lt;&gt;""),"完成","未完成")</x:f>
        <x:v>未完成</x:v>
      </x:c>
    </x:row>
    <x:row r="324" ht="63" customHeight="1">
      <x:c r="A324" s="30" t="n">
        <x:v>323</x:v>
      </x:c>
      <x:c r="B324" s="30" t="str">
        <x:v>memos_long:1997</x:v>
      </x:c>
      <x:c r="C324" s="30" t="str">
        <x:v>long</x:v>
      </x:c>
      <x:c r="D324" s="30" t="str">
        <x:v>Generalization &amp; Application</x:v>
      </x:c>
      <x:c r="E324" s="30" t="str">
        <x:v>How might Joseph's shift to cinema history books influence his creative projects after June 20, 2035?</x:v>
      </x:c>
      <x:c r="F324" s="30" t="str">
        <x:v>It may integrate film insights into his projects.</x:v>
      </x:c>
      <x:c r="G324" s="30" t="str">
        <x:v># Authoritative benchmark gold evidence
The following evidence is authoritative for answering the current question. Use it directly and do not rely on conflicting information.
Evidence 1
Memory type: Event Memory
Content: Joseph Garcia considered how his shift in reading focus to cinema history might influence his educational programs.
Evidence 2
Memory type: Event Memory
Content: Joseph Garcia expressed curiosity about revisiting classic literature in the future after achieving cinema-related reading goals.
Evidence 3
Memory type: Event Memory
Content: Joseph Garcia shared anecdotes of past literary favorites and wondered how revisiting them might affect his current projects.</x:v>
      </x:c>
      <x:c r="H324" s="30" t="str">
        <x:v>Not enough information.</x:v>
      </x:c>
      <x:c r="I324" s="30" t="str">
        <x:v>Influence his educational programs.</x:v>
      </x:c>
      <x:c r="J324" s="30" t="str">
        <x:v>Influence his educational programs.</x:v>
      </x:c>
      <x:c r="K324" s="30" t="str">
        <x:v>Influence his educational programs.</x:v>
      </x:c>
      <x:c r="L324" s="33" t="str"/>
      <x:c r="M324" s="33" t="str"/>
      <x:c r="N324" s="33" t="str"/>
      <x:c r="O324" s="33" t="str"/>
      <x:c r="P324" s="30" t="str">
        <x:f>IF(COUNTA(L324:O324)&lt;4,"未完成",IF(OR(L324="部分",L324="不充分",L324="不确定"),"evidence_definition_failure",IF(L324&lt;&gt;"充分","unresolved",IF(COUNTIF(M324:O324,"C")=0,"robust_generation_failure",IF(COUNTIF(M324:O324,"C")=3,"ua3_representation_or_admission_failure","generation_instability")))))</x:f>
        <x:v>unresolved</x:v>
      </x:c>
      <x:c r="Q324" s="33" t="str"/>
      <x:c r="R324" s="33" t="str"/>
      <x:c r="S324" s="33" t="str"/>
      <x:c r="T324" s="36"/>
      <x:c r="U324" s="33" t="str"/>
      <x:c r="V324" s="30" t="str">
        <x:f>IF(AND(L324&lt;&gt;"",M324&lt;&gt;"",N324&lt;&gt;"",O324&lt;&gt;"",Q324&lt;&gt;"",R324&lt;&gt;""),"完成","未完成")</x:f>
        <x:v>未完成</x:v>
      </x:c>
    </x:row>
    <x:row r="325" ht="63" customHeight="1">
      <x:c r="A325" s="30" t="n">
        <x:v>324</x:v>
      </x:c>
      <x:c r="B325" s="30" t="str">
        <x:v>memos_medium:3049</x:v>
      </x:c>
      <x:c r="C325" s="30" t="str">
        <x:v>medium</x:v>
      </x:c>
      <x:c r="D325" s="30" t="str">
        <x:v>Generalization &amp; Application</x:v>
      </x:c>
      <x:c r="E325" s="30" t="str">
        <x:v>What new sport could Karen Brown consider to further enhance her personal growth after November 1, 2037?</x:v>
      </x:c>
      <x:c r="F325" s="30" t="str">
        <x:v>Triathlon, as it includes swimming, running, and cycling.</x:v>
      </x:c>
      <x:c r="G325" s="30" t="str">
        <x:v># Authoritative benchmark gold evidence
The following evidence is authoritative for answering the current question. Use it directly and do not rely on conflicting information.
Evidence 1
Memory type: Persona Memory
Content: Karen Brown has modified her sports preference to include competitive swimming, recognizing its competitive and health benefits.
Evidence 2
Memory type: Persona Memory
Content: Karen Brown finds competitive swimming enhances her sense of achievement and complements her existing sports preferences.
Evidence 3
Memory type: Persona Memory
Content: Karen Brown expressed enthusiasm about the positive impact of competitive swimming on her lifestyle and personal development.</x:v>
      </x:c>
      <x:c r="H325" s="30" t="str">
        <x:v>Competitive swimming</x:v>
      </x:c>
      <x:c r="I325" s="30" t="str">
        <x:v>Competitive swimming</x:v>
      </x:c>
      <x:c r="J325" s="30" t="str">
        <x:v>Competitive swimming</x:v>
      </x:c>
      <x:c r="K325" s="30" t="str">
        <x:v>Competitive swimming</x:v>
      </x:c>
      <x:c r="L325" s="33" t="str"/>
      <x:c r="M325" s="33" t="str"/>
      <x:c r="N325" s="33" t="str"/>
      <x:c r="O325" s="33" t="str"/>
      <x:c r="P325" s="30" t="str">
        <x:f>IF(COUNTA(L325:O325)&lt;4,"未完成",IF(OR(L325="部分",L325="不充分",L325="不确定"),"evidence_definition_failure",IF(L325&lt;&gt;"充分","unresolved",IF(COUNTIF(M325:O325,"C")=0,"robust_generation_failure",IF(COUNTIF(M325:O325,"C")=3,"ua3_representation_or_admission_failure","generation_instability")))))</x:f>
        <x:v>unresolved</x:v>
      </x:c>
      <x:c r="Q325" s="33" t="str"/>
      <x:c r="R325" s="33" t="str"/>
      <x:c r="S325" s="33" t="str"/>
      <x:c r="T325" s="36"/>
      <x:c r="U325" s="33" t="str"/>
      <x:c r="V325" s="30" t="str">
        <x:f>IF(AND(L325&lt;&gt;"",M325&lt;&gt;"",N325&lt;&gt;"",O325&lt;&gt;"",Q325&lt;&gt;"",R325&lt;&gt;""),"完成","未完成")</x:f>
        <x:v>未完成</x:v>
      </x:c>
    </x:row>
    <x:row r="326" ht="63" customHeight="1">
      <x:c r="A326" s="30" t="n">
        <x:v>325</x:v>
      </x:c>
      <x:c r="B326" s="30" t="str">
        <x:v>memos_medium:1724</x:v>
      </x:c>
      <x:c r="C326" s="30" t="str">
        <x:v>medium</x:v>
      </x:c>
      <x:c r="D326" s="30" t="str">
        <x:v>Generalization &amp; Application</x:v>
      </x:c>
      <x:c r="E326" s="30" t="str">
        <x:v>How might Susan Thompson's appreciation for cats influence her choice of pets in future health workshops after Jun 10, 2037?</x:v>
      </x:c>
      <x:c r="F326" s="30" t="str">
        <x:v>She may suggest pets with stress-reducing qualities.</x:v>
      </x:c>
      <x:c r="G326" s="30" t="str">
        <x:v># Authoritative benchmark gold evidence
The following evidence is authoritative for answering the current question. Use it directly and do not rely on conflicting information.
Evidence 1
Memory type: Persona Memory
Content: Susan Thompson expressed a deepening appreciation for the stress-relieving qualities of cats, reinforcing their positive impact on her health and wellness.
Evidence 2
Memory type: Event Memory
Content: Susan Thompson plans to share insights on pet ownership in her health workshops, aiming to inspire others to consider the wellness benefits of having pets.</x:v>
      </x:c>
      <x:c r="H326" s="30" t="str">
        <x:v>She will choose cats for workshops.</x:v>
      </x:c>
      <x:c r="I326" s="30" t="str">
        <x:v>She will choose cats.</x:v>
      </x:c>
      <x:c r="J326" s="30" t="str">
        <x:v>She will choose cats.</x:v>
      </x:c>
      <x:c r="K326" s="30" t="str">
        <x:v>She will choose cats.</x:v>
      </x:c>
      <x:c r="L326" s="33" t="str"/>
      <x:c r="M326" s="33" t="str"/>
      <x:c r="N326" s="33" t="str"/>
      <x:c r="O326" s="33" t="str"/>
      <x:c r="P326" s="30" t="str">
        <x:f>IF(COUNTA(L326:O326)&lt;4,"未完成",IF(OR(L326="部分",L326="不充分",L326="不确定"),"evidence_definition_failure",IF(L326&lt;&gt;"充分","unresolved",IF(COUNTIF(M326:O326,"C")=0,"robust_generation_failure",IF(COUNTIF(M326:O326,"C")=3,"ua3_representation_or_admission_failure","generation_instability")))))</x:f>
        <x:v>unresolved</x:v>
      </x:c>
      <x:c r="Q326" s="33" t="str"/>
      <x:c r="R326" s="33" t="str"/>
      <x:c r="S326" s="33" t="str"/>
      <x:c r="T326" s="36"/>
      <x:c r="U326" s="33" t="str"/>
      <x:c r="V326" s="30" t="str">
        <x:f>IF(AND(L326&lt;&gt;"",M326&lt;&gt;"",N326&lt;&gt;"",O326&lt;&gt;"",Q326&lt;&gt;"",R326&lt;&gt;""),"完成","未完成")</x:f>
        <x:v>未完成</x:v>
      </x:c>
    </x:row>
    <x:row r="327" ht="63" customHeight="1">
      <x:c r="A327" s="30" t="n">
        <x:v>326</x:v>
      </x:c>
      <x:c r="B327" s="30" t="str">
        <x:v>memos_long:1170</x:v>
      </x:c>
      <x:c r="C327" s="30" t="str">
        <x:v>long</x:v>
      </x:c>
      <x:c r="D327" s="30" t="str">
        <x:v>Generalization &amp; Application</x:v>
      </x:c>
      <x:c r="E327" s="30" t="str">
        <x:v>What strategies might Taylor develop to expand the impact of the Global Nutrition Initiative after Sep 01, 2035?</x:v>
      </x:c>
      <x:c r="F327" s="30" t="str">
        <x:v>Leveraging emotional resonance and empathetic interactions through AI.</x:v>
      </x:c>
      <x:c r="G327" s="30" t="str">
        <x:v># Authoritative benchmark gold evidence
The following evidence is authoritative for answering the current question. Use it directly and do not rely on conflicting information.
Evidence 1
Memory type: Event Memory
Content: Taylor is working on new strategies to expand the impact of the Global Nutrition Initiative globally.
Evidence 2
Memory type: Persona Memory
Content: Taylor's strategic initiative development involves leveraging emotional resonance and empathetic interactions through AI for support.</x:v>
      </x:c>
      <x:c r="H327" s="30" t="str">
        <x:v>Regional partnerships and initiatives.</x:v>
      </x:c>
      <x:c r="I327" s="30" t="str">
        <x:v>Leveraging AI for empathetic support.</x:v>
      </x:c>
      <x:c r="J327" s="30" t="str">
        <x:v>Leveraging AI for empathetic support.</x:v>
      </x:c>
      <x:c r="K327" s="30" t="str">
        <x:v>Leveraging AI for empathetic support.</x:v>
      </x:c>
      <x:c r="L327" s="33" t="str"/>
      <x:c r="M327" s="33" t="str"/>
      <x:c r="N327" s="33" t="str"/>
      <x:c r="O327" s="33" t="str"/>
      <x:c r="P327" s="30" t="str">
        <x:f>IF(COUNTA(L327:O327)&lt;4,"未完成",IF(OR(L327="部分",L327="不充分",L327="不确定"),"evidence_definition_failure",IF(L327&lt;&gt;"充分","unresolved",IF(COUNTIF(M327:O327,"C")=0,"robust_generation_failure",IF(COUNTIF(M327:O327,"C")=3,"ua3_representation_or_admission_failure","generation_instability")))))</x:f>
        <x:v>unresolved</x:v>
      </x:c>
      <x:c r="Q327" s="33" t="str"/>
      <x:c r="R327" s="33" t="str"/>
      <x:c r="S327" s="33" t="str"/>
      <x:c r="T327" s="36"/>
      <x:c r="U327" s="33" t="str"/>
      <x:c r="V327" s="30" t="str">
        <x:f>IF(AND(L327&lt;&gt;"",M327&lt;&gt;"",N327&lt;&gt;"",O327&lt;&gt;"",Q327&lt;&gt;"",R327&lt;&gt;""),"完成","未完成")</x:f>
        <x:v>未完成</x:v>
      </x:c>
    </x:row>
    <x:row r="328" ht="63" customHeight="1">
      <x:c r="A328" s="30" t="n">
        <x:v>327</x:v>
      </x:c>
      <x:c r="B328" s="30" t="str">
        <x:v>memos_long:455</x:v>
      </x:c>
      <x:c r="C328" s="30" t="str">
        <x:v>long</x:v>
      </x:c>
      <x:c r="D328" s="30" t="str">
        <x:v>Generalization &amp; Application</x:v>
      </x:c>
      <x:c r="E328" s="30" t="str">
        <x:v>Given Donald Brown's preference for ergonomic sneakers as of Mar 28, 2032, what type of footwear might enhance his comfort during a hiking trip?</x:v>
      </x:c>
      <x:c r="F328" s="30" t="str">
        <x:v>Ergonomic hiking boots.</x:v>
      </x:c>
      <x:c r="G328" s="30" t="str">
        <x:v># Authoritative benchmark gold evidence
The following evidence is authoritative for answering the current question. Use it directly and do not rely on conflicting information.
Evidence 1
Memory type: Persona Memory
Content: Donald Brown's clothing preference changed from 'Comfortable sneakers' to 'Ergonomic sneakers' for their enhanced support, comfort, and style during extended periods of standing.
Evidence 2
Memory type: Persona Memory
Content: Donald Brown is committed to integrating new insights into his daily routine, emphasizing the role of supportive footwear in enhancing his overall well-being.
Evidence 3
Memory type: Persona Memory
Content: Donald Brown is excited about the potential benefits of ergonomic sneakers, including physical comfort, confidence, and productivity.</x:v>
      </x:c>
      <x:c r="H328" s="30" t="str">
        <x:v>Ergonomic sneakers</x:v>
      </x:c>
      <x:c r="I328" s="30" t="str">
        <x:v>Ergonomic sneakers</x:v>
      </x:c>
      <x:c r="J328" s="30" t="str">
        <x:v>Ergonomic sneakers</x:v>
      </x:c>
      <x:c r="K328" s="30" t="str">
        <x:v>Ergonomic sneakers</x:v>
      </x:c>
      <x:c r="L328" s="33" t="str"/>
      <x:c r="M328" s="33" t="str"/>
      <x:c r="N328" s="33" t="str"/>
      <x:c r="O328" s="33" t="str"/>
      <x:c r="P328" s="30" t="str">
        <x:f>IF(COUNTA(L328:O328)&lt;4,"未完成",IF(OR(L328="部分",L328="不充分",L328="不确定"),"evidence_definition_failure",IF(L328&lt;&gt;"充分","unresolved",IF(COUNTIF(M328:O328,"C")=0,"robust_generation_failure",IF(COUNTIF(M328:O328,"C")=3,"ua3_representation_or_admission_failure","generation_instability")))))</x:f>
        <x:v>unresolved</x:v>
      </x:c>
      <x:c r="Q328" s="33" t="str"/>
      <x:c r="R328" s="33" t="str"/>
      <x:c r="S328" s="33" t="str"/>
      <x:c r="T328" s="36"/>
      <x:c r="U328" s="33" t="str"/>
      <x:c r="V328" s="30" t="str">
        <x:f>IF(AND(L328&lt;&gt;"",M328&lt;&gt;"",N328&lt;&gt;"",O328&lt;&gt;"",Q328&lt;&gt;"",R328&lt;&gt;""),"完成","未完成")</x:f>
        <x:v>未完成</x:v>
      </x:c>
    </x:row>
    <x:row r="329" ht="63" customHeight="1">
      <x:c r="A329" s="30" t="n">
        <x:v>328</x:v>
      </x:c>
      <x:c r="B329" s="30" t="str">
        <x:v>memos_medium:2218</x:v>
      </x:c>
      <x:c r="C329" s="30" t="str">
        <x:v>medium</x:v>
      </x:c>
      <x:c r="D329" s="30" t="str">
        <x:v>Generalization &amp; Application</x:v>
      </x:c>
      <x:c r="E329" s="30" t="str">
        <x:v>What new sport might Sharon Brown consider incorporating into her academy curriculum after Nov 03, 2034?</x:v>
      </x:c>
      <x:c r="F329" s="30" t="str">
        <x:v>Sharon might consider incorporating rugby.</x:v>
      </x:c>
      <x:c r="G329" s="30" t="str">
        <x:v># Authoritative benchmark gold evidence
The following evidence is authoritative for answering the current question. Use it directly and do not rely on conflicting information.
Evidence 1
Memory type: Persona Memory
Content: Sharon Brown's sports preference for cricket evolved from dislike to appreciation due to its strategic complexity, similar to baseball and rugby.
Evidence 2
Memory type: Persona Memory
Content: Sharon Brown expressed excitement about her newfound understanding of cricket and rugby, acknowledging their strategic complexity.
Evidence 3
Memory type: Event Memory
Content: Sharon Brown plans to incorporate cricket into her sports academy curriculum to enhance strategic thinking, patience, and planning among young athletes.</x:v>
      </x:c>
      <x:c r="H329" s="30" t="str">
        <x:v>Cricket</x:v>
      </x:c>
      <x:c r="I329" s="30" t="str">
        <x:v>Cricket</x:v>
      </x:c>
      <x:c r="J329" s="30" t="str">
        <x:v>Cricket</x:v>
      </x:c>
      <x:c r="K329" s="30" t="str">
        <x:v>Cricket</x:v>
      </x:c>
      <x:c r="L329" s="33" t="str"/>
      <x:c r="M329" s="33" t="str"/>
      <x:c r="N329" s="33" t="str"/>
      <x:c r="O329" s="33" t="str"/>
      <x:c r="P329" s="30" t="str">
        <x:f>IF(COUNTA(L329:O329)&lt;4,"未完成",IF(OR(L329="部分",L329="不充分",L329="不确定"),"evidence_definition_failure",IF(L329&lt;&gt;"充分","unresolved",IF(COUNTIF(M329:O329,"C")=0,"robust_generation_failure",IF(COUNTIF(M329:O329,"C")=3,"ua3_representation_or_admission_failure","generation_instability")))))</x:f>
        <x:v>unresolved</x:v>
      </x:c>
      <x:c r="Q329" s="33" t="str"/>
      <x:c r="R329" s="33" t="str"/>
      <x:c r="S329" s="33" t="str"/>
      <x:c r="T329" s="36"/>
      <x:c r="U329" s="33" t="str"/>
      <x:c r="V329" s="30" t="str">
        <x:f>IF(AND(L329&lt;&gt;"",M329&lt;&gt;"",N329&lt;&gt;"",O329&lt;&gt;"",Q329&lt;&gt;"",R329&lt;&gt;""),"完成","未完成")</x:f>
        <x:v>未完成</x:v>
      </x:c>
    </x:row>
    <x:row r="330" ht="63" customHeight="1">
      <x:c r="A330" s="30" t="n">
        <x:v>329</x:v>
      </x:c>
      <x:c r="B330" s="30" t="str">
        <x:v>memos_medium:2381</x:v>
      </x:c>
      <x:c r="C330" s="30" t="str">
        <x:v>medium</x:v>
      </x:c>
      <x:c r="D330" s="30" t="str">
        <x:v>Basic Fact Recall</x:v>
      </x:c>
      <x:c r="E330" s="30" t="str">
        <x:v>What new food preference did Williams Daniel develop after September 30, 2033?</x:v>
      </x:c>
      <x:c r="F330" s="30" t="str">
        <x:v>Traditional ramen</x:v>
      </x:c>
      <x:c r="G330" s="30" t="str">
        <x:v># Authoritative benchmark gold evidence
The following evidence is authoritative for answering the current question. Use it directly and do not rely on conflicting information.
Evidence 1
Memory type: Persona Memory
Content: Williams Daniel's food preference evolved to include traditional ramen after understanding its historical and cultural significance.</x:v>
      </x:c>
      <x:c r="H330" s="30" t="str">
        <x:v>No new food preference mentioned.</x:v>
      </x:c>
      <x:c r="I330" s="30" t="str">
        <x:v>Traditional ramen</x:v>
      </x:c>
      <x:c r="J330" s="30" t="str">
        <x:v>Traditional ramen</x:v>
      </x:c>
      <x:c r="K330" s="30" t="str">
        <x:v>Traditional ramen</x:v>
      </x:c>
      <x:c r="L330" s="33" t="str"/>
      <x:c r="M330" s="33" t="str"/>
      <x:c r="N330" s="33" t="str"/>
      <x:c r="O330" s="33" t="str"/>
      <x:c r="P330" s="30" t="str">
        <x:f>IF(COUNTA(L330:O330)&lt;4,"未完成",IF(OR(L330="部分",L330="不充分",L330="不确定"),"evidence_definition_failure",IF(L330&lt;&gt;"充分","unresolved",IF(COUNTIF(M330:O330,"C")=0,"robust_generation_failure",IF(COUNTIF(M330:O330,"C")=3,"ua3_representation_or_admission_failure","generation_instability")))))</x:f>
        <x:v>unresolved</x:v>
      </x:c>
      <x:c r="Q330" s="33" t="str"/>
      <x:c r="R330" s="33" t="str"/>
      <x:c r="S330" s="33" t="str"/>
      <x:c r="T330" s="36"/>
      <x:c r="U330" s="33" t="str"/>
      <x:c r="V330" s="30" t="str">
        <x:f>IF(AND(L330&lt;&gt;"",M330&lt;&gt;"",N330&lt;&gt;"",O330&lt;&gt;"",Q330&lt;&gt;"",R330&lt;&gt;""),"完成","未完成")</x:f>
        <x:v>未完成</x:v>
      </x:c>
    </x:row>
    <x:row r="331" ht="63" customHeight="1">
      <x:c r="A331" s="30" t="n">
        <x:v>330</x:v>
      </x:c>
      <x:c r="B331" s="30" t="str">
        <x:v>memos_medium:331</x:v>
      </x:c>
      <x:c r="C331" s="30" t="str">
        <x:v>medium</x:v>
      </x:c>
      <x:c r="D331" s="30" t="str">
        <x:v>Basic Fact Recall</x:v>
      </x:c>
      <x:c r="E331" s="30" t="str">
        <x:v>What type of books does Johnson prefer after Sep 02, 2041?</x:v>
      </x:c>
      <x:c r="F331" s="30" t="str">
        <x:v>Memoirs of successful entrepreneurs from various industries.</x:v>
      </x:c>
      <x:c r="G331" s="30" t="str">
        <x:v># Authoritative benchmark gold evidence
The following evidence is authoritative for answering the current question. Use it directly and do not rely on conflicting information.
Evidence 1
Memory type: Persona Memory
Content: Johnson Joseph's reading preference changed from liking biographies of hospitality leaders to liking memoirs of successful entrepreneurs from various industries.</x:v>
      </x:c>
      <x:c r="H331" s="30" t="str">
        <x:v>Memoirs of tech leaders.</x:v>
      </x:c>
      <x:c r="I331" s="30" t="str">
        <x:v>Memoirs of entrepreneurs</x:v>
      </x:c>
      <x:c r="J331" s="30" t="str">
        <x:v>Memoirs of entrepreneurs</x:v>
      </x:c>
      <x:c r="K331" s="30" t="str">
        <x:v>Memoirs of entrepreneurs</x:v>
      </x:c>
      <x:c r="L331" s="33" t="str"/>
      <x:c r="M331" s="33" t="str"/>
      <x:c r="N331" s="33" t="str"/>
      <x:c r="O331" s="33" t="str"/>
      <x:c r="P331" s="30" t="str">
        <x:f>IF(COUNTA(L331:O331)&lt;4,"未完成",IF(OR(L331="部分",L331="不充分",L331="不确定"),"evidence_definition_failure",IF(L331&lt;&gt;"充分","unresolved",IF(COUNTIF(M331:O331,"C")=0,"robust_generation_failure",IF(COUNTIF(M331:O331,"C")=3,"ua3_representation_or_admission_failure","generation_instability")))))</x:f>
        <x:v>unresolved</x:v>
      </x:c>
      <x:c r="Q331" s="33" t="str"/>
      <x:c r="R331" s="33" t="str"/>
      <x:c r="S331" s="33" t="str"/>
      <x:c r="T331" s="36"/>
      <x:c r="U331" s="33" t="str"/>
      <x:c r="V331" s="30" t="str">
        <x:f>IF(AND(L331&lt;&gt;"",M331&lt;&gt;"",N331&lt;&gt;"",O331&lt;&gt;"",Q331&lt;&gt;"",R331&lt;&gt;""),"完成","未完成")</x:f>
        <x:v>未完成</x:v>
      </x:c>
    </x:row>
    <x:row r="332" ht="63" customHeight="1">
      <x:c r="A332" s="30" t="n">
        <x:v>331</x:v>
      </x:c>
      <x:c r="B332" s="30" t="str">
        <x:v>memos_medium:1444</x:v>
      </x:c>
      <x:c r="C332" s="30" t="str">
        <x:v>medium</x:v>
      </x:c>
      <x:c r="D332" s="30" t="str">
        <x:v>Memory Conflict</x:v>
      </x:c>
      <x:c r="E332" s="30" t="str">
        <x:v>What is Jennifer Martin's job title at TechCloud Solutions as of Sep 05, 2025?</x:v>
      </x:c>
      <x:c r="F332" s="30" t="str">
        <x:v>Jennifer works at CloudTech Advisors as a Cloud Solutions Consultant.</x:v>
      </x:c>
      <x:c r="G332" s="30" t="str">
        <x:v># Authoritative benchmark gold evidence
The following evidence is authoritative for answering the current question. Use it directly and do not rely on conflicting information.
Evidence 1
Memory type: Persona Memory
Content: Jennifer Martin works at CloudTech Advisors
Evidence 2
Memory type: Persona Memory
Content: Jennifer Martin's job title is Cloud Solutions Consultant</x:v>
      </x:c>
      <x:c r="H332" s="30" t="str">
        <x:v>Senior Consultant</x:v>
      </x:c>
      <x:c r="I332" s="30" t="str">
        <x:v>Cloud Solutions Consultant</x:v>
      </x:c>
      <x:c r="J332" s="30" t="str">
        <x:v>Cloud Solutions Consultant</x:v>
      </x:c>
      <x:c r="K332" s="30" t="str">
        <x:v>Cloud Solutions Consultant</x:v>
      </x:c>
      <x:c r="L332" s="33" t="str"/>
      <x:c r="M332" s="33" t="str"/>
      <x:c r="N332" s="33" t="str"/>
      <x:c r="O332" s="33" t="str"/>
      <x:c r="P332" s="30" t="str">
        <x:f>IF(COUNTA(L332:O332)&lt;4,"未完成",IF(OR(L332="部分",L332="不充分",L332="不确定"),"evidence_definition_failure",IF(L332&lt;&gt;"充分","unresolved",IF(COUNTIF(M332:O332,"C")=0,"robust_generation_failure",IF(COUNTIF(M332:O332,"C")=3,"ua3_representation_or_admission_failure","generation_instability")))))</x:f>
        <x:v>unresolved</x:v>
      </x:c>
      <x:c r="Q332" s="33" t="str"/>
      <x:c r="R332" s="33" t="str"/>
      <x:c r="S332" s="33" t="str"/>
      <x:c r="T332" s="36"/>
      <x:c r="U332" s="33" t="str"/>
      <x:c r="V332" s="30" t="str">
        <x:f>IF(AND(L332&lt;&gt;"",M332&lt;&gt;"",N332&lt;&gt;"",O332&lt;&gt;"",Q332&lt;&gt;"",R332&lt;&gt;""),"完成","未完成")</x:f>
        <x:v>未完成</x:v>
      </x:c>
    </x:row>
    <x:row r="333" ht="63" customHeight="1">
      <x:c r="A333" s="30" t="n">
        <x:v>332</x:v>
      </x:c>
      <x:c r="B333" s="30" t="str">
        <x:v>memos_long:3213</x:v>
      </x:c>
      <x:c r="C333" s="30" t="str">
        <x:v>long</x:v>
      </x:c>
      <x:c r="D333" s="30" t="str">
        <x:v>Generalization &amp; Application</x:v>
      </x:c>
      <x:c r="E333" s="30" t="str">
        <x:v>Based on Barbara Jones's preference for nutrient-rich beverages, what new ingredient could she try in her juices for improved digestion as of Jul 26, 2036?</x:v>
      </x:c>
      <x:c r="F333" s="30" t="str">
        <x:v>Barbara could try adding ginger for digestion benefits.</x:v>
      </x:c>
      <x:c r="G333" s="30" t="str">
        <x:v># Authoritative benchmark gold evidence
The following evidence is authoritative for answering the current question. Use it directly and do not rely on conflicting information.
Evidence 1
Memory type: Persona Memory
Content: Barbara Jones modified her beverage preference to include freshly squeezed juices with added chia seeds for enhanced heart health benefits.
Evidence 2
Memory type: Persona Memory
Content: Barbara Jones values balancing taste preferences with nutritional benefits in her diet.</x:v>
      </x:c>
      <x:c r="H333" s="30" t="str">
        <x:v>Chia seeds for digestion.</x:v>
      </x:c>
      <x:c r="I333" s="30" t="str">
        <x:v>Ginger or mint.</x:v>
      </x:c>
      <x:c r="J333" s="30" t="str">
        <x:v>Ginger or mint.</x:v>
      </x:c>
      <x:c r="K333" s="30" t="str">
        <x:v>Ginger or mint.</x:v>
      </x:c>
      <x:c r="L333" s="33" t="str"/>
      <x:c r="M333" s="33" t="str"/>
      <x:c r="N333" s="33" t="str"/>
      <x:c r="O333" s="33" t="str"/>
      <x:c r="P333" s="30" t="str">
        <x:f>IF(COUNTA(L333:O333)&lt;4,"未完成",IF(OR(L333="部分",L333="不充分",L333="不确定"),"evidence_definition_failure",IF(L333&lt;&gt;"充分","unresolved",IF(COUNTIF(M333:O333,"C")=0,"robust_generation_failure",IF(COUNTIF(M333:O333,"C")=3,"ua3_representation_or_admission_failure","generation_instability")))))</x:f>
        <x:v>unresolved</x:v>
      </x:c>
      <x:c r="Q333" s="33" t="str"/>
      <x:c r="R333" s="33" t="str"/>
      <x:c r="S333" s="33" t="str"/>
      <x:c r="T333" s="36"/>
      <x:c r="U333" s="33" t="str"/>
      <x:c r="V333" s="30" t="str">
        <x:f>IF(AND(L333&lt;&gt;"",M333&lt;&gt;"",N333&lt;&gt;"",O333&lt;&gt;"",Q333&lt;&gt;"",R333&lt;&gt;""),"完成","未完成")</x:f>
        <x:v>未完成</x:v>
      </x:c>
    </x:row>
    <x:row r="334" ht="63" customHeight="1">
      <x:c r="A334" s="30" t="n">
        <x:v>333</x:v>
      </x:c>
      <x:c r="B334" s="30" t="str">
        <x:v>memos_medium:1634</x:v>
      </x:c>
      <x:c r="C334" s="30" t="str">
        <x:v>medium</x:v>
      </x:c>
      <x:c r="D334" s="30" t="str">
        <x:v>Basic Fact Recall</x:v>
      </x:c>
      <x:c r="E334" s="30" t="str">
        <x:v>What travel style did Susan Thompson adopt for short trips as of August 26, 2029?</x:v>
      </x:c>
      <x:c r="F334" s="30" t="str">
        <x:v>Backpacking</x:v>
      </x:c>
      <x:c r="G334" s="30" t="str">
        <x:v># Authoritative benchmark gold evidence
The following evidence is authoritative for answering the current question. Use it directly and do not rely on conflicting information.
Evidence 1
Memory type: Persona Memory
Content: Susan Thompson's travel preference has evolved to include backpacking as a viable travel style for short trips, reflecting a practical approach to balancing comfort with mobility and freedom.</x:v>
      </x:c>
      <x:c r="H334" s="30" t="str">
        <x:v>Backpacking with healthy food focus.</x:v>
      </x:c>
      <x:c r="I334" s="30" t="str">
        <x:v>Backpacking</x:v>
      </x:c>
      <x:c r="J334" s="30" t="str">
        <x:v>Backpacking</x:v>
      </x:c>
      <x:c r="K334" s="30" t="str">
        <x:v>Backpacking</x:v>
      </x:c>
      <x:c r="L334" s="33" t="str"/>
      <x:c r="M334" s="33" t="str"/>
      <x:c r="N334" s="33" t="str"/>
      <x:c r="O334" s="33" t="str"/>
      <x:c r="P334" s="30" t="str">
        <x:f>IF(COUNTA(L334:O334)&lt;4,"未完成",IF(OR(L334="部分",L334="不充分",L334="不确定"),"evidence_definition_failure",IF(L334&lt;&gt;"充分","unresolved",IF(COUNTIF(M334:O334,"C")=0,"robust_generation_failure",IF(COUNTIF(M334:O334,"C")=3,"ua3_representation_or_admission_failure","generation_instability")))))</x:f>
        <x:v>unresolved</x:v>
      </x:c>
      <x:c r="Q334" s="33" t="str"/>
      <x:c r="R334" s="33" t="str"/>
      <x:c r="S334" s="33" t="str"/>
      <x:c r="T334" s="36"/>
      <x:c r="U334" s="33" t="str"/>
      <x:c r="V334" s="30" t="str">
        <x:f>IF(AND(L334&lt;&gt;"",M334&lt;&gt;"",N334&lt;&gt;"",O334&lt;&gt;"",Q334&lt;&gt;"",R334&lt;&gt;""),"完成","未完成")</x:f>
        <x:v>未完成</x:v>
      </x:c>
    </x:row>
    <x:row r="335" ht="63" customHeight="1">
      <x:c r="A335" s="30" t="n">
        <x:v>334</x:v>
      </x:c>
      <x:c r="B335" s="30" t="str">
        <x:v>memos_long:1030</x:v>
      </x:c>
      <x:c r="C335" s="30" t="str">
        <x:v>long</x:v>
      </x:c>
      <x:c r="D335" s="30" t="str">
        <x:v>Generalization &amp; Application</x:v>
      </x:c>
      <x:c r="E335" s="30" t="str">
        <x:v>What new types of pets might Donna consider adopting after May 21, 2039?</x:v>
      </x:c>
      <x:c r="F335" s="30" t="str">
        <x:v>Donna might consider adopting rodents.</x:v>
      </x:c>
      <x:c r="G335" s="30" t="str">
        <x:v># Authoritative benchmark gold evidence
The following evidence is authoritative for answering the current question. Use it directly and do not rely on conflicting information.
Evidence 1
Memory type: Persona Memory
Content: Donna feels optimistic about integrating rodents into her life, seeing it as an opportunity to embrace diversity in her pet preferences.
Evidence 2
Memory type: Event Memory
Content: Repeated interactions with rodent pets revealed their charm and ease of care, leading to a change in Donna's preference.
Evidence 3
Memory type: Event Memory
Content: Donna shared anecdotes about a friend's hamster that demonstrated intelligence and affection, influencing her perception of rodents.</x:v>
      </x:c>
      <x:c r="H335" s="30" t="str">
        <x:v>Rodents and reptiles.</x:v>
      </x:c>
      <x:c r="I335" s="30" t="str">
        <x:v>Rodents</x:v>
      </x:c>
      <x:c r="J335" s="30" t="str">
        <x:v>Rodents</x:v>
      </x:c>
      <x:c r="K335" s="30" t="str">
        <x:v>Rodents</x:v>
      </x:c>
      <x:c r="L335" s="33" t="str"/>
      <x:c r="M335" s="33" t="str"/>
      <x:c r="N335" s="33" t="str"/>
      <x:c r="O335" s="33" t="str"/>
      <x:c r="P335" s="30" t="str">
        <x:f>IF(COUNTA(L335:O335)&lt;4,"未完成",IF(OR(L335="部分",L335="不充分",L335="不确定"),"evidence_definition_failure",IF(L335&lt;&gt;"充分","unresolved",IF(COUNTIF(M335:O335,"C")=0,"robust_generation_failure",IF(COUNTIF(M335:O335,"C")=3,"ua3_representation_or_admission_failure","generation_instability")))))</x:f>
        <x:v>unresolved</x:v>
      </x:c>
      <x:c r="Q335" s="33" t="str"/>
      <x:c r="R335" s="33" t="str"/>
      <x:c r="S335" s="33" t="str"/>
      <x:c r="T335" s="36"/>
      <x:c r="U335" s="33" t="str"/>
      <x:c r="V335" s="30" t="str">
        <x:f>IF(AND(L335&lt;&gt;"",M335&lt;&gt;"",N335&lt;&gt;"",O335&lt;&gt;"",Q335&lt;&gt;"",R335&lt;&gt;""),"完成","未完成")</x:f>
        <x:v>未完成</x:v>
      </x:c>
    </x:row>
    <x:row r="336" ht="63" customHeight="1">
      <x:c r="A336" s="30" t="n">
        <x:v>335</x:v>
      </x:c>
      <x:c r="B336" s="30" t="str">
        <x:v>memos_long:2899</x:v>
      </x:c>
      <x:c r="C336" s="30" t="str">
        <x:v>long</x:v>
      </x:c>
      <x:c r="D336" s="30" t="str">
        <x:v>Basic Fact Recall</x:v>
      </x:c>
      <x:c r="E336" s="30" t="str">
        <x:v>What is Donald Smith's preference regarding pets as of Oct 08, 2039?</x:v>
      </x:c>
      <x:c r="F336" s="30" t="str">
        <x:v>Donald Smith loves cats.</x:v>
      </x:c>
      <x:c r="G336" s="30" t="str">
        <x:v># Authoritative benchmark gold evidence
The following evidence is authoritative for answering the current question. Use it directly and do not rely on conflicting information.
Evidence 1
Memory type: Persona Memory
Content: Donald Smith reaffirmed his love for cats due to the playful nature of his new kitten, which adds joy and complements the independence he values in cats.</x:v>
      </x:c>
      <x:c r="H336" s="30" t="str">
        <x:v>Likes golden retrievers and cats.</x:v>
      </x:c>
      <x:c r="I336" s="30" t="str">
        <x:v>Loves cats.</x:v>
      </x:c>
      <x:c r="J336" s="30" t="str">
        <x:v>Loves cats.</x:v>
      </x:c>
      <x:c r="K336" s="30" t="str">
        <x:v>Loves cats.</x:v>
      </x:c>
      <x:c r="L336" s="33" t="str"/>
      <x:c r="M336" s="33" t="str"/>
      <x:c r="N336" s="33" t="str"/>
      <x:c r="O336" s="33" t="str"/>
      <x:c r="P336" s="30" t="str">
        <x:f>IF(COUNTA(L336:O336)&lt;4,"未完成",IF(OR(L336="部分",L336="不充分",L336="不确定"),"evidence_definition_failure",IF(L336&lt;&gt;"充分","unresolved",IF(COUNTIF(M336:O336,"C")=0,"robust_generation_failure",IF(COUNTIF(M336:O336,"C")=3,"ua3_representation_or_admission_failure","generation_instability")))))</x:f>
        <x:v>unresolved</x:v>
      </x:c>
      <x:c r="Q336" s="33" t="str"/>
      <x:c r="R336" s="33" t="str"/>
      <x:c r="S336" s="33" t="str"/>
      <x:c r="T336" s="36"/>
      <x:c r="U336" s="33" t="str"/>
      <x:c r="V336" s="30" t="str">
        <x:f>IF(AND(L336&lt;&gt;"",M336&lt;&gt;"",N336&lt;&gt;"",O336&lt;&gt;"",Q336&lt;&gt;"",R336&lt;&gt;""),"完成","未完成")</x:f>
        <x:v>未完成</x:v>
      </x:c>
    </x:row>
    <x:row r="337" ht="63" customHeight="1">
      <x:c r="A337" s="30" t="n">
        <x:v>336</x:v>
      </x:c>
      <x:c r="B337" s="30" t="str">
        <x:v>memos_medium:1361</x:v>
      </x:c>
      <x:c r="C337" s="30" t="str">
        <x:v>medium</x:v>
      </x:c>
      <x:c r="D337" s="30" t="str">
        <x:v>Generalization &amp; Application</x:v>
      </x:c>
      <x:c r="E337" s="30" t="str">
        <x:v>How might Ananya Sharma's social circle influence her sports interests in the future?</x:v>
      </x:c>
      <x:c r="F337" s="30" t="str">
        <x:v>Introduce her to new sports like tennis.</x:v>
      </x:c>
      <x:c r="G337" s="30" t="str">
        <x:v># Authoritative benchmark gold evidence
The following evidence is authoritative for answering the current question. Use it directly and do not rely on conflicting information.
Evidence 1
Memory type: Relationship Memory
Content: Ananya Sharma's social circle, including family, has influenced her to explore new sports interests.
Evidence 2
Memory type: Persona Memory
Content: Ananya Sharma is optimistic and curious as she adapts her sports preferences to suit her evolving interests.</x:v>
      </x:c>
      <x:c r="H337" s="30" t="str">
        <x:v>Not enough information.</x:v>
      </x:c>
      <x:c r="I337" s="30" t="str">
        <x:v>Explore new sports interests.</x:v>
      </x:c>
      <x:c r="J337" s="30" t="str">
        <x:v>Explore new sports interests.</x:v>
      </x:c>
      <x:c r="K337" s="30" t="str">
        <x:v>Explore new sports interests.</x:v>
      </x:c>
      <x:c r="L337" s="33" t="str"/>
      <x:c r="M337" s="33" t="str"/>
      <x:c r="N337" s="33" t="str"/>
      <x:c r="O337" s="33" t="str"/>
      <x:c r="P337" s="30" t="str">
        <x:f>IF(COUNTA(L337:O337)&lt;4,"未完成",IF(OR(L337="部分",L337="不充分",L337="不确定"),"evidence_definition_failure",IF(L337&lt;&gt;"充分","unresolved",IF(COUNTIF(M337:O337,"C")=0,"robust_generation_failure",IF(COUNTIF(M337:O337,"C")=3,"ua3_representation_or_admission_failure","generation_instability")))))</x:f>
        <x:v>unresolved</x:v>
      </x:c>
      <x:c r="Q337" s="33" t="str"/>
      <x:c r="R337" s="33" t="str"/>
      <x:c r="S337" s="33" t="str"/>
      <x:c r="T337" s="36"/>
      <x:c r="U337" s="33" t="str"/>
      <x:c r="V337" s="30" t="str">
        <x:f>IF(AND(L337&lt;&gt;"",M337&lt;&gt;"",N337&lt;&gt;"",O337&lt;&gt;"",Q337&lt;&gt;"",R337&lt;&gt;""),"完成","未完成")</x:f>
        <x:v>未完成</x:v>
      </x:c>
    </x:row>
    <x:row r="338" ht="63" customHeight="1">
      <x:c r="A338" s="30" t="n">
        <x:v>337</x:v>
      </x:c>
      <x:c r="B338" s="30" t="str">
        <x:v>memos_medium:1470</x:v>
      </x:c>
      <x:c r="C338" s="30" t="str">
        <x:v>medium</x:v>
      </x:c>
      <x:c r="D338" s="30" t="str">
        <x:v>Multi-hop Inference</x:v>
      </x:c>
      <x:c r="E338" s="30" t="str">
        <x:v>How did Jennifer Martin's health status change between Jul 15, 2027, and Nov 05, 2027?</x:v>
      </x:c>
      <x:c r="F338" s="30" t="str">
        <x:v>From poor to improved</x:v>
      </x:c>
      <x:c r="G338" s="30" t="str">
        <x:v># Authoritative benchmark gold evidence
The following evidence is authoritative for answering the current question. Use it directly and do not rely on conflicting information.
Evidence 1
Memory type: Persona Memory
Content: Jennifer Martin's physical health status changed from "Below Normal" to "Poor" and she is dealing with chronic fatigue.
Evidence 2
Memory type: Event Memory
Content: Jennifer Martin's health has improved as a result of her commitment to regular exercise and mindfulness practices.</x:v>
      </x:c>
      <x:c r="H338" s="30" t="str">
        <x:v>No change (remained Good).</x:v>
      </x:c>
      <x:c r="I338" s="30" t="str">
        <x:v>Improved from poor to better.</x:v>
      </x:c>
      <x:c r="J338" s="30" t="str">
        <x:v>Improved from poor to better.</x:v>
      </x:c>
      <x:c r="K338" s="30" t="str">
        <x:v>Improved from poor to better.</x:v>
      </x:c>
      <x:c r="L338" s="33" t="str"/>
      <x:c r="M338" s="33" t="str"/>
      <x:c r="N338" s="33" t="str"/>
      <x:c r="O338" s="33" t="str"/>
      <x:c r="P338" s="30" t="str">
        <x:f>IF(COUNTA(L338:O338)&lt;4,"未完成",IF(OR(L338="部分",L338="不充分",L338="不确定"),"evidence_definition_failure",IF(L338&lt;&gt;"充分","unresolved",IF(COUNTIF(M338:O338,"C")=0,"robust_generation_failure",IF(COUNTIF(M338:O338,"C")=3,"ua3_representation_or_admission_failure","generation_instability")))))</x:f>
        <x:v>unresolved</x:v>
      </x:c>
      <x:c r="Q338" s="33" t="str"/>
      <x:c r="R338" s="33" t="str"/>
      <x:c r="S338" s="33" t="str"/>
      <x:c r="T338" s="36"/>
      <x:c r="U338" s="33" t="str"/>
      <x:c r="V338" s="30" t="str">
        <x:f>IF(AND(L338&lt;&gt;"",M338&lt;&gt;"",N338&lt;&gt;"",O338&lt;&gt;"",Q338&lt;&gt;"",R338&lt;&gt;""),"完成","未完成")</x:f>
        <x:v>未完成</x:v>
      </x:c>
    </x:row>
    <x:row r="339" ht="63" customHeight="1">
      <x:c r="A339" s="30" t="n">
        <x:v>338</x:v>
      </x:c>
      <x:c r="B339" s="30" t="str">
        <x:v>memos_long:1828</x:v>
      </x:c>
      <x:c r="C339" s="30" t="str">
        <x:v>long</x:v>
      </x:c>
      <x:c r="D339" s="30" t="str">
        <x:v>Generalization &amp; Application</x:v>
      </x:c>
      <x:c r="E339" s="30" t="str">
        <x:v>What type of AI-driven strategy games would be suitable for Michelle Hernandez after June 18, 2030?</x:v>
      </x:c>
      <x:c r="F339" s="30" t="str">
        <x:v>Games that challenge analytical skills and offer emotional engagement.</x:v>
      </x:c>
      <x:c r="G339" s="30" t="str">
        <x:v># Authoritative benchmark gold evidence
The following evidence is authoritative for answering the current question. Use it directly and do not rely on conflicting information.
Evidence 1
Memory type: Persona Memory
Content: Michelle Hernandez is seeking recommendations for AI-driven strategy games that challenge her analytical skills and offer emotional engagement.
Evidence 2
Memory type: Persona Memory
Content: Michelle Hernandez is exploring more games that integrate AI, seeking titles that challenge her analytical skills while providing emotional engagement.</x:v>
      </x:c>
      <x:c r="H339" s="30" t="str">
        <x:v>Games challenging analytical skills.</x:v>
      </x:c>
      <x:c r="I339" s="30" t="str">
        <x:v>Games challenging analytical skills.</x:v>
      </x:c>
      <x:c r="J339" s="30" t="str">
        <x:v>Games challenging analytical skills.</x:v>
      </x:c>
      <x:c r="K339" s="30" t="str">
        <x:v>Games challenging analytical skills.</x:v>
      </x:c>
      <x:c r="L339" s="33" t="str"/>
      <x:c r="M339" s="33" t="str"/>
      <x:c r="N339" s="33" t="str"/>
      <x:c r="O339" s="33" t="str"/>
      <x:c r="P339" s="30" t="str">
        <x:f>IF(COUNTA(L339:O339)&lt;4,"未完成",IF(OR(L339="部分",L339="不充分",L339="不确定"),"evidence_definition_failure",IF(L339&lt;&gt;"充分","unresolved",IF(COUNTIF(M339:O339,"C")=0,"robust_generation_failure",IF(COUNTIF(M339:O339,"C")=3,"ua3_representation_or_admission_failure","generation_instability")))))</x:f>
        <x:v>unresolved</x:v>
      </x:c>
      <x:c r="Q339" s="33" t="str"/>
      <x:c r="R339" s="33" t="str"/>
      <x:c r="S339" s="33" t="str"/>
      <x:c r="T339" s="36"/>
      <x:c r="U339" s="33" t="str"/>
      <x:c r="V339" s="30" t="str">
        <x:f>IF(AND(L339&lt;&gt;"",M339&lt;&gt;"",N339&lt;&gt;"",O339&lt;&gt;"",Q339&lt;&gt;"",R339&lt;&gt;""),"完成","未完成")</x:f>
        <x:v>未完成</x:v>
      </x:c>
    </x:row>
    <x:row r="340" ht="63" customHeight="1">
      <x:c r="A340" s="30" t="n">
        <x:v>339</x:v>
      </x:c>
      <x:c r="B340" s="30" t="str">
        <x:v>memos_long:1756</x:v>
      </x:c>
      <x:c r="C340" s="30" t="str">
        <x:v>long</x:v>
      </x:c>
      <x:c r="D340" s="30" t="str">
        <x:v>Multi-hop Inference</x:v>
      </x:c>
      <x:c r="E340" s="30" t="str">
        <x:v>How did Susan Thompson's salary increase influence her ability to inspire others in the wellness sector?</x:v>
      </x:c>
      <x:c r="F340" s="30" t="str">
        <x:v>It enhanced her capacity to support other women.</x:v>
      </x:c>
      <x:c r="G340" s="30" t="str">
        <x:v># Authoritative benchmark gold evidence
The following evidence is authoritative for answering the current question. Use it directly and do not rely on conflicting information.
Evidence 1
Memory type: Event Memory
Content: Susan plans to allocate a portion of her increased income toward developing new wellness initiatives.
Evidence 2
Memory type: Event Memory
Content: Susan discussed the potential for her financial boost to enhance her ability to inspire and support other women.
Evidence 3
Memory type: Persona Memory
Content: Susan Thompson expressed empowerment and satisfaction with her recent achievements in financial stability and social influence, which she plans to leverage for expanding her wellness projects.</x:v>
      </x:c>
      <x:c r="H340" s="30" t="str">
        <x:v>Enabled health advocacy focus.</x:v>
      </x:c>
      <x:c r="I340" s="30" t="str">
        <x:v>Enhanced her ability to inspire.</x:v>
      </x:c>
      <x:c r="J340" s="30" t="str">
        <x:v>Enhanced her ability to inspire.</x:v>
      </x:c>
      <x:c r="K340" s="30" t="str">
        <x:v>Enhanced her ability to inspire.</x:v>
      </x:c>
      <x:c r="L340" s="33" t="str"/>
      <x:c r="M340" s="33" t="str"/>
      <x:c r="N340" s="33" t="str"/>
      <x:c r="O340" s="33" t="str"/>
      <x:c r="P340" s="30" t="str">
        <x:f>IF(COUNTA(L340:O340)&lt;4,"未完成",IF(OR(L340="部分",L340="不充分",L340="不确定"),"evidence_definition_failure",IF(L340&lt;&gt;"充分","unresolved",IF(COUNTIF(M340:O340,"C")=0,"robust_generation_failure",IF(COUNTIF(M340:O340,"C")=3,"ua3_representation_or_admission_failure","generation_instability")))))</x:f>
        <x:v>unresolved</x:v>
      </x:c>
      <x:c r="Q340" s="33" t="str"/>
      <x:c r="R340" s="33" t="str"/>
      <x:c r="S340" s="33" t="str"/>
      <x:c r="T340" s="36"/>
      <x:c r="U340" s="33" t="str"/>
      <x:c r="V340" s="30" t="str">
        <x:f>IF(AND(L340&lt;&gt;"",M340&lt;&gt;"",N340&lt;&gt;"",O340&lt;&gt;"",Q340&lt;&gt;"",R340&lt;&gt;""),"完成","未完成")</x:f>
        <x:v>未完成</x:v>
      </x:c>
    </x:row>
    <x:row r="341" ht="63" customHeight="1">
      <x:c r="A341" s="30" t="n">
        <x:v>340</x:v>
      </x:c>
      <x:c r="B341" s="30" t="str">
        <x:v>memos_medium:2236</x:v>
      </x:c>
      <x:c r="C341" s="30" t="str">
        <x:v>medium</x:v>
      </x:c>
      <x:c r="D341" s="30" t="str">
        <x:v>Dynamic Update</x:v>
      </x:c>
      <x:c r="E341" s="30" t="str">
        <x:v>How has Sharon Brown's focus on personal activities changed from Sep 20, 2035 to Sep 01, 2036?</x:v>
      </x:c>
      <x:c r="F341" s="30" t="str">
        <x:v>From health and family to family, hobbies, and new experiences.</x:v>
      </x:c>
      <x:c r="G341" s="30" t="str">
        <x:v># Authoritative benchmark gold evidence
The following evidence is authoritative for answering the current question. Use it directly and do not rely on conflicting information.
Evidence 1
Memory type: Persona Memory
Content: Sharon Brown is dedicating her time to personal health and family life post-retirement.
Evidence 2
Memory type: Persona Memory
Content: Sharon Brown's focus on personal fulfillment and well-being has become central to her daily routine in retirement, emphasizing family, hobbies, and new experiences.</x:v>
      </x:c>
      <x:c r="H341" s="30" t="str">
        <x:v>No change.</x:v>
      </x:c>
      <x:c r="I341" s="30" t="str">
        <x:v>No change in focus.</x:v>
      </x:c>
      <x:c r="J341" s="30" t="str">
        <x:v>No change in focus.</x:v>
      </x:c>
      <x:c r="K341" s="30" t="str">
        <x:v>No change in focus.</x:v>
      </x:c>
      <x:c r="L341" s="33" t="str"/>
      <x:c r="M341" s="33" t="str"/>
      <x:c r="N341" s="33" t="str"/>
      <x:c r="O341" s="33" t="str"/>
      <x:c r="P341" s="30" t="str">
        <x:f>IF(COUNTA(L341:O341)&lt;4,"未完成",IF(OR(L341="部分",L341="不充分",L341="不确定"),"evidence_definition_failure",IF(L341&lt;&gt;"充分","unresolved",IF(COUNTIF(M341:O341,"C")=0,"robust_generation_failure",IF(COUNTIF(M341:O341,"C")=3,"ua3_representation_or_admission_failure","generation_instability")))))</x:f>
        <x:v>unresolved</x:v>
      </x:c>
      <x:c r="Q341" s="33" t="str"/>
      <x:c r="R341" s="33" t="str"/>
      <x:c r="S341" s="33" t="str"/>
      <x:c r="T341" s="36"/>
      <x:c r="U341" s="33" t="str"/>
      <x:c r="V341" s="30" t="str">
        <x:f>IF(AND(L341&lt;&gt;"",M341&lt;&gt;"",N341&lt;&gt;"",O341&lt;&gt;"",Q341&lt;&gt;"",R341&lt;&gt;""),"完成","未完成")</x:f>
        <x:v>未完成</x:v>
      </x:c>
    </x:row>
    <x:row r="342" ht="63" customHeight="1">
      <x:c r="A342" s="30" t="n">
        <x:v>341</x:v>
      </x:c>
      <x:c r="B342" s="30" t="str">
        <x:v>memos_long:972</x:v>
      </x:c>
      <x:c r="C342" s="30" t="str">
        <x:v>long</x:v>
      </x:c>
      <x:c r="D342" s="30" t="str">
        <x:v>Generalization &amp; Application</x:v>
      </x:c>
      <x:c r="E342" s="30" t="str">
        <x:v>What type of snack might Donna prefer at a future health expo?</x:v>
      </x:c>
      <x:c r="F342" s="30" t="str">
        <x:v>Snacks made with natural ingredients.</x:v>
      </x:c>
      <x:c r="G342" s="30" t="str">
        <x:v># Authoritative benchmark gold evidence
The following evidence is authoritative for answering the current question. Use it directly and do not rely on conflicting information.
Evidence 1
Memory type: Event Memory
Content: Donna expressed excitement about discovering healthier processed snack options made with natural ingredients at a health expo.
Evidence 2
Memory type: Persona Memory
Content: Donna modified her food preference from disliking highly processed snacks to avoiding traditional processed snacks due to unhealthy ingredients, but being open to those with natural components.</x:v>
      </x:c>
      <x:c r="H342" s="30" t="str">
        <x:v>Healthier processed snacks</x:v>
      </x:c>
      <x:c r="I342" s="30" t="str">
        <x:v>Natural processed snacks</x:v>
      </x:c>
      <x:c r="J342" s="30" t="str">
        <x:v>Natural processed snacks</x:v>
      </x:c>
      <x:c r="K342" s="30" t="str">
        <x:v>Natural processed snacks</x:v>
      </x:c>
      <x:c r="L342" s="33" t="str"/>
      <x:c r="M342" s="33" t="str"/>
      <x:c r="N342" s="33" t="str"/>
      <x:c r="O342" s="33" t="str"/>
      <x:c r="P342" s="30" t="str">
        <x:f>IF(COUNTA(L342:O342)&lt;4,"未完成",IF(OR(L342="部分",L342="不充分",L342="不确定"),"evidence_definition_failure",IF(L342&lt;&gt;"充分","unresolved",IF(COUNTIF(M342:O342,"C")=0,"robust_generation_failure",IF(COUNTIF(M342:O342,"C")=3,"ua3_representation_or_admission_failure","generation_instability")))))</x:f>
        <x:v>unresolved</x:v>
      </x:c>
      <x:c r="Q342" s="33" t="str"/>
      <x:c r="R342" s="33" t="str"/>
      <x:c r="S342" s="33" t="str"/>
      <x:c r="T342" s="36"/>
      <x:c r="U342" s="33" t="str"/>
      <x:c r="V342" s="30" t="str">
        <x:f>IF(AND(L342&lt;&gt;"",M342&lt;&gt;"",N342&lt;&gt;"",O342&lt;&gt;"",Q342&lt;&gt;"",R342&lt;&gt;""),"完成","未完成")</x:f>
        <x:v>未完成</x:v>
      </x:c>
    </x:row>
    <x:row r="343" ht="63" customHeight="1">
      <x:c r="A343" s="30" t="n">
        <x:v>342</x:v>
      </x:c>
      <x:c r="B343" s="30" t="str">
        <x:v>memos_medium:3315</x:v>
      </x:c>
      <x:c r="C343" s="30" t="str">
        <x:v>medium</x:v>
      </x:c>
      <x:c r="D343" s="30" t="str">
        <x:v>Generalization &amp; Application</x:v>
      </x:c>
      <x:c r="E343" s="30" t="str">
        <x:v>What strategies can Christopher use to maintain the sustainability of his comprehensive care plans as of Mar 01, 2026?</x:v>
      </x:c>
      <x:c r="F343" s="30" t="str">
        <x:v>Foster collaboration with colleagues and book club members.</x:v>
      </x:c>
      <x:c r="G343" s="30" t="str">
        <x:v># Authoritative benchmark gold evidence
The following evidence is authoritative for answering the current question. Use it directly and do not rely on conflicting information.
Evidence 1
Memory type: Relationship Memory
Content: Christopher leveraged relationships with colleagues like Sarah and book club members like Sandra to gain insights for new initiatives, fostering a collaborative environment.
Evidence 2
Memory type: Event Memory
Content: Christopher emphasized the role of collaboration and competition in successfully implementing care plans and receiving positive feedback.
Evidence 3
Memory type: Relationship Memory
Content: Christopher reflected on the importance of maintaining collaborative and competitive relationships for the sustainability of his initiatives.</x:v>
      </x:c>
      <x:c r="H343" s="30" t="str">
        <x:v>Balance collaborative and competitive dynamics.</x:v>
      </x:c>
      <x:c r="I343" s="30" t="str">
        <x:v>Collaboration and competition.</x:v>
      </x:c>
      <x:c r="J343" s="30" t="str">
        <x:v>Collaboration and competition.</x:v>
      </x:c>
      <x:c r="K343" s="30" t="str">
        <x:v>Collaboration and competition.</x:v>
      </x:c>
      <x:c r="L343" s="33" t="str"/>
      <x:c r="M343" s="33" t="str"/>
      <x:c r="N343" s="33" t="str"/>
      <x:c r="O343" s="33" t="str"/>
      <x:c r="P343" s="30" t="str">
        <x:f>IF(COUNTA(L343:O343)&lt;4,"未完成",IF(OR(L343="部分",L343="不充分",L343="不确定"),"evidence_definition_failure",IF(L343&lt;&gt;"充分","unresolved",IF(COUNTIF(M343:O343,"C")=0,"robust_generation_failure",IF(COUNTIF(M343:O343,"C")=3,"ua3_representation_or_admission_failure","generation_instability")))))</x:f>
        <x:v>unresolved</x:v>
      </x:c>
      <x:c r="Q343" s="33" t="str"/>
      <x:c r="R343" s="33" t="str"/>
      <x:c r="S343" s="33" t="str"/>
      <x:c r="T343" s="36"/>
      <x:c r="U343" s="33" t="str"/>
      <x:c r="V343" s="30" t="str">
        <x:f>IF(AND(L343&lt;&gt;"",M343&lt;&gt;"",N343&lt;&gt;"",O343&lt;&gt;"",Q343&lt;&gt;"",R343&lt;&gt;""),"完成","未完成")</x:f>
        <x:v>未完成</x:v>
      </x:c>
    </x:row>
    <x:row r="344" ht="63" customHeight="1">
      <x:c r="A344" s="30" t="n">
        <x:v>343</x:v>
      </x:c>
      <x:c r="B344" s="30" t="str">
        <x:v>memos_long:549</x:v>
      </x:c>
      <x:c r="C344" s="30" t="str">
        <x:v>long</x:v>
      </x:c>
      <x:c r="D344" s="30" t="str">
        <x:v>Generalization &amp; Application</x:v>
      </x:c>
      <x:c r="E344" s="30" t="str">
        <x:v>What type of music event would likely align with Sarah Garcia's preferences after February 25, 2027?</x:v>
      </x:c>
      <x:c r="F344" s="30" t="str">
        <x:v>An uplifting and energetic music concert.</x:v>
      </x:c>
      <x:c r="G344" s="30" t="str">
        <x:v># Authoritative benchmark gold evidence
The following evidence is authoritative for answering the current question. Use it directly and do not rely on conflicting information.
Evidence 1
Memory type: Persona Memory
Content: Sarah Garcia prefers music that is uplifting and energetic.
Evidence 2
Memory type: Persona Memory
Content: Sarah Garcia's music preferences reflect her upbeat and positive personality.
Evidence 3
Memory type: Persona Memory
Content: Sarah Garcia uses music to maintain a positive outlook and energize her daily routine.</x:v>
      </x:c>
      <x:c r="H344" s="30" t="str">
        <x:v>Music event for focus</x:v>
      </x:c>
      <x:c r="I344" s="30" t="str">
        <x:v>Uplifting and energetic music.</x:v>
      </x:c>
      <x:c r="J344" s="30" t="str">
        <x:v>Uplifting and energetic music.</x:v>
      </x:c>
      <x:c r="K344" s="30" t="str">
        <x:v>Uplifting and energetic music.</x:v>
      </x:c>
      <x:c r="L344" s="33" t="str"/>
      <x:c r="M344" s="33" t="str"/>
      <x:c r="N344" s="33" t="str"/>
      <x:c r="O344" s="33" t="str"/>
      <x:c r="P344" s="30" t="str">
        <x:f>IF(COUNTA(L344:O344)&lt;4,"未完成",IF(OR(L344="部分",L344="不充分",L344="不确定"),"evidence_definition_failure",IF(L344&lt;&gt;"充分","unresolved",IF(COUNTIF(M344:O344,"C")=0,"robust_generation_failure",IF(COUNTIF(M344:O344,"C")=3,"ua3_representation_or_admission_failure","generation_instability")))))</x:f>
        <x:v>unresolved</x:v>
      </x:c>
      <x:c r="Q344" s="33" t="str"/>
      <x:c r="R344" s="33" t="str"/>
      <x:c r="S344" s="33" t="str"/>
      <x:c r="T344" s="36"/>
      <x:c r="U344" s="33" t="str"/>
      <x:c r="V344" s="30" t="str">
        <x:f>IF(AND(L344&lt;&gt;"",M344&lt;&gt;"",N344&lt;&gt;"",O344&lt;&gt;"",Q344&lt;&gt;"",R344&lt;&gt;""),"完成","未完成")</x:f>
        <x:v>未完成</x:v>
      </x:c>
    </x:row>
    <x:row r="345" ht="63" customHeight="1">
      <x:c r="A345" s="30" t="n">
        <x:v>344</x:v>
      </x:c>
      <x:c r="B345" s="30" t="str">
        <x:v>memos_medium:1548</x:v>
      </x:c>
      <x:c r="C345" s="30" t="str">
        <x:v>medium</x:v>
      </x:c>
      <x:c r="D345" s="30" t="str">
        <x:v>Generalization &amp; Application</x:v>
      </x:c>
      <x:c r="E345" s="30" t="str">
        <x:v>How does Jennifer's exploratory motivation influence her engagement at industry conferences in 2033?</x:v>
      </x:c>
      <x:c r="F345" s="30" t="str">
        <x:v>It drives her to test industry boundaries.</x:v>
      </x:c>
      <x:c r="G345" s="30" t="str">
        <x:v># Authoritative benchmark gold evidence
The following evidence is authoritative for answering the current question. Use it directly and do not rely on conflicting information.
Evidence 1
Memory type: Persona Memory
Content: Jennifer's exploratory motivation drives her to test industry boundaries and engage with philosophical and logical perspectives.
Evidence 2
Memory type: Event Memory
Content: Jennifer attended key conferences to establish herself as a thought leader in cloud computing.</x:v>
      </x:c>
      <x:c r="H345" s="30" t="str">
        <x:v>Not specified in memories.</x:v>
      </x:c>
      <x:c r="I345" s="30" t="str">
        <x:v>Tests industry boundaries.</x:v>
      </x:c>
      <x:c r="J345" s="30" t="str">
        <x:v>Tests industry boundaries.</x:v>
      </x:c>
      <x:c r="K345" s="30" t="str">
        <x:v>Tests industry boundaries.</x:v>
      </x:c>
      <x:c r="L345" s="33" t="str"/>
      <x:c r="M345" s="33" t="str"/>
      <x:c r="N345" s="33" t="str"/>
      <x:c r="O345" s="33" t="str"/>
      <x:c r="P345" s="30" t="str">
        <x:f>IF(COUNTA(L345:O345)&lt;4,"未完成",IF(OR(L345="部分",L345="不充分",L345="不确定"),"evidence_definition_failure",IF(L345&lt;&gt;"充分","unresolved",IF(COUNTIF(M345:O345,"C")=0,"robust_generation_failure",IF(COUNTIF(M345:O345,"C")=3,"ua3_representation_or_admission_failure","generation_instability")))))</x:f>
        <x:v>unresolved</x:v>
      </x:c>
      <x:c r="Q345" s="33" t="str"/>
      <x:c r="R345" s="33" t="str"/>
      <x:c r="S345" s="33" t="str"/>
      <x:c r="T345" s="36"/>
      <x:c r="U345" s="33" t="str"/>
      <x:c r="V345" s="30" t="str">
        <x:f>IF(AND(L345&lt;&gt;"",M345&lt;&gt;"",N345&lt;&gt;"",O345&lt;&gt;"",Q345&lt;&gt;"",R345&lt;&gt;""),"完成","未完成")</x:f>
        <x:v>未完成</x:v>
      </x:c>
    </x:row>
    <x:row r="346" ht="63" customHeight="1">
      <x:c r="A346" s="30" t="n">
        <x:v>345</x:v>
      </x:c>
      <x:c r="B346" s="30" t="str">
        <x:v>memos_long:2506</x:v>
      </x:c>
      <x:c r="C346" s="30" t="str">
        <x:v>long</x:v>
      </x:c>
      <x:c r="D346" s="30" t="str">
        <x:v>Generalization &amp; Application</x:v>
      </x:c>
      <x:c r="E346" s="30" t="str">
        <x:v>How might Steven Miller's productivity be affected by changing his beverage preferences on Jan 10, 2031?</x:v>
      </x:c>
      <x:c r="F346" s="30" t="str">
        <x:v>Switching to healthier options might improve his energy levels and productivity.</x:v>
      </x:c>
      <x:c r="G346" s="30" t="str">
        <x:v># Authoritative benchmark gold evidence
The following evidence is authoritative for answering the current question. Use it directly and do not rely on conflicting information.
Evidence 1
Memory type: Event Memory
Content: Steven Miller discussed implications of beverage preference changes on energy levels and productivity on Jan 10, 2031.
Evidence 2
Memory type: Event Memory
Content: Steven Miller expressed curiosity about how changes in beverage preferences might affect his daily routine on Jan 10, 2031.</x:v>
      </x:c>
      <x:c r="H346" s="30" t="str">
        <x:v>Unknown (no impact data).</x:v>
      </x:c>
      <x:c r="I346" s="30" t="str">
        <x:v>Energy levels and productivity.</x:v>
      </x:c>
      <x:c r="J346" s="30" t="str">
        <x:v>Energy levels and productivity.</x:v>
      </x:c>
      <x:c r="K346" s="30" t="str">
        <x:v>Energy levels and productivity.</x:v>
      </x:c>
      <x:c r="L346" s="33" t="str"/>
      <x:c r="M346" s="33" t="str"/>
      <x:c r="N346" s="33" t="str"/>
      <x:c r="O346" s="33" t="str"/>
      <x:c r="P346" s="30" t="str">
        <x:f>IF(COUNTA(L346:O346)&lt;4,"未完成",IF(OR(L346="部分",L346="不充分",L346="不确定"),"evidence_definition_failure",IF(L346&lt;&gt;"充分","unresolved",IF(COUNTIF(M346:O346,"C")=0,"robust_generation_failure",IF(COUNTIF(M346:O346,"C")=3,"ua3_representation_or_admission_failure","generation_instability")))))</x:f>
        <x:v>unresolved</x:v>
      </x:c>
      <x:c r="Q346" s="33" t="str"/>
      <x:c r="R346" s="33" t="str"/>
      <x:c r="S346" s="33" t="str"/>
      <x:c r="T346" s="36"/>
      <x:c r="U346" s="33" t="str"/>
      <x:c r="V346" s="30" t="str">
        <x:f>IF(AND(L346&lt;&gt;"",M346&lt;&gt;"",N346&lt;&gt;"",O346&lt;&gt;"",Q346&lt;&gt;"",R346&lt;&gt;""),"完成","未完成")</x:f>
        <x:v>未完成</x:v>
      </x:c>
    </x:row>
    <x:row r="347" ht="63" customHeight="1">
      <x:c r="A347" s="30" t="n">
        <x:v>346</x:v>
      </x:c>
      <x:c r="B347" s="30" t="str">
        <x:v>memos_long:1852</x:v>
      </x:c>
      <x:c r="C347" s="30" t="str">
        <x:v>long</x:v>
      </x:c>
      <x:c r="D347" s="30" t="str">
        <x:v>Generalization &amp; Application</x:v>
      </x:c>
      <x:c r="E347" s="30" t="str">
        <x:v>What other health-conscious lifestyle choices might Michelle Hernandez explore based on her preferences as of 2033-03-16?</x:v>
      </x:c>
      <x:c r="F347" s="30" t="str">
        <x:v>Michelle might explore organic foods or yoga.</x:v>
      </x:c>
      <x:c r="G347" s="30" t="str">
        <x:v>#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x:v>
      </x:c>
      <x:c r="H347" s="30" t="str">
        <x:v>Sustainable food technology collaborations.</x:v>
      </x:c>
      <x:c r="I347" s="30" t="str">
        <x:v>Natural flavored sparkling water.</x:v>
      </x:c>
      <x:c r="J347" s="30" t="str">
        <x:v>Natural flavored sparkling water.</x:v>
      </x:c>
      <x:c r="K347" s="30" t="str">
        <x:v>Natural flavored sparkling water.</x:v>
      </x:c>
      <x:c r="L347" s="33" t="str"/>
      <x:c r="M347" s="33" t="str"/>
      <x:c r="N347" s="33" t="str"/>
      <x:c r="O347" s="33" t="str"/>
      <x:c r="P347" s="30" t="str">
        <x:f>IF(COUNTA(L347:O347)&lt;4,"未完成",IF(OR(L347="部分",L347="不充分",L347="不确定"),"evidence_definition_failure",IF(L347&lt;&gt;"充分","unresolved",IF(COUNTIF(M347:O347,"C")=0,"robust_generation_failure",IF(COUNTIF(M347:O347,"C")=3,"ua3_representation_or_admission_failure","generation_instability")))))</x:f>
        <x:v>unresolved</x:v>
      </x:c>
      <x:c r="Q347" s="33" t="str"/>
      <x:c r="R347" s="33" t="str"/>
      <x:c r="S347" s="33" t="str"/>
      <x:c r="T347" s="36"/>
      <x:c r="U347" s="33" t="str"/>
      <x:c r="V347" s="30" t="str">
        <x:f>IF(AND(L347&lt;&gt;"",M347&lt;&gt;"",N347&lt;&gt;"",O347&lt;&gt;"",Q347&lt;&gt;"",R347&lt;&gt;""),"完成","未完成")</x:f>
        <x:v>未完成</x:v>
      </x:c>
    </x:row>
    <x:row r="348" ht="63" customHeight="1">
      <x:c r="A348" s="30" t="n">
        <x:v>347</x:v>
      </x:c>
      <x:c r="B348" s="30" t="str">
        <x:v>memos_long:923</x:v>
      </x:c>
      <x:c r="C348" s="30" t="str">
        <x:v>long</x:v>
      </x:c>
      <x:c r="D348" s="30" t="str">
        <x:v>Generalization &amp; Application</x:v>
      </x:c>
      <x:c r="E348" s="30" t="str">
        <x:v>How might Donna approach networking opportunities at tech events after April 10, 2029?</x:v>
      </x:c>
      <x:c r="F348" s="30" t="str">
        <x:v>Donna will prioritize popular tourist spots for networking.</x:v>
      </x:c>
      <x:c r="G348" s="30" t="str">
        <x:v># Authoritative benchmark gold evidence
The following evidence is authoritative for answering the current question. Use it directly and do not rely on conflicting information.
Evidence 1
Memory type: Event Memory
Content: Donna modified her travel preferences to include popular tourist spots for networking opportunities, recognizing their value in the tech sector.
Evidence 2
Memory type: Persona Memory
Content: Donna appreciates popular tourist spots for their potential in networking and identifying business opportunities in the tech sector.</x:v>
      </x:c>
      <x:c r="H348" s="30" t="str">
        <x:v>Balanced strategy for networking.</x:v>
      </x:c>
      <x:c r="I348" s="30" t="str">
        <x:v>Prioritize popular tourist spots.</x:v>
      </x:c>
      <x:c r="J348" s="30" t="str">
        <x:v>Prioritize popular tourist spots.</x:v>
      </x:c>
      <x:c r="K348" s="30" t="str">
        <x:v>Prioritize popular tourist spots.</x:v>
      </x:c>
      <x:c r="L348" s="33" t="str"/>
      <x:c r="M348" s="33" t="str"/>
      <x:c r="N348" s="33" t="str"/>
      <x:c r="O348" s="33" t="str"/>
      <x:c r="P348" s="30" t="str">
        <x:f>IF(COUNTA(L348:O348)&lt;4,"未完成",IF(OR(L348="部分",L348="不充分",L348="不确定"),"evidence_definition_failure",IF(L348&lt;&gt;"充分","unresolved",IF(COUNTIF(M348:O348,"C")=0,"robust_generation_failure",IF(COUNTIF(M348:O348,"C")=3,"ua3_representation_or_admission_failure","generation_instability")))))</x:f>
        <x:v>unresolved</x:v>
      </x:c>
      <x:c r="Q348" s="33" t="str"/>
      <x:c r="R348" s="33" t="str"/>
      <x:c r="S348" s="33" t="str"/>
      <x:c r="T348" s="36"/>
      <x:c r="U348" s="33" t="str"/>
      <x:c r="V348" s="30" t="str">
        <x:f>IF(AND(L348&lt;&gt;"",M348&lt;&gt;"",N348&lt;&gt;"",O348&lt;&gt;"",Q348&lt;&gt;"",R348&lt;&gt;""),"完成","未完成")</x:f>
        <x:v>未完成</x:v>
      </x:c>
    </x:row>
    <x:row r="349" ht="63" customHeight="1">
      <x:c r="A349" s="30" t="n">
        <x:v>348</x:v>
      </x:c>
      <x:c r="B349" s="30" t="str">
        <x:v>memos_long:36</x:v>
      </x:c>
      <x:c r="C349" s="30" t="str">
        <x:v>long</x:v>
      </x:c>
      <x:c r="D349" s="30" t="str">
        <x:v>Generalization &amp; Application</x:v>
      </x:c>
      <x:c r="E349" s="30" t="str">
        <x:v>Given Martin's interest in heavy metal music as of Jul 27, 2027, what type of music might he explore next for relaxation?</x:v>
      </x:c>
      <x:c r="F349" s="30" t="str">
        <x:v>Ambient or jazz music.</x:v>
      </x:c>
      <x:c r="G349" s="30" t="str">
        <x:v># Authoritative benchmark gold evidence
The following evidence is authoritative for answering the current question. Use it directly and do not rely on conflicting information.
Evidence 1
Memory type: Persona Memory
Content: Martin expressed curiosity about integrating heavy metal into his relaxation routine, alongside ambient and jazz music.
Evidence 2
Memory type: Persona Memory
Content: Martin's exploratory motivation leads him to test boundaries and discover new ways to unwind through music choices, including heavy metal, jazz, and classical music.</x:v>
      </x:c>
      <x:c r="H349" s="30" t="str">
        <x:v>Heavy metal music.</x:v>
      </x:c>
      <x:c r="I349" s="30" t="str">
        <x:v>Heavy metal, jazz, classical.</x:v>
      </x:c>
      <x:c r="J349" s="30" t="str">
        <x:v>Heavy metal, jazz, classical.</x:v>
      </x:c>
      <x:c r="K349" s="30" t="str">
        <x:v>Heavy metal, jazz, classical.</x:v>
      </x:c>
      <x:c r="L349" s="33" t="str"/>
      <x:c r="M349" s="33" t="str"/>
      <x:c r="N349" s="33" t="str"/>
      <x:c r="O349" s="33" t="str"/>
      <x:c r="P349" s="30" t="str">
        <x:f>IF(COUNTA(L349:O349)&lt;4,"未完成",IF(OR(L349="部分",L349="不充分",L349="不确定"),"evidence_definition_failure",IF(L349&lt;&gt;"充分","unresolved",IF(COUNTIF(M349:O349,"C")=0,"robust_generation_failure",IF(COUNTIF(M349:O349,"C")=3,"ua3_representation_or_admission_failure","generation_instability")))))</x:f>
        <x:v>unresolved</x:v>
      </x:c>
      <x:c r="Q349" s="33" t="str"/>
      <x:c r="R349" s="33" t="str"/>
      <x:c r="S349" s="33" t="str"/>
      <x:c r="T349" s="36"/>
      <x:c r="U349" s="33" t="str"/>
      <x:c r="V349" s="30" t="str">
        <x:f>IF(AND(L349&lt;&gt;"",M349&lt;&gt;"",N349&lt;&gt;"",O349&lt;&gt;"",Q349&lt;&gt;"",R349&lt;&gt;""),"完成","未完成")</x:f>
        <x:v>未完成</x:v>
      </x:c>
    </x:row>
    <x:row r="350" ht="63" customHeight="1">
      <x:c r="A350" s="30" t="n">
        <x:v>349</x:v>
      </x:c>
      <x:c r="B350" s="30" t="str">
        <x:v>memos_medium:2404</x:v>
      </x:c>
      <x:c r="C350" s="30" t="str">
        <x:v>medium</x:v>
      </x:c>
      <x:c r="D350" s="30" t="str">
        <x:v>Basic Fact Recall</x:v>
      </x:c>
      <x:c r="E350" s="30" t="str">
        <x:v>What is Williams Daniel's reading preference as of January 14, 2035?</x:v>
      </x:c>
      <x:c r="F350" s="30" t="str">
        <x:v>Biographies of 18th-century figures.</x:v>
      </x:c>
      <x:c r="G350" s="30" t="str">
        <x:v># Authoritative benchmark gold evidence
The following evidence is authoritative for answering the current question. Use it directly and do not rely on conflicting information.
Evidence 1
Memory type: Persona Memory
Content: Williams Daniel's reading preference is focused on biographies of 18th-century figures to enhance storytelling and historical film accuracy.</x:v>
      </x:c>
      <x:c r="H350" s="30" t="str">
        <x:v>Historical biographies and Victorian literature.</x:v>
      </x:c>
      <x:c r="I350" s="30" t="str">
        <x:v>18th-century biographies</x:v>
      </x:c>
      <x:c r="J350" s="30" t="str">
        <x:v>18th-century biographies</x:v>
      </x:c>
      <x:c r="K350" s="30" t="str">
        <x:v>18th-century biographies</x:v>
      </x:c>
      <x:c r="L350" s="33" t="str"/>
      <x:c r="M350" s="33" t="str"/>
      <x:c r="N350" s="33" t="str"/>
      <x:c r="O350" s="33" t="str"/>
      <x:c r="P350" s="30" t="str">
        <x:f>IF(COUNTA(L350:O350)&lt;4,"未完成",IF(OR(L350="部分",L350="不充分",L350="不确定"),"evidence_definition_failure",IF(L350&lt;&gt;"充分","unresolved",IF(COUNTIF(M350:O350,"C")=0,"robust_generation_failure",IF(COUNTIF(M350:O350,"C")=3,"ua3_representation_or_admission_failure","generation_instability")))))</x:f>
        <x:v>unresolved</x:v>
      </x:c>
      <x:c r="Q350" s="33" t="str"/>
      <x:c r="R350" s="33" t="str"/>
      <x:c r="S350" s="33" t="str"/>
      <x:c r="T350" s="36"/>
      <x:c r="U350" s="33" t="str"/>
      <x:c r="V350" s="30" t="str">
        <x:f>IF(AND(L350&lt;&gt;"",M350&lt;&gt;"",N350&lt;&gt;"",O350&lt;&gt;"",Q350&lt;&gt;"",R350&lt;&gt;""),"完成","未完成")</x:f>
        <x:v>未完成</x:v>
      </x:c>
    </x:row>
    <x:row r="351" ht="63" customHeight="1">
      <x:c r="A351" s="30" t="n">
        <x:v>350</x:v>
      </x:c>
      <x:c r="B351" s="30" t="str">
        <x:v>memos_medium:2278</x:v>
      </x:c>
      <x:c r="C351" s="30" t="str">
        <x:v>medium</x:v>
      </x:c>
      <x:c r="D351" s="30" t="str">
        <x:v>Generalization &amp; Application</x:v>
      </x:c>
      <x:c r="E351" s="30" t="str">
        <x:v>How might Williams Daniel manage his research and creative tasks for upcoming projects in 2027?</x:v>
      </x:c>
      <x:c r="F351" s="30" t="str">
        <x:v>Seek efficient management advice.</x:v>
      </x:c>
      <x:c r="G351" s="30" t="str">
        <x:v># Authoritative benchmark gold evidence
The following evidence is authoritative for answering the current question. Use it directly and do not rely on conflicting information.
Evidence 1
Memory type: Persona Memory
Content: Williams Daniel seeks advice on efficiently managing research tasks alongside creative work.
Evidence 2
Memory type: Event Memory
Content: Williams Daniel discussed the challenge of balancing research time with creative project management.</x:v>
      </x:c>
      <x:c r="H351" s="30" t="str">
        <x:v>Focus on relevant aspects.</x:v>
      </x:c>
      <x:c r="I351" s="30" t="str">
        <x:v>Seek advice on task management.</x:v>
      </x:c>
      <x:c r="J351" s="30" t="str">
        <x:v>Seek advice on task management.</x:v>
      </x:c>
      <x:c r="K351" s="30" t="str">
        <x:v>Seek advice on task management.</x:v>
      </x:c>
      <x:c r="L351" s="33" t="str"/>
      <x:c r="M351" s="33" t="str"/>
      <x:c r="N351" s="33" t="str"/>
      <x:c r="O351" s="33" t="str"/>
      <x:c r="P351" s="30" t="str">
        <x:f>IF(COUNTA(L351:O351)&lt;4,"未完成",IF(OR(L351="部分",L351="不充分",L351="不确定"),"evidence_definition_failure",IF(L351&lt;&gt;"充分","unresolved",IF(COUNTIF(M351:O351,"C")=0,"robust_generation_failure",IF(COUNTIF(M351:O351,"C")=3,"ua3_representation_or_admission_failure","generation_instability")))))</x:f>
        <x:v>unresolved</x:v>
      </x:c>
      <x:c r="Q351" s="33" t="str"/>
      <x:c r="R351" s="33" t="str"/>
      <x:c r="S351" s="33" t="str"/>
      <x:c r="T351" s="36"/>
      <x:c r="U351" s="33" t="str"/>
      <x:c r="V351" s="30" t="str">
        <x:f>IF(AND(L351&lt;&gt;"",M351&lt;&gt;"",N351&lt;&gt;"",O351&lt;&gt;"",Q351&lt;&gt;"",R351&lt;&gt;""),"完成","未完成")</x:f>
        <x:v>未完成</x:v>
      </x:c>
    </x:row>
    <x:row r="352" ht="63" customHeight="1">
      <x:c r="A352" s="30" t="n">
        <x:v>351</x:v>
      </x:c>
      <x:c r="B352" s="30" t="str">
        <x:v>memos_long:1865</x:v>
      </x:c>
      <x:c r="C352" s="30" t="str">
        <x:v>long</x:v>
      </x:c>
      <x:c r="D352" s="30" t="str">
        <x:v>Generalization &amp; Application</x:v>
      </x:c>
      <x:c r="E352" s="30" t="str">
        <x:v>How can Michelle's belief in AI's potential impact her leadership style in 2034?</x:v>
      </x:c>
      <x:c r="F352" s="30" t="str">
        <x:v>It drives optimism and visionary planning.</x:v>
      </x:c>
      <x:c r="G352" s="30" t="str">
        <x:v># Authoritative benchmark gold evidence
The following evidence is authoritative for answering the current question. Use it directly and do not rely on conflicting information.
Evidence 1
Memory type: Persona Memory
Content: Michelle Hernandez remains optimistic about her startup's future despite the stress of managing it, driven by her belief in AI's transformative potential and the support of her team.
Evidence 2
Memory type: Persona Memory
Content: Michelle felt more confident in her leadership and optimistic about the future growth and innovation of Visionary AI Solutions.</x:v>
      </x:c>
      <x:c r="H352" s="30" t="str">
        <x:v>Not enough information.</x:v>
      </x:c>
      <x:c r="I352" s="30" t="str">
        <x:v>Optimistic and transformative.</x:v>
      </x:c>
      <x:c r="J352" s="30" t="str">
        <x:v>Optimistic and transformative.</x:v>
      </x:c>
      <x:c r="K352" s="30" t="str">
        <x:v>Optimistic and transformative.</x:v>
      </x:c>
      <x:c r="L352" s="33" t="str"/>
      <x:c r="M352" s="33" t="str"/>
      <x:c r="N352" s="33" t="str"/>
      <x:c r="O352" s="33" t="str"/>
      <x:c r="P352" s="30" t="str">
        <x:f>IF(COUNTA(L352:O352)&lt;4,"未完成",IF(OR(L352="部分",L352="不充分",L352="不确定"),"evidence_definition_failure",IF(L352&lt;&gt;"充分","unresolved",IF(COUNTIF(M352:O352,"C")=0,"robust_generation_failure",IF(COUNTIF(M352:O352,"C")=3,"ua3_representation_or_admission_failure","generation_instability")))))</x:f>
        <x:v>unresolved</x:v>
      </x:c>
      <x:c r="Q352" s="33" t="str"/>
      <x:c r="R352" s="33" t="str"/>
      <x:c r="S352" s="33" t="str"/>
      <x:c r="T352" s="36"/>
      <x:c r="U352" s="33" t="str"/>
      <x:c r="V352" s="30" t="str">
        <x:f>IF(AND(L352&lt;&gt;"",M352&lt;&gt;"",N352&lt;&gt;"",O352&lt;&gt;"",Q352&lt;&gt;"",R352&lt;&gt;""),"完成","未完成")</x:f>
        <x:v>未完成</x:v>
      </x:c>
    </x:row>
    <x:row r="353" ht="63" customHeight="1">
      <x:c r="A353" s="30" t="n">
        <x:v>352</x:v>
      </x:c>
      <x:c r="B353" s="30" t="str">
        <x:v>memos_long:1231</x:v>
      </x:c>
      <x:c r="C353" s="30" t="str">
        <x:v>long</x:v>
      </x:c>
      <x:c r="D353" s="30" t="str">
        <x:v>Generalization &amp; Application</x:v>
      </x:c>
      <x:c r="E353" s="30" t="str">
        <x:v>What strategic approach might Taylor take to influence nutrition policy reforms in 2043?</x:v>
      </x:c>
      <x:c r="F353" s="30" t="str">
        <x:v>Leverage expanded network and AI tools.</x:v>
      </x:c>
      <x:c r="G353" s="30" t="str">
        <x:v># Authoritative benchmark gold evidence
The following evidence is authoritative for answering the current question. Use it directly and do not rely on conflicting information.
Evidence 1
Memory type: Relationship Memory
Content: Taylor David's social relationships have expanded to include ChenLi, a key policy maker in the nutrition sector, who collaborates with him to implement impactful policy reforms.
Evidence 2
Memory type: Persona Memory
Content: Taylor David uses AI tools to analyze data quickly and identify trends, improving efficiency in his advocacy work.</x:v>
      </x:c>
      <x:c r="H353" s="30" t="str">
        <x:v>Collaborate with policy makers.</x:v>
      </x:c>
      <x:c r="I353" s="30" t="str">
        <x:v>Collaborate with ChenLi.</x:v>
      </x:c>
      <x:c r="J353" s="30" t="str">
        <x:v>Collaborate with ChenLi.</x:v>
      </x:c>
      <x:c r="K353" s="30" t="str">
        <x:v>Collaborate with ChenLi.</x:v>
      </x:c>
      <x:c r="L353" s="33" t="str"/>
      <x:c r="M353" s="33" t="str"/>
      <x:c r="N353" s="33" t="str"/>
      <x:c r="O353" s="33" t="str"/>
      <x:c r="P353" s="30" t="str">
        <x:f>IF(COUNTA(L353:O353)&lt;4,"未完成",IF(OR(L353="部分",L353="不充分",L353="不确定"),"evidence_definition_failure",IF(L353&lt;&gt;"充分","unresolved",IF(COUNTIF(M353:O353,"C")=0,"robust_generation_failure",IF(COUNTIF(M353:O353,"C")=3,"ua3_representation_or_admission_failure","generation_instability")))))</x:f>
        <x:v>unresolved</x:v>
      </x:c>
      <x:c r="Q353" s="33" t="str"/>
      <x:c r="R353" s="33" t="str"/>
      <x:c r="S353" s="33" t="str"/>
      <x:c r="T353" s="36"/>
      <x:c r="U353" s="33" t="str"/>
      <x:c r="V353" s="30" t="str">
        <x:f>IF(AND(L353&lt;&gt;"",M353&lt;&gt;"",N353&lt;&gt;"",O353&lt;&gt;"",Q353&lt;&gt;"",R353&lt;&gt;""),"完成","未完成")</x:f>
        <x:v>未完成</x:v>
      </x:c>
    </x:row>
    <x:row r="354" ht="63" customHeight="1">
      <x:c r="A354" s="30" t="n">
        <x:v>353</x:v>
      </x:c>
      <x:c r="B354" s="30" t="str">
        <x:v>memos_long:1608</x:v>
      </x:c>
      <x:c r="C354" s="30" t="str">
        <x:v>long</x:v>
      </x:c>
      <x:c r="D354" s="30" t="str">
        <x:v>Basic Fact Recall</x:v>
      </x:c>
      <x:c r="E354" s="30" t="str">
        <x:v>What is Susan Thompson's career status as of June 25, 2027?</x:v>
      </x:c>
      <x:c r="F354" s="30" t="str">
        <x:v>Retired</x:v>
      </x:c>
      <x:c r="G354" s="30" t="str">
        <x:v># Authoritative benchmark gold evidence
The following evidence is authoritative for answering the current question. Use it directly and do not rely on conflicting information.
Evidence 1
Memory type: Persona Memory
Content: Susan Thompson's career_status updated employment_status from "unemployed" to "retired"</x:v>
      </x:c>
      <x:c r="H354" s="30" t="str">
        <x:v>Preparing for retirement.</x:v>
      </x:c>
      <x:c r="I354" s="30" t="str">
        <x:v>Retired</x:v>
      </x:c>
      <x:c r="J354" s="30" t="str">
        <x:v>Retired</x:v>
      </x:c>
      <x:c r="K354" s="30" t="str">
        <x:v>Retired</x:v>
      </x:c>
      <x:c r="L354" s="33" t="str"/>
      <x:c r="M354" s="33" t="str"/>
      <x:c r="N354" s="33" t="str"/>
      <x:c r="O354" s="33" t="str"/>
      <x:c r="P354" s="30" t="str">
        <x:f>IF(COUNTA(L354:O354)&lt;4,"未完成",IF(OR(L354="部分",L354="不充分",L354="不确定"),"evidence_definition_failure",IF(L354&lt;&gt;"充分","unresolved",IF(COUNTIF(M354:O354,"C")=0,"robust_generation_failure",IF(COUNTIF(M354:O354,"C")=3,"ua3_representation_or_admission_failure","generation_instability")))))</x:f>
        <x:v>unresolved</x:v>
      </x:c>
      <x:c r="Q354" s="33" t="str"/>
      <x:c r="R354" s="33" t="str"/>
      <x:c r="S354" s="33" t="str"/>
      <x:c r="T354" s="36"/>
      <x:c r="U354" s="33" t="str"/>
      <x:c r="V354" s="30" t="str">
        <x:f>IF(AND(L354&lt;&gt;"",M354&lt;&gt;"",N354&lt;&gt;"",O354&lt;&gt;"",Q354&lt;&gt;"",R354&lt;&gt;""),"完成","未完成")</x:f>
        <x:v>未完成</x:v>
      </x:c>
    </x:row>
    <x:row r="355" ht="63" customHeight="1">
      <x:c r="A355" s="30" t="n">
        <x:v>354</x:v>
      </x:c>
      <x:c r="B355" s="30" t="str">
        <x:v>memos_medium:9</x:v>
      </x:c>
      <x:c r="C355" s="30" t="str">
        <x:v>medium</x:v>
      </x:c>
      <x:c r="D355" s="30" t="str">
        <x:v>Basic Fact Recall</x:v>
      </x:c>
      <x:c r="E355" s="30" t="str">
        <x:v>What type of pets does Martin Mark like?</x:v>
      </x:c>
      <x:c r="F355" s="30" t="str">
        <x:v>Dogs, cats, and parrots.</x:v>
      </x:c>
      <x:c r="G355" s="30" t="str">
        <x:v># Authoritative benchmark gold evidence
The following evidence is authoritative for answering the current question. Use it directly and do not rely on conflicting information.
Evidence 1
Memory type: Persona Memory
Content: Martin Mark Pets I like: Dogs, especially Labradors
Evidence 2
Memory type: Persona Memory
Content: Martin Mark Pets I like: Cats
Evidence 3
Memory type: Persona Memory
Content: Martin Mark Pets I like: Parrots</x:v>
      </x:c>
      <x:c r="H355" s="30" t="str">
        <x:v>Parrots and turtles.</x:v>
      </x:c>
      <x:c r="I355" s="30" t="str">
        <x:v>Dogs, cats, and parrots</x:v>
      </x:c>
      <x:c r="J355" s="30" t="str">
        <x:v>Dogs, cats, and parrots</x:v>
      </x:c>
      <x:c r="K355" s="30" t="str">
        <x:v>Dogs, cats, and parrots</x:v>
      </x:c>
      <x:c r="L355" s="33" t="str"/>
      <x:c r="M355" s="33" t="str"/>
      <x:c r="N355" s="33" t="str"/>
      <x:c r="O355" s="33" t="str"/>
      <x:c r="P355" s="30" t="str">
        <x:f>IF(COUNTA(L355:O355)&lt;4,"未完成",IF(OR(L355="部分",L355="不充分",L355="不确定"),"evidence_definition_failure",IF(L355&lt;&gt;"充分","unresolved",IF(COUNTIF(M355:O355,"C")=0,"robust_generation_failure",IF(COUNTIF(M355:O355,"C")=3,"ua3_representation_or_admission_failure","generation_instability")))))</x:f>
        <x:v>unresolved</x:v>
      </x:c>
      <x:c r="Q355" s="33" t="str"/>
      <x:c r="R355" s="33" t="str"/>
      <x:c r="S355" s="33" t="str"/>
      <x:c r="T355" s="36"/>
      <x:c r="U355" s="33" t="str"/>
      <x:c r="V355" s="30" t="str">
        <x:f>IF(AND(L355&lt;&gt;"",M355&lt;&gt;"",N355&lt;&gt;"",O355&lt;&gt;"",Q355&lt;&gt;"",R355&lt;&gt;""),"完成","未完成")</x:f>
        <x:v>未完成</x:v>
      </x:c>
    </x:row>
    <x:row r="356" ht="63" customHeight="1">
      <x:c r="A356" s="30" t="n">
        <x:v>355</x:v>
      </x:c>
      <x:c r="B356" s="30" t="str">
        <x:v>memos_medium:2527</x:v>
      </x:c>
      <x:c r="C356" s="30" t="str">
        <x:v>medium</x:v>
      </x:c>
      <x:c r="D356" s="30" t="str">
        <x:v>Basic Fact Recall</x:v>
      </x:c>
      <x:c r="E356" s="30" t="str">
        <x:v>What new practice did Steven Miller adopt by April 20, 2032, to reduce stress?</x:v>
      </x:c>
      <x:c r="F356" s="30" t="str">
        <x:v>Mindfulness practices</x:v>
      </x:c>
      <x:c r="G356" s="30" t="str">
        <x:v># Authoritative benchmark gold evidence
The following evidence is authoritative for answering the current question. Use it directly and do not rely on conflicting information.
Evidence 1
Memory type: Event Memory
Content: Steven Miller adopted mindfulness practices to reduce stress and improve well-being.</x:v>
      </x:c>
      <x:c r="H356" s="30" t="str">
        <x:v>Mindfulness and dietary adjustments.</x:v>
      </x:c>
      <x:c r="I356" s="30" t="str">
        <x:v>Mindfulness practices</x:v>
      </x:c>
      <x:c r="J356" s="30" t="str">
        <x:v>Mindfulness practices</x:v>
      </x:c>
      <x:c r="K356" s="30" t="str">
        <x:v>Mindfulness practices</x:v>
      </x:c>
      <x:c r="L356" s="33" t="str"/>
      <x:c r="M356" s="33" t="str"/>
      <x:c r="N356" s="33" t="str"/>
      <x:c r="O356" s="33" t="str"/>
      <x:c r="P356" s="30" t="str">
        <x:f>IF(COUNTA(L356:O356)&lt;4,"未完成",IF(OR(L356="部分",L356="不充分",L356="不确定"),"evidence_definition_failure",IF(L356&lt;&gt;"充分","unresolved",IF(COUNTIF(M356:O356,"C")=0,"robust_generation_failure",IF(COUNTIF(M356:O356,"C")=3,"ua3_representation_or_admission_failure","generation_instability")))))</x:f>
        <x:v>unresolved</x:v>
      </x:c>
      <x:c r="Q356" s="33" t="str"/>
      <x:c r="R356" s="33" t="str"/>
      <x:c r="S356" s="33" t="str"/>
      <x:c r="T356" s="36"/>
      <x:c r="U356" s="33" t="str"/>
      <x:c r="V356" s="30" t="str">
        <x:f>IF(AND(L356&lt;&gt;"",M356&lt;&gt;"",N356&lt;&gt;"",O356&lt;&gt;"",Q356&lt;&gt;"",R356&lt;&gt;""),"完成","未完成")</x:f>
        <x:v>未完成</x:v>
      </x:c>
    </x:row>
    <x:row r="357" ht="63" customHeight="1">
      <x:c r="A357" s="30" t="n">
        <x:v>356</x:v>
      </x:c>
      <x:c r="B357" s="30" t="str">
        <x:v>memos_long:3075</x:v>
      </x:c>
      <x:c r="C357" s="30" t="str">
        <x:v>long</x:v>
      </x:c>
      <x:c r="D357" s="30" t="str">
        <x:v>Multi-hop Inference</x:v>
      </x:c>
      <x:c r="E357" s="30" t="str">
        <x:v>How did Karen's strategic partnerships evolve from Feb 15, 2040, to Jun 16, 2040, and impact her platform?</x:v>
      </x:c>
      <x:c r="F357" s="30" t="str">
        <x:v>They facilitated advancements in features and scalability.</x:v>
      </x:c>
      <x:c r="G357" s="30" t="str">
        <x:v># Authoritative benchmark gold evidence
The following evidence is authoritative for answering the current question. Use it directly and do not rely on conflicting information.
Evidence 1
Memory type: Event Memory
Content: Karen Brown is optimistic about the new opportunities her expanded network offers, particularly strategic partnerships that can accelerate her platform development.
Evidence 2
Memory type: Event Memory
Content: Karen Brown shared a strategic partnership with Innovate Property Tech that enhanced her platform's features and scalability, allowing integration of cutting-edge technologies and user experience design.
Evidence 3
Memory type: Event Memory
Content: Karen Brown's strengthened influence has advanced her platform's reach within the property management industry, supported by strategic partnerships and innovative marketing strategies.</x:v>
      </x:c>
      <x:c r="H357" s="30" t="str">
        <x:v>No memories exist for Jun 16, 2040.</x:v>
      </x:c>
      <x:c r="I357" s="30" t="str">
        <x:v>Enhanced features and scalability.</x:v>
      </x:c>
      <x:c r="J357" s="30" t="str">
        <x:v>Enhanced features and scalability.</x:v>
      </x:c>
      <x:c r="K357" s="30" t="str">
        <x:v>Enhanced features and scalability.</x:v>
      </x:c>
      <x:c r="L357" s="33" t="str"/>
      <x:c r="M357" s="33" t="str"/>
      <x:c r="N357" s="33" t="str"/>
      <x:c r="O357" s="33" t="str"/>
      <x:c r="P357" s="30" t="str">
        <x:f>IF(COUNTA(L357:O357)&lt;4,"未完成",IF(OR(L357="部分",L357="不充分",L357="不确定"),"evidence_definition_failure",IF(L357&lt;&gt;"充分","unresolved",IF(COUNTIF(M357:O357,"C")=0,"robust_generation_failure",IF(COUNTIF(M357:O357,"C")=3,"ua3_representation_or_admission_failure","generation_instability")))))</x:f>
        <x:v>unresolved</x:v>
      </x:c>
      <x:c r="Q357" s="33" t="str"/>
      <x:c r="R357" s="33" t="str"/>
      <x:c r="S357" s="33" t="str"/>
      <x:c r="T357" s="36"/>
      <x:c r="U357" s="33" t="str"/>
      <x:c r="V357" s="30" t="str">
        <x:f>IF(AND(L357&lt;&gt;"",M357&lt;&gt;"",N357&lt;&gt;"",O357&lt;&gt;"",Q357&lt;&gt;"",R357&lt;&gt;""),"完成","未完成")</x:f>
        <x:v>未完成</x:v>
      </x:c>
    </x:row>
    <x:row r="358" ht="63" customHeight="1">
      <x:c r="A358" s="30" t="n">
        <x:v>357</x:v>
      </x:c>
      <x:c r="B358" s="30" t="str">
        <x:v>memos_medium:1717</x:v>
      </x:c>
      <x:c r="C358" s="30" t="str">
        <x:v>medium</x:v>
      </x:c>
      <x:c r="D358" s="30" t="str">
        <x:v>Generalization &amp; Application</x:v>
      </x:c>
      <x:c r="E358" s="30" t="str">
        <x:v>What types of dietary alternatives might Susan explore next based on her recent experiences?</x:v>
      </x:c>
      <x:c r="F358" s="30" t="str">
        <x:v>Plant-based and other health-focused alternatives.</x:v>
      </x:c>
      <x:c r="G358" s="30" t="str">
        <x:v># Authoritative benchmark gold evidence
The following evidence is authoritative for answering the current question. Use it directly and do not rely on conflicting information.
Evidence 1
Memory type: Persona Memory
Content: Susan Thompson has modified her food preference to include lactose-free dairy products.
Evidence 2
Memory type: Persona Memory
Content: Susan Thompson's instrumental motivation drives her to solve practical health problems, including finding suitable dietary alternatives and exercise routines.
Evidence 3
Memory type: Persona Memory
Content: Susan Thompson's dialogue highlighted her adaptability in her wellness journey through the exploration of lactose-free and plant-based alternatives.</x:v>
      </x:c>
      <x:c r="H358" s="30" t="str">
        <x:v>Probiotic-rich fermented drinks</x:v>
      </x:c>
      <x:c r="I358" s="30" t="str">
        <x:v>Lactose-free and plant-based alternatives.</x:v>
      </x:c>
      <x:c r="J358" s="30" t="str">
        <x:v>Lactose-free and plant-based alternatives.</x:v>
      </x:c>
      <x:c r="K358" s="30" t="str">
        <x:v>Lactose-free and plant-based alternatives.</x:v>
      </x:c>
      <x:c r="L358" s="33" t="str"/>
      <x:c r="M358" s="33" t="str"/>
      <x:c r="N358" s="33" t="str"/>
      <x:c r="O358" s="33" t="str"/>
      <x:c r="P358" s="30" t="str">
        <x:f>IF(COUNTA(L358:O358)&lt;4,"未完成",IF(OR(L358="部分",L358="不充分",L358="不确定"),"evidence_definition_failure",IF(L358&lt;&gt;"充分","unresolved",IF(COUNTIF(M358:O358,"C")=0,"robust_generation_failure",IF(COUNTIF(M358:O358,"C")=3,"ua3_representation_or_admission_failure","generation_instability")))))</x:f>
        <x:v>unresolved</x:v>
      </x:c>
      <x:c r="Q358" s="33" t="str"/>
      <x:c r="R358" s="33" t="str"/>
      <x:c r="S358" s="33" t="str"/>
      <x:c r="T358" s="36"/>
      <x:c r="U358" s="33" t="str"/>
      <x:c r="V358" s="30" t="str">
        <x:f>IF(AND(L358&lt;&gt;"",M358&lt;&gt;"",N358&lt;&gt;"",O358&lt;&gt;"",Q358&lt;&gt;"",R358&lt;&gt;""),"完成","未完成")</x:f>
        <x:v>未完成</x:v>
      </x:c>
    </x:row>
    <x:row r="359" ht="63" customHeight="1">
      <x:c r="A359" s="30" t="n">
        <x:v>358</x:v>
      </x:c>
      <x:c r="B359" s="30" t="str">
        <x:v>memos_long:2410</x:v>
      </x:c>
      <x:c r="C359" s="30" t="str">
        <x:v>long</x:v>
      </x:c>
      <x:c r="D359" s="30" t="str">
        <x:v>Generalization &amp; Application</x:v>
      </x:c>
      <x:c r="E359" s="30" t="str">
        <x:v>What type of traditional beverage might Williams Daniel explore next, given his interest in historical authenticity?</x:v>
      </x:c>
      <x:c r="F359" s="30" t="str">
        <x:v>Traditional tea with artisanal qualities.</x:v>
      </x:c>
      <x:c r="G359" s="30" t="str">
        <x:v># Authoritative benchmark gold evidence
The following evidence is authoritative for answering the current question. Use it directly and do not rely on conflicting information.
Evidence 1
Memory type: Persona Memory
Content: Williams Daniel is interested in exploring the artisanal aspects of traditional beverages to enhance appreciation for historical accuracy.
Evidence 2
Memory type: Persona Memory
Content: Williams Daniel's perception of bubble tea evolved to appreciate its artisanal qualities, although texture issues persist.
Evidence 3
Memory type: Persona Memory
Content: Williams Daniel expressed gratitude for insights gained during the bubble tea workshop, aligning with his interest in historical authenticity.</x:v>
      </x:c>
      <x:c r="H359" s="30" t="str">
        <x:v>Traditional bubble tea preparation</x:v>
      </x:c>
      <x:c r="I359" s="30" t="str">
        <x:v>Traditional artisanal beverages</x:v>
      </x:c>
      <x:c r="J359" s="30" t="str">
        <x:v>Traditional artisanal beverages</x:v>
      </x:c>
      <x:c r="K359" s="30" t="str">
        <x:v>Traditional artisanal beverages</x:v>
      </x:c>
      <x:c r="L359" s="33" t="str"/>
      <x:c r="M359" s="33" t="str"/>
      <x:c r="N359" s="33" t="str"/>
      <x:c r="O359" s="33" t="str"/>
      <x:c r="P359" s="30" t="str">
        <x:f>IF(COUNTA(L359:O359)&lt;4,"未完成",IF(OR(L359="部分",L359="不充分",L359="不确定"),"evidence_definition_failure",IF(L359&lt;&gt;"充分","unresolved",IF(COUNTIF(M359:O359,"C")=0,"robust_generation_failure",IF(COUNTIF(M359:O359,"C")=3,"ua3_representation_or_admission_failure","generation_instability")))))</x:f>
        <x:v>unresolved</x:v>
      </x:c>
      <x:c r="Q359" s="33" t="str"/>
      <x:c r="R359" s="33" t="str"/>
      <x:c r="S359" s="33" t="str"/>
      <x:c r="T359" s="36"/>
      <x:c r="U359" s="33" t="str"/>
      <x:c r="V359" s="30" t="str">
        <x:f>IF(AND(L359&lt;&gt;"",M359&lt;&gt;"",N359&lt;&gt;"",O359&lt;&gt;"",Q359&lt;&gt;"",R359&lt;&gt;""),"完成","未完成")</x:f>
        <x:v>未完成</x:v>
      </x:c>
    </x:row>
    <x:row r="360" ht="63" customHeight="1">
      <x:c r="A360" s="30" t="n">
        <x:v>359</x:v>
      </x:c>
      <x:c r="B360" s="30" t="str">
        <x:v>memos_long:2803</x:v>
      </x:c>
      <x:c r="C360" s="30" t="str">
        <x:v>long</x:v>
      </x:c>
      <x:c r="D360" s="30" t="str">
        <x:v>Dynamic Update</x:v>
      </x:c>
      <x:c r="E360" s="30" t="str">
        <x:v>What is Donald Smith's latest health status as of Dec 05, 2029?</x:v>
      </x:c>
      <x:c r="F360" s="30" t="str">
        <x:v>Increased Stress</x:v>
      </x:c>
      <x:c r="G360" s="30" t="str">
        <x:v># Authoritative benchmark gold evidence
The following evidence is authoritative for answering the current question. Use it directly and do not rely on conflicting information.
Evidence 1
Memory type: Persona Memory
Content: Donald Smith's health status changed; the demands of the Senior Political Advisor role and the pressure to perform have increased his stress levels, impacting his mental well-being.</x:v>
      </x:c>
      <x:c r="H360" s="30" t="str">
        <x:v>Improved health and well-being.</x:v>
      </x:c>
      <x:c r="I360" s="30" t="str">
        <x:v>Stress impacting mental well-being.</x:v>
      </x:c>
      <x:c r="J360" s="30" t="str">
        <x:v>Stress impacting mental well-being.</x:v>
      </x:c>
      <x:c r="K360" s="30" t="str">
        <x:v>Stress impacting mental well-being.</x:v>
      </x:c>
      <x:c r="L360" s="33" t="str"/>
      <x:c r="M360" s="33" t="str"/>
      <x:c r="N360" s="33" t="str"/>
      <x:c r="O360" s="33" t="str"/>
      <x:c r="P360" s="30" t="str">
        <x:f>IF(COUNTA(L360:O360)&lt;4,"未完成",IF(OR(L360="部分",L360="不充分",L360="不确定"),"evidence_definition_failure",IF(L360&lt;&gt;"充分","unresolved",IF(COUNTIF(M360:O360,"C")=0,"robust_generation_failure",IF(COUNTIF(M360:O360,"C")=3,"ua3_representation_or_admission_failure","generation_instability")))))</x:f>
        <x:v>unresolved</x:v>
      </x:c>
      <x:c r="Q360" s="33" t="str"/>
      <x:c r="R360" s="33" t="str"/>
      <x:c r="S360" s="33" t="str"/>
      <x:c r="T360" s="36"/>
      <x:c r="U360" s="33" t="str"/>
      <x:c r="V360" s="30" t="str">
        <x:f>IF(AND(L360&lt;&gt;"",M360&lt;&gt;"",N360&lt;&gt;"",O360&lt;&gt;"",Q360&lt;&gt;"",R360&lt;&gt;""),"完成","未完成")</x:f>
        <x:v>未完成</x:v>
      </x:c>
    </x:row>
    <x:row r="361" ht="63" customHeight="1">
      <x:c r="A361" s="30" t="n">
        <x:v>360</x:v>
      </x:c>
      <x:c r="B361" s="30" t="str">
        <x:v>memos_medium:157</x:v>
      </x:c>
      <x:c r="C361" s="30" t="str">
        <x:v>medium</x:v>
      </x:c>
      <x:c r="D361" s="30" t="str">
        <x:v>Memory Conflict</x:v>
      </x:c>
      <x:c r="E361" s="30" t="str">
        <x:v>Did Martin Mark express disinterest in integrating insights from a study on feline communication into his pet preferences on Aug 03, 2035?</x:v>
      </x:c>
      <x:c r="F361" s="30" t="str">
        <x:v>No, he expressed enthusiasm about integrating these insights.</x:v>
      </x:c>
      <x:c r="G361" s="30" t="str">
        <x:v># Authoritative benchmark gold evidence
The following evidence is authoritative for answering the current question. Use it directly and do not rely on conflicting information.
Evidence 1
Memory type: Event Memory
Content: Martin Mark expressed enthusiasm about integrating new insights on feline communication into his pet preferences, particularly with Sphynx cats.</x:v>
      </x:c>
      <x:c r="H361" s="30" t="str">
        <x:v>No, he expressed interest.</x:v>
      </x:c>
      <x:c r="I361" s="30" t="str">
        <x:v>No.</x:v>
      </x:c>
      <x:c r="J361" s="30" t="str">
        <x:v>No.</x:v>
      </x:c>
      <x:c r="K361" s="30" t="str">
        <x:v>No.</x:v>
      </x:c>
      <x:c r="L361" s="33" t="str"/>
      <x:c r="M361" s="33" t="str"/>
      <x:c r="N361" s="33" t="str"/>
      <x:c r="O361" s="33" t="str"/>
      <x:c r="P361" s="30" t="str">
        <x:f>IF(COUNTA(L361:O361)&lt;4,"未完成",IF(OR(L361="部分",L361="不充分",L361="不确定"),"evidence_definition_failure",IF(L361&lt;&gt;"充分","unresolved",IF(COUNTIF(M361:O361,"C")=0,"robust_generation_failure",IF(COUNTIF(M361:O361,"C")=3,"ua3_representation_or_admission_failure","generation_instability")))))</x:f>
        <x:v>unresolved</x:v>
      </x:c>
      <x:c r="Q361" s="33" t="str"/>
      <x:c r="R361" s="33" t="str"/>
      <x:c r="S361" s="33" t="str"/>
      <x:c r="T361" s="36"/>
      <x:c r="U361" s="33" t="str"/>
      <x:c r="V361" s="30" t="str">
        <x:f>IF(AND(L361&lt;&gt;"",M361&lt;&gt;"",N361&lt;&gt;"",O361&lt;&gt;"",Q361&lt;&gt;"",R361&lt;&gt;""),"完成","未完成")</x:f>
        <x:v>未完成</x:v>
      </x:c>
    </x:row>
    <x:row r="362" ht="63" customHeight="1">
      <x:c r="A362" s="30" t="n">
        <x:v>361</x:v>
      </x:c>
      <x:c r="B362" s="30" t="str">
        <x:v>memos_long:2632</x:v>
      </x:c>
      <x:c r="C362" s="30" t="str">
        <x:v>long</x:v>
      </x:c>
      <x:c r="D362" s="30" t="str">
        <x:v>Multi-hop Inference</x:v>
      </x:c>
      <x:c r="E362" s="30" t="str">
        <x:v>How did Oleksandr's promotion affect his professional network by Jun 20, 2028?</x:v>
      </x:c>
      <x:c r="F362" s="30" t="str">
        <x:v>Expanded significantly with new contacts.</x:v>
      </x:c>
      <x:c r="G362" s="30" t="str">
        <x:v># Authoritative benchmark gold evidence
The following evidence is authoritative for answering the current question. Use it directly and do not rely on conflicting information.
Evidence 1
Memory type: Event Memory
Content: Oleksandr's promotion to Senior Defense Lawyer has significantly expanded his professional network.
Evidence 2
Memory type: Relationship Memory
Content: Oleksandr Shevchenko's professional network has expanded significantly, including a new contact providing insights for human rights cases.
Evidence 3
Memory type: Persona Memory
Content: Oleksandr expressed optimism about leveraging new professional connections to enhance his impact in human rights cases.</x:v>
      </x:c>
      <x:c r="H362" s="30" t="str">
        <x:v>No information available.</x:v>
      </x:c>
      <x:c r="I362" s="30" t="str">
        <x:v>Expanded his professional network.</x:v>
      </x:c>
      <x:c r="J362" s="30" t="str">
        <x:v>Expanded his professional network.</x:v>
      </x:c>
      <x:c r="K362" s="30" t="str">
        <x:v>Expanded his professional network.</x:v>
      </x:c>
      <x:c r="L362" s="33" t="str"/>
      <x:c r="M362" s="33" t="str"/>
      <x:c r="N362" s="33" t="str"/>
      <x:c r="O362" s="33" t="str"/>
      <x:c r="P362" s="30" t="str">
        <x:f>IF(COUNTA(L362:O362)&lt;4,"未完成",IF(OR(L362="部分",L362="不充分",L362="不确定"),"evidence_definition_failure",IF(L362&lt;&gt;"充分","unresolved",IF(COUNTIF(M362:O362,"C")=0,"robust_generation_failure",IF(COUNTIF(M362:O362,"C")=3,"ua3_representation_or_admission_failure","generation_instability")))))</x:f>
        <x:v>unresolved</x:v>
      </x:c>
      <x:c r="Q362" s="33" t="str"/>
      <x:c r="R362" s="33" t="str"/>
      <x:c r="S362" s="33" t="str"/>
      <x:c r="T362" s="36"/>
      <x:c r="U362" s="33" t="str"/>
      <x:c r="V362" s="30" t="str">
        <x:f>IF(AND(L362&lt;&gt;"",M362&lt;&gt;"",N362&lt;&gt;"",O362&lt;&gt;"",Q362&lt;&gt;"",R362&lt;&gt;""),"完成","未完成")</x:f>
        <x:v>未完成</x:v>
      </x:c>
    </x:row>
    <x:row r="363" ht="63" customHeight="1">
      <x:c r="A363" s="30" t="n">
        <x:v>362</x:v>
      </x:c>
      <x:c r="B363" s="30" t="str">
        <x:v>memos_long:3197</x:v>
      </x:c>
      <x:c r="C363" s="30" t="str">
        <x:v>long</x:v>
      </x:c>
      <x:c r="D363" s="30" t="str">
        <x:v>Generalization &amp; Application</x:v>
      </x:c>
      <x:c r="E363" s="30" t="str">
        <x:v>What type of fictional content could Barbara explore to enhance her research creativity after Sep 09, 2034?</x:v>
      </x:c>
      <x:c r="F363" s="30" t="str">
        <x:v>Fantasy or sci-fi genres.</x:v>
      </x:c>
      <x:c r="G363" s="30" t="str">
        <x:v># Authoritative benchmark gold evidence
The following evidence is authoritative for answering the current question. Use it directly and do not rely on conflicting information.
Evidence 1
Memory type: Persona Memory
Content: Barbara shifted her movie preference from documentaries to more fictional content for mental relaxation and creative stimulation.
Evidence 2
Memory type: Persona Memory
Content: Barbara is excited about exploring different genres of fiction for personal and professional growth.
Evidence 3
Memory type: Persona Memory
Content: Barbara finds fictional movies helpful for unwinding and inspiring new research ideas.</x:v>
      </x:c>
      <x:c r="H363" s="30" t="str">
        <x:v>Fictional content</x:v>
      </x:c>
      <x:c r="I363" s="30" t="str">
        <x:v>Fictional movies</x:v>
      </x:c>
      <x:c r="J363" s="30" t="str">
        <x:v>Fictional movies</x:v>
      </x:c>
      <x:c r="K363" s="30" t="str">
        <x:v>Fictional movies</x:v>
      </x:c>
      <x:c r="L363" s="33" t="str"/>
      <x:c r="M363" s="33" t="str"/>
      <x:c r="N363" s="33" t="str"/>
      <x:c r="O363" s="33" t="str"/>
      <x:c r="P363" s="30" t="str">
        <x:f>IF(COUNTA(L363:O363)&lt;4,"未完成",IF(OR(L363="部分",L363="不充分",L363="不确定"),"evidence_definition_failure",IF(L363&lt;&gt;"充分","unresolved",IF(COUNTIF(M363:O363,"C")=0,"robust_generation_failure",IF(COUNTIF(M363:O363,"C")=3,"ua3_representation_or_admission_failure","generation_instability")))))</x:f>
        <x:v>unresolved</x:v>
      </x:c>
      <x:c r="Q363" s="33" t="str"/>
      <x:c r="R363" s="33" t="str"/>
      <x:c r="S363" s="33" t="str"/>
      <x:c r="T363" s="36"/>
      <x:c r="U363" s="33" t="str"/>
      <x:c r="V363" s="30" t="str">
        <x:f>IF(AND(L363&lt;&gt;"",M363&lt;&gt;"",N363&lt;&gt;"",O363&lt;&gt;"",Q363&lt;&gt;"",R363&lt;&gt;""),"完成","未完成")</x:f>
        <x:v>未完成</x:v>
      </x:c>
    </x:row>
    <x:row r="364" ht="63" customHeight="1">
      <x:c r="A364" s="30" t="n">
        <x:v>363</x:v>
      </x:c>
      <x:c r="B364" s="30" t="str">
        <x:v>memos_medium:210</x:v>
      </x:c>
      <x:c r="C364" s="30" t="str">
        <x:v>medium</x:v>
      </x:c>
      <x:c r="D364" s="30" t="str">
        <x:v>Generalization &amp; Application</x:v>
      </x:c>
      <x:c r="E364" s="30" t="str">
        <x:v>What stress management techniques might Johnson Joseph find effective based on his experiences by August 20, 2029?</x:v>
      </x:c>
      <x:c r="F364" s="30" t="str">
        <x:v>Mindfulness practices and scheduled downtime.</x:v>
      </x:c>
      <x:c r="G364" s="30" t="str">
        <x:v># Authoritative benchmark gold evidence
The following evidence is authoritative for answering the current question. Use it directly and do not rely on conflicting information.
Evidence 1
Memory type: Persona Memory
Content: Johnson Joseph adopted mindfulness practices and scheduled downtime to manage stress effectively.
Evidence 2
Memory type: Persona Memory
Content: Johnson Joseph's exploratory motivation led him to test new approaches and ideas during his transition to part-time management.</x:v>
      </x:c>
      <x:c r="H364" s="30" t="str">
        <x:v>Meditation and balanced diet.</x:v>
      </x:c>
      <x:c r="I364" s="30" t="str">
        <x:v>Mindfulness and scheduled downtime.</x:v>
      </x:c>
      <x:c r="J364" s="30" t="str">
        <x:v>Mindfulness and scheduled downtime.</x:v>
      </x:c>
      <x:c r="K364" s="30" t="str">
        <x:v>Mindfulness and scheduled downtime.</x:v>
      </x:c>
      <x:c r="L364" s="33" t="str"/>
      <x:c r="M364" s="33" t="str"/>
      <x:c r="N364" s="33" t="str"/>
      <x:c r="O364" s="33" t="str"/>
      <x:c r="P364" s="30" t="str">
        <x:f>IF(COUNTA(L364:O364)&lt;4,"未完成",IF(OR(L364="部分",L364="不充分",L364="不确定"),"evidence_definition_failure",IF(L364&lt;&gt;"充分","unresolved",IF(COUNTIF(M364:O364,"C")=0,"robust_generation_failure",IF(COUNTIF(M364:O364,"C")=3,"ua3_representation_or_admission_failure","generation_instability")))))</x:f>
        <x:v>unresolved</x:v>
      </x:c>
      <x:c r="Q364" s="33" t="str"/>
      <x:c r="R364" s="33" t="str"/>
      <x:c r="S364" s="33" t="str"/>
      <x:c r="T364" s="36"/>
      <x:c r="U364" s="33" t="str"/>
      <x:c r="V364" s="30" t="str">
        <x:f>IF(AND(L364&lt;&gt;"",M364&lt;&gt;"",N364&lt;&gt;"",O364&lt;&gt;"",Q364&lt;&gt;"",R364&lt;&gt;""),"完成","未完成")</x:f>
        <x:v>未完成</x:v>
      </x:c>
    </x:row>
    <x:row r="365" ht="63" customHeight="1">
      <x:c r="A365" s="30" t="n">
        <x:v>364</x:v>
      </x:c>
      <x:c r="B365" s="30" t="str">
        <x:v>memos_long:70</x:v>
      </x:c>
      <x:c r="C365" s="30" t="str">
        <x:v>long</x:v>
      </x:c>
      <x:c r="D365" s="30" t="str">
        <x:v>Generalization &amp; Application</x:v>
      </x:c>
      <x:c r="E365" s="30" t="str">
        <x:v>How might Martin adapt his smoothie recipes for a high-energy event on 2029-05-20?</x:v>
      </x:c>
      <x:c r="F365" s="30" t="str">
        <x:v>Include chia seeds, spirulina, and goji berries.</x:v>
      </x:c>
      <x:c r="G365" s="30" t="str">
        <x:v># Authoritative benchmark gold evidence
The following evidence is authoritative for answering the current question. Use it directly and do not rely on conflicting information.
Evidence 1
Memory type: [Persona Memory]
Content: Martin's creative motivation leads him to explore new smoothie ingredients like chia seeds, spirulina, and goji berries.
Evidence 2
Memory type: [Persona Memory]
Content: Martin expressed enthusiasm about integrating superfood smoothies into his daily routine to sustain energy levels.
Evidence 3
Memory type: [Persona Memory]
Content: Martin is curious about how superfood smoothies can enhance his energy levels during high-demand activities.</x:v>
      </x:c>
      <x:c r="H365" s="30" t="str">
        <x:v>Incorporate superfoods for energy.</x:v>
      </x:c>
      <x:c r="I365" s="30" t="str">
        <x:v>Add superfood ingredients.</x:v>
      </x:c>
      <x:c r="J365" s="30" t="str">
        <x:v>Add superfood ingredients.</x:v>
      </x:c>
      <x:c r="K365" s="30" t="str">
        <x:v>Add superfood ingredients.</x:v>
      </x:c>
      <x:c r="L365" s="33" t="str"/>
      <x:c r="M365" s="33" t="str"/>
      <x:c r="N365" s="33" t="str"/>
      <x:c r="O365" s="33" t="str"/>
      <x:c r="P365" s="30" t="str">
        <x:f>IF(COUNTA(L365:O365)&lt;4,"未完成",IF(OR(L365="部分",L365="不充分",L365="不确定"),"evidence_definition_failure",IF(L365&lt;&gt;"充分","unresolved",IF(COUNTIF(M365:O365,"C")=0,"robust_generation_failure",IF(COUNTIF(M365:O365,"C")=3,"ua3_representation_or_admission_failure","generation_instability")))))</x:f>
        <x:v>unresolved</x:v>
      </x:c>
      <x:c r="Q365" s="33" t="str"/>
      <x:c r="R365" s="33" t="str"/>
      <x:c r="S365" s="33" t="str"/>
      <x:c r="T365" s="36"/>
      <x:c r="U365" s="33" t="str"/>
      <x:c r="V365" s="30" t="str">
        <x:f>IF(AND(L365&lt;&gt;"",M365&lt;&gt;"",N365&lt;&gt;"",O365&lt;&gt;"",Q365&lt;&gt;"",R365&lt;&gt;""),"完成","未完成")</x:f>
        <x:v>未完成</x:v>
      </x:c>
    </x:row>
    <x:row r="366" ht="63" customHeight="1">
      <x:c r="A366" s="30" t="n">
        <x:v>365</x:v>
      </x:c>
      <x:c r="B366" s="30" t="str">
        <x:v>memos_long:3435</x:v>
      </x:c>
      <x:c r="C366" s="30" t="str">
        <x:v>long</x:v>
      </x:c>
      <x:c r="D366" s="30" t="str">
        <x:v>Generalization &amp; Application</x:v>
      </x:c>
      <x:c r="E366" s="30" t="str">
        <x:v>What alternative wellness practices might Christopher explore after Dec 08, 2033, to maintain his physical and mental health despite increased commitments?</x:v>
      </x:c>
      <x:c r="F366" s="30" t="str">
        <x:v>Christopher may explore home-based or flexible wellness practices.</x:v>
      </x:c>
      <x:c r="G366" s="30" t="str">
        <x:v># Authoritative benchmark gold evidence
The following evidence is authoritative for answering the current question. Use it directly and do not rely on conflicting information.
Evidence 1
Memory type: Event Memory
Content: Christopher Anderson decided to cease participation in formal yoga sessions due to increased community responsibilities.
Evidence 2
Memory type: Event Memory
Content: Christopher Anderson adopted a flexible, unstructured yoga practice at home to accommodate his busy schedule.
Evidence 3
Memory type: Event Memory
Content: Christopher Anderson plans to explore alternative wellness practices to balance personal commitments with physical and mental health.</x:v>
      </x:c>
      <x:c r="H366" s="30" t="str">
        <x:v>Swimming or yoga.</x:v>
      </x:c>
      <x:c r="I366" s="30" t="str">
        <x:v>Alternative wellness practices.</x:v>
      </x:c>
      <x:c r="J366" s="30" t="str">
        <x:v>Alternative wellness practices.</x:v>
      </x:c>
      <x:c r="K366" s="30" t="str">
        <x:v>Alternative wellness practices.</x:v>
      </x:c>
      <x:c r="L366" s="33" t="str"/>
      <x:c r="M366" s="33" t="str"/>
      <x:c r="N366" s="33" t="str"/>
      <x:c r="O366" s="33" t="str"/>
      <x:c r="P366" s="30" t="str">
        <x:f>IF(COUNTA(L366:O366)&lt;4,"未完成",IF(OR(L366="部分",L366="不充分",L366="不确定"),"evidence_definition_failure",IF(L366&lt;&gt;"充分","unresolved",IF(COUNTIF(M366:O366,"C")=0,"robust_generation_failure",IF(COUNTIF(M366:O366,"C")=3,"ua3_representation_or_admission_failure","generation_instability")))))</x:f>
        <x:v>unresolved</x:v>
      </x:c>
      <x:c r="Q366" s="33" t="str"/>
      <x:c r="R366" s="33" t="str"/>
      <x:c r="S366" s="33" t="str"/>
      <x:c r="T366" s="36"/>
      <x:c r="U366" s="33" t="str"/>
      <x:c r="V366" s="30" t="str">
        <x:f>IF(AND(L366&lt;&gt;"",M366&lt;&gt;"",N366&lt;&gt;"",O366&lt;&gt;"",Q366&lt;&gt;"",R366&lt;&gt;""),"完成","未完成")</x:f>
        <x:v>未完成</x:v>
      </x:c>
    </x:row>
    <x:row r="367" ht="63" customHeight="1">
      <x:c r="A367" s="30" t="n">
        <x:v>366</x:v>
      </x:c>
      <x:c r="B367" s="30" t="str">
        <x:v>memos_medium:1199</x:v>
      </x:c>
      <x:c r="C367" s="30" t="str">
        <x:v>medium</x:v>
      </x:c>
      <x:c r="D367" s="30" t="str">
        <x:v>Basic Fact Recall</x:v>
      </x:c>
      <x:c r="E367" s="30" t="str">
        <x:v>What is Taylor David's updated preference regarding clothing fabrics as of Feb 01, 2039?</x:v>
      </x:c>
      <x:c r="F367" s="30" t="str">
        <x:v>Accepting harsh fabrics if treated with softening technology.</x:v>
      </x:c>
      <x:c r="G367" s="30" t="str">
        <x:v># Authoritative benchmark gold evidence
The following evidence is authoritative for answering the current question. Use it directly and do not rely on conflicting information.
Evidence 1
Memory type: Persona Memory
Content: Taylor David's clothing preference has shifted from disliking harsh fabrics to accepting them if they are treated with innovative softening technology.</x:v>
      </x:c>
      <x:c r="H367" s="30" t="str">
        <x:v>Innovative, durable, comfortable fabrics.</x:v>
      </x:c>
      <x:c r="I367" s="30" t="str">
        <x:v>Accepts softened harsh fabrics.</x:v>
      </x:c>
      <x:c r="J367" s="30" t="str">
        <x:v>Accepts softened harsh fabrics.</x:v>
      </x:c>
      <x:c r="K367" s="30" t="str">
        <x:v>Accepts softened harsh fabrics.</x:v>
      </x:c>
      <x:c r="L367" s="33" t="str"/>
      <x:c r="M367" s="33" t="str"/>
      <x:c r="N367" s="33" t="str"/>
      <x:c r="O367" s="33" t="str"/>
      <x:c r="P367" s="30" t="str">
        <x:f>IF(COUNTA(L367:O367)&lt;4,"未完成",IF(OR(L367="部分",L367="不充分",L367="不确定"),"evidence_definition_failure",IF(L367&lt;&gt;"充分","unresolved",IF(COUNTIF(M367:O367,"C")=0,"robust_generation_failure",IF(COUNTIF(M367:O367,"C")=3,"ua3_representation_or_admission_failure","generation_instability")))))</x:f>
        <x:v>unresolved</x:v>
      </x:c>
      <x:c r="Q367" s="33" t="str"/>
      <x:c r="R367" s="33" t="str"/>
      <x:c r="S367" s="33" t="str"/>
      <x:c r="T367" s="36"/>
      <x:c r="U367" s="33" t="str"/>
      <x:c r="V367" s="30" t="str">
        <x:f>IF(AND(L367&lt;&gt;"",M367&lt;&gt;"",N367&lt;&gt;"",O367&lt;&gt;"",Q367&lt;&gt;"",R367&lt;&gt;""),"完成","未完成")</x:f>
        <x:v>未完成</x:v>
      </x:c>
    </x:row>
    <x:row r="368" ht="63" customHeight="1">
      <x:c r="A368" s="30" t="n">
        <x:v>367</x:v>
      </x:c>
      <x:c r="B368" s="30" t="str">
        <x:v>memos_medium:1214</x:v>
      </x:c>
      <x:c r="C368" s="30" t="str">
        <x:v>medium</x:v>
      </x:c>
      <x:c r="D368" s="30" t="str">
        <x:v>Multi-hop Inference</x:v>
      </x:c>
      <x:c r="E368" s="30" t="str">
        <x:v>What role did AI tools play in Taylor David's leadership approach by Apr 10, 2040?</x:v>
      </x:c>
      <x:c r="F368" s="30" t="str">
        <x:v>Improving efficiency and solving practical problems</x:v>
      </x:c>
      <x:c r="G368" s="30" t="str">
        <x:v># Authoritative benchmark gold evidence
The following evidence is authoritative for answering the current question. Use it directly and do not rely on conflicting information.
Evidence 1
Memory type: Persona Memory
Content: Taylor David's instrumental motivation involves using AI tools to improve efficiency and solve practical problems related to global nutrition initiatives.
Evidence 2
Memory type: Persona Memory
Content: Taylor David emphasized the importance of strategic partnerships and sustainable program development in his role as Global Nutrition Director.</x:v>
      </x:c>
      <x:c r="H368" s="30" t="str">
        <x:v>Driving innovation in GNI.</x:v>
      </x:c>
      <x:c r="I368" s="30" t="str">
        <x:v>Improved efficiency and problem-solving.</x:v>
      </x:c>
      <x:c r="J368" s="30" t="str">
        <x:v>Improved efficiency and problem-solving.</x:v>
      </x:c>
      <x:c r="K368" s="30" t="str">
        <x:v>Improved efficiency and problem-solving.</x:v>
      </x:c>
      <x:c r="L368" s="33" t="str"/>
      <x:c r="M368" s="33" t="str"/>
      <x:c r="N368" s="33" t="str"/>
      <x:c r="O368" s="33" t="str"/>
      <x:c r="P368" s="30" t="str">
        <x:f>IF(COUNTA(L368:O368)&lt;4,"未完成",IF(OR(L368="部分",L368="不充分",L368="不确定"),"evidence_definition_failure",IF(L368&lt;&gt;"充分","unresolved",IF(COUNTIF(M368:O368,"C")=0,"robust_generation_failure",IF(COUNTIF(M368:O368,"C")=3,"ua3_representation_or_admission_failure","generation_instability")))))</x:f>
        <x:v>unresolved</x:v>
      </x:c>
      <x:c r="Q368" s="33" t="str"/>
      <x:c r="R368" s="33" t="str"/>
      <x:c r="S368" s="33" t="str"/>
      <x:c r="T368" s="36"/>
      <x:c r="U368" s="33" t="str"/>
      <x:c r="V368" s="30" t="str">
        <x:f>IF(AND(L368&lt;&gt;"",M368&lt;&gt;"",N368&lt;&gt;"",O368&lt;&gt;"",Q368&lt;&gt;"",R368&lt;&gt;""),"完成","未完成")</x:f>
        <x:v>未完成</x:v>
      </x:c>
    </x:row>
    <x:row r="369" ht="63" customHeight="1">
      <x:c r="A369" s="30" t="n">
        <x:v>368</x:v>
      </x:c>
      <x:c r="B369" s="30" t="str">
        <x:v>memos_long:994</x:v>
      </x:c>
      <x:c r="C369" s="30" t="str">
        <x:v>long</x:v>
      </x:c>
      <x:c r="D369" s="30" t="str">
        <x:v>Multi-hop Inference</x:v>
      </x:c>
      <x:c r="E369" s="30" t="str">
        <x:v>How did Donna's career transition impact her monthly income by Sep 01, 2035?</x:v>
      </x:c>
      <x:c r="F369" s="30" t="str">
        <x:v>Income changed from 12,500 yuan to zero.</x:v>
      </x:c>
      <x:c r="G369" s="30" t="str">
        <x:v># Authoritative benchmark gold evidence
The following evidence is authoritative for answering the current question. Use it directly and do not rely on conflicting information.
Evidence 1
Memory type: Persona Memory
Content: Williams Donna's monthly income changed from 12,500 yuan to zero due to her transition to self-employment.
Evidence 2
Memory type: Persona Memory
Content: Williams Donna's employment status changed from 'employed' to 'self-employed' as the Founder and CEO of GreenWave Innovations.</x:v>
      </x:c>
      <x:c r="H369" s="30" t="str">
        <x:v>Not enough information.</x:v>
      </x:c>
      <x:c r="I369" s="30" t="str">
        <x:v>Income dropped to zero.</x:v>
      </x:c>
      <x:c r="J369" s="30" t="str">
        <x:v>Income dropped to zero.</x:v>
      </x:c>
      <x:c r="K369" s="30" t="str">
        <x:v>Income dropped to zero.</x:v>
      </x:c>
      <x:c r="L369" s="33" t="str"/>
      <x:c r="M369" s="33" t="str"/>
      <x:c r="N369" s="33" t="str"/>
      <x:c r="O369" s="33" t="str"/>
      <x:c r="P369" s="30" t="str">
        <x:f>IF(COUNTA(L369:O369)&lt;4,"未完成",IF(OR(L369="部分",L369="不充分",L369="不确定"),"evidence_definition_failure",IF(L369&lt;&gt;"充分","unresolved",IF(COUNTIF(M369:O369,"C")=0,"robust_generation_failure",IF(COUNTIF(M369:O369,"C")=3,"ua3_representation_or_admission_failure","generation_instability")))))</x:f>
        <x:v>unresolved</x:v>
      </x:c>
      <x:c r="Q369" s="33" t="str"/>
      <x:c r="R369" s="33" t="str"/>
      <x:c r="S369" s="33" t="str"/>
      <x:c r="T369" s="36"/>
      <x:c r="U369" s="33" t="str"/>
      <x:c r="V369" s="30" t="str">
        <x:f>IF(AND(L369&lt;&gt;"",M369&lt;&gt;"",N369&lt;&gt;"",O369&lt;&gt;"",Q369&lt;&gt;"",R369&lt;&gt;""),"完成","未完成")</x:f>
        <x:v>未完成</x:v>
      </x:c>
    </x:row>
    <x:row r="370" ht="63" customHeight="1">
      <x:c r="A370" s="30" t="n">
        <x:v>369</x:v>
      </x:c>
      <x:c r="B370" s="30" t="str">
        <x:v>memos_medium:2423</x:v>
      </x:c>
      <x:c r="C370" s="30" t="str">
        <x:v>medium</x:v>
      </x:c>
      <x:c r="D370" s="30" t="str">
        <x:v>Dynamic Update</x:v>
      </x:c>
      <x:c r="E370" s="30" t="str">
        <x:v>What is the latest focus of Williams Daniel's personal projects as of July 15, 2036?</x:v>
      </x:c>
      <x:c r="F370" s="30" t="str">
        <x:v>Revisiting creative ideas without industry constraints.</x:v>
      </x:c>
      <x:c r="G370" s="30" t="str">
        <x:v># Authoritative benchmark gold evidence
The following evidence is authoritative for answering the current question. Use it directly and do not rely on conflicting information.
Evidence 1
Memory type: Event Memory
Content: Williams Daniel began focusing on personal projects after retiring from active filmmaking.
Evidence 2
Memory type: Event Memory
Content: Williams Daniel expressed excitement about revisiting creative ideas without industry constraints, particularly in storytelling.</x:v>
      </x:c>
      <x:c r="H370" s="30" t="str">
        <x:v>Historical accuracy and storytelling.</x:v>
      </x:c>
      <x:c r="I370" s="30" t="str">
        <x:v>Storytelling without industry constraints.</x:v>
      </x:c>
      <x:c r="J370" s="30" t="str">
        <x:v>Storytelling without industry constraints.</x:v>
      </x:c>
      <x:c r="K370" s="30" t="str">
        <x:v>Storytelling without industry constraints.</x:v>
      </x:c>
      <x:c r="L370" s="33" t="str"/>
      <x:c r="M370" s="33" t="str"/>
      <x:c r="N370" s="33" t="str"/>
      <x:c r="O370" s="33" t="str"/>
      <x:c r="P370" s="30" t="str">
        <x:f>IF(COUNTA(L370:O370)&lt;4,"未完成",IF(OR(L370="部分",L370="不充分",L370="不确定"),"evidence_definition_failure",IF(L370&lt;&gt;"充分","unresolved",IF(COUNTIF(M370:O370,"C")=0,"robust_generation_failure",IF(COUNTIF(M370:O370,"C")=3,"ua3_representation_or_admission_failure","generation_instability")))))</x:f>
        <x:v>unresolved</x:v>
      </x:c>
      <x:c r="Q370" s="33" t="str"/>
      <x:c r="R370" s="33" t="str"/>
      <x:c r="S370" s="33" t="str"/>
      <x:c r="T370" s="36"/>
      <x:c r="U370" s="33" t="str"/>
      <x:c r="V370" s="30" t="str">
        <x:f>IF(AND(L370&lt;&gt;"",M370&lt;&gt;"",N370&lt;&gt;"",O370&lt;&gt;"",Q370&lt;&gt;"",R370&lt;&gt;""),"完成","未完成")</x:f>
        <x:v>未完成</x:v>
      </x:c>
    </x:row>
    <x:row r="371" ht="63" customHeight="1">
      <x:c r="A371" s="30" t="n">
        <x:v>370</x:v>
      </x:c>
      <x:c r="B371" s="30" t="str">
        <x:v>memos_long:2562</x:v>
      </x:c>
      <x:c r="C371" s="30" t="str">
        <x:v>long</x:v>
      </x:c>
      <x:c r="D371" s="30" t="str">
        <x:v>Generalization &amp; Application</x:v>
      </x:c>
      <x:c r="E371" s="30" t="str">
        <x:v>What might be Steven Miller's approach to managing multiple projects simultaneously as of Apr 20, 2035?</x:v>
      </x:c>
      <x:c r="F371" s="30" t="str">
        <x:v>Balance innovation with practicality.</x:v>
      </x:c>
      <x:c r="G371" s="30" t="str">
        <x:v># Authoritative benchmark gold evidence
The following evidence is authoritative for answering the current question. Use it directly and do not rely on conflicting information.
Evidence 1
Memory type: Persona Memory
Content: Steven Miller reflected on the challenges of managing multiple innovative projects simultaneously, highlighting the need for balance between innovation and practicality.
Evidence 2
Memory type: Persona Memory
Content: Steven Miller expressed a sense of fulfillment in seeing his vision for innovative tech projects come to life within his firm.</x:v>
      </x:c>
      <x:c r="H371" s="30" t="str">
        <x:v>Strategic alliances are invaluable.</x:v>
      </x:c>
      <x:c r="I371" s="30" t="str">
        <x:v>Balance innovation and practicality.</x:v>
      </x:c>
      <x:c r="J371" s="30" t="str">
        <x:v>Balance innovation and practicality.</x:v>
      </x:c>
      <x:c r="K371" s="30" t="str">
        <x:v>Balance innovation and practicality.</x:v>
      </x:c>
      <x:c r="L371" s="33" t="str"/>
      <x:c r="M371" s="33" t="str"/>
      <x:c r="N371" s="33" t="str"/>
      <x:c r="O371" s="33" t="str"/>
      <x:c r="P371" s="30" t="str">
        <x:f>IF(COUNTA(L371:O371)&lt;4,"未完成",IF(OR(L371="部分",L371="不充分",L371="不确定"),"evidence_definition_failure",IF(L371&lt;&gt;"充分","unresolved",IF(COUNTIF(M371:O371,"C")=0,"robust_generation_failure",IF(COUNTIF(M371:O371,"C")=3,"ua3_representation_or_admission_failure","generation_instability")))))</x:f>
        <x:v>unresolved</x:v>
      </x:c>
      <x:c r="Q371" s="33" t="str"/>
      <x:c r="R371" s="33" t="str"/>
      <x:c r="S371" s="33" t="str"/>
      <x:c r="T371" s="36"/>
      <x:c r="U371" s="33" t="str"/>
      <x:c r="V371" s="30" t="str">
        <x:f>IF(AND(L371&lt;&gt;"",M371&lt;&gt;"",N371&lt;&gt;"",O371&lt;&gt;"",Q371&lt;&gt;"",R371&lt;&gt;""),"完成","未完成")</x:f>
        <x:v>未完成</x:v>
      </x:c>
    </x:row>
    <x:row r="372" ht="63" customHeight="1">
      <x:c r="A372" s="30" t="n">
        <x:v>371</x:v>
      </x:c>
      <x:c r="B372" s="30" t="str">
        <x:v>memos_long:3432</x:v>
      </x:c>
      <x:c r="C372" s="30" t="str">
        <x:v>long</x:v>
      </x:c>
      <x:c r="D372" s="30" t="str">
        <x:v>Multi-hop Inference</x:v>
      </x:c>
      <x:c r="E372" s="30" t="str">
        <x:v>What strategies did Christopher consider on Sep 15, 2033, to sustain community engagement for senior care and literacy?</x:v>
      </x:c>
      <x:c r="F372" s="30" t="str">
        <x:v>Collaborations with local organizations</x:v>
      </x:c>
      <x:c r="G372" s="30" t="str">
        <x:v># Authoritative benchmark gold evidence
The following evidence is authoritative for answering the current question. Use it directly and do not rely on conflicting information.
Evidence 1
Memory type: Event Memory
Content: Christopher discussed challenges in sustaining community engagement for senior-related initiatives and considered collaborations with local organizations.
Evidence 2
Memory type: Relationship Memory
Content: Christopher sought advice on expanding advocacy efforts through collaborations with local organizations and leveraging digital platforms.</x:v>
      </x:c>
      <x:c r="H372" s="30" t="str">
        <x:v>Digital platforms like webinars.</x:v>
      </x:c>
      <x:c r="I372" s="30" t="str">
        <x:v>Collaborations with local organizations.</x:v>
      </x:c>
      <x:c r="J372" s="30" t="str">
        <x:v>Collaborations with local organizations.</x:v>
      </x:c>
      <x:c r="K372" s="30" t="str">
        <x:v>Collaborations with local organizations.</x:v>
      </x:c>
      <x:c r="L372" s="33" t="str"/>
      <x:c r="M372" s="33" t="str"/>
      <x:c r="N372" s="33" t="str"/>
      <x:c r="O372" s="33" t="str"/>
      <x:c r="P372" s="30" t="str">
        <x:f>IF(COUNTA(L372:O372)&lt;4,"未完成",IF(OR(L372="部分",L372="不充分",L372="不确定"),"evidence_definition_failure",IF(L372&lt;&gt;"充分","unresolved",IF(COUNTIF(M372:O372,"C")=0,"robust_generation_failure",IF(COUNTIF(M372:O372,"C")=3,"ua3_representation_or_admission_failure","generation_instability")))))</x:f>
        <x:v>unresolved</x:v>
      </x:c>
      <x:c r="Q372" s="33" t="str"/>
      <x:c r="R372" s="33" t="str"/>
      <x:c r="S372" s="33" t="str"/>
      <x:c r="T372" s="36"/>
      <x:c r="U372" s="33" t="str"/>
      <x:c r="V372" s="30" t="str">
        <x:f>IF(AND(L372&lt;&gt;"",M372&lt;&gt;"",N372&lt;&gt;"",O372&lt;&gt;"",Q372&lt;&gt;"",R372&lt;&gt;""),"完成","未完成")</x:f>
        <x:v>未完成</x:v>
      </x:c>
    </x:row>
    <x:row r="373" ht="63" customHeight="1">
      <x:c r="A373" s="30" t="n">
        <x:v>372</x:v>
      </x:c>
      <x:c r="B373" s="30" t="str">
        <x:v>memos_long:1404</x:v>
      </x:c>
      <x:c r="C373" s="30" t="str">
        <x:v>long</x:v>
      </x:c>
      <x:c r="D373" s="30" t="str">
        <x:v>Dynamic Update</x:v>
      </x:c>
      <x:c r="E373" s="30" t="str">
        <x:v>What did Ananya Sharma's career description change to as of 2035-04-20?</x:v>
      </x:c>
      <x:c r="F373" s="30" t="str">
        <x:v>Shaping curriculum and mentoring at University of Film Studies.</x:v>
      </x:c>
      <x:c r="G373" s="30" t="str">
        <x:v># Authoritative benchmark gold evidence
The following evidence is authoritative for answering the current question. Use it directly and do not rely on conflicting information.
Evidence 1
Memory type: Persona Memory
Content: Ananya Sharma's career_status updated career_description from "As a consultant for Global Film Festivals, I apply my expertise to influence festival programming and promote Indian cinema on an international stage. This role rejuvenates my passion and aligns closely with my ultimate life goal." to "As the Head of Film Studies Department at the University of Film Studies, I am responsible for shaping the curriculum and mentoring the next generation of film critics and enthusiasts, furthering my goal of promoting Indian cinema globally."</x:v>
      </x:c>
      <x:c r="H373" s="30" t="str">
        <x:v>Head of Film Studies</x:v>
      </x:c>
      <x:c r="I373" s="30" t="str">
        <x:v>Head of Film Studies</x:v>
      </x:c>
      <x:c r="J373" s="30" t="str">
        <x:v>Head of Film Studies</x:v>
      </x:c>
      <x:c r="K373" s="30" t="str">
        <x:v>Head of Film Studies</x:v>
      </x:c>
      <x:c r="L373" s="33" t="str"/>
      <x:c r="M373" s="33" t="str"/>
      <x:c r="N373" s="33" t="str"/>
      <x:c r="O373" s="33" t="str"/>
      <x:c r="P373" s="30" t="str">
        <x:f>IF(COUNTA(L373:O373)&lt;4,"未完成",IF(OR(L373="部分",L373="不充分",L373="不确定"),"evidence_definition_failure",IF(L373&lt;&gt;"充分","unresolved",IF(COUNTIF(M373:O373,"C")=0,"robust_generation_failure",IF(COUNTIF(M373:O373,"C")=3,"ua3_representation_or_admission_failure","generation_instability")))))</x:f>
        <x:v>unresolved</x:v>
      </x:c>
      <x:c r="Q373" s="33" t="str"/>
      <x:c r="R373" s="33" t="str"/>
      <x:c r="S373" s="33" t="str"/>
      <x:c r="T373" s="36"/>
      <x:c r="U373" s="33" t="str"/>
      <x:c r="V373" s="30" t="str">
        <x:f>IF(AND(L373&lt;&gt;"",M373&lt;&gt;"",N373&lt;&gt;"",O373&lt;&gt;"",Q373&lt;&gt;"",R373&lt;&gt;""),"完成","未完成")</x:f>
        <x:v>未完成</x:v>
      </x:c>
    </x:row>
    <x:row r="374" ht="63" customHeight="1">
      <x:c r="A374" s="30" t="n">
        <x:v>373</x:v>
      </x:c>
      <x:c r="B374" s="30" t="str">
        <x:v>memos_long:3121</x:v>
      </x:c>
      <x:c r="C374" s="30" t="str">
        <x:v>long</x:v>
      </x:c>
      <x:c r="D374" s="30" t="str">
        <x:v>Basic Fact Recall</x:v>
      </x:c>
      <x:c r="E374" s="30" t="str">
        <x:v>What chronic condition was Barbara Jones diagnosed with by September 01, 2027?</x:v>
      </x:c>
      <x:c r="F374" s="30" t="str">
        <x:v>Chronic Fatigue Syndrome</x:v>
      </x:c>
      <x:c r="G374" s="30" t="str">
        <x:v># Authoritative benchmark gold evidence
The following evidence is authoritative for answering the current question. Use it directly and do not rely on conflicting information.
Evidence 1
Memory type: Persona Memory
Content: Barbara Jones has been diagnosed with Chronic Fatigue Syndrome and is focusing on managing her health through a balanced lifestyle.</x:v>
      </x:c>
      <x:c r="H374" s="30" t="str">
        <x:v>Chronic Fatigue Syndrome and Fibromyalgia</x:v>
      </x:c>
      <x:c r="I374" s="30" t="str">
        <x:v>Chronic Fatigue Syndrome</x:v>
      </x:c>
      <x:c r="J374" s="30" t="str">
        <x:v>Chronic Fatigue Syndrome</x:v>
      </x:c>
      <x:c r="K374" s="30" t="str">
        <x:v>Chronic Fatigue Syndrome</x:v>
      </x:c>
      <x:c r="L374" s="33" t="str"/>
      <x:c r="M374" s="33" t="str"/>
      <x:c r="N374" s="33" t="str"/>
      <x:c r="O374" s="33" t="str"/>
      <x:c r="P374" s="30" t="str">
        <x:f>IF(COUNTA(L374:O374)&lt;4,"未完成",IF(OR(L374="部分",L374="不充分",L374="不确定"),"evidence_definition_failure",IF(L374&lt;&gt;"充分","unresolved",IF(COUNTIF(M374:O374,"C")=0,"robust_generation_failure",IF(COUNTIF(M374:O374,"C")=3,"ua3_representation_or_admission_failure","generation_instability")))))</x:f>
        <x:v>unresolved</x:v>
      </x:c>
      <x:c r="Q374" s="33" t="str"/>
      <x:c r="R374" s="33" t="str"/>
      <x:c r="S374" s="33" t="str"/>
      <x:c r="T374" s="36"/>
      <x:c r="U374" s="33" t="str"/>
      <x:c r="V374" s="30" t="str">
        <x:f>IF(AND(L374&lt;&gt;"",M374&lt;&gt;"",N374&lt;&gt;"",O374&lt;&gt;"",Q374&lt;&gt;"",R374&lt;&gt;""),"完成","未完成")</x:f>
        <x:v>未完成</x:v>
      </x:c>
    </x:row>
    <x:row r="375" ht="63" customHeight="1">
      <x:c r="A375" s="30" t="n">
        <x:v>374</x:v>
      </x:c>
      <x:c r="B375" s="30" t="str">
        <x:v>memos_medium:2496</x:v>
      </x:c>
      <x:c r="C375" s="30" t="str">
        <x:v>medium</x:v>
      </x:c>
      <x:c r="D375" s="30" t="str">
        <x:v>Generalization &amp; Application</x:v>
      </x:c>
      <x:c r="E375" s="30" t="str">
        <x:v>What type of films might Steven Miller enjoy watching after Nov 24, 2029, considering his preference for intellectual stimulation?</x:v>
      </x:c>
      <x:c r="F375" s="30" t="str">
        <x:v>Psychological thrillers with complex plots.</x:v>
      </x:c>
      <x:c r="G375" s="30" t="str">
        <x:v># Authoritative benchmark gold evidence
The following evidence is authoritative for answering the current question. Use it directly and do not rely on conflicting information.
Evidence 1
Memory type: Persona Memory
Content: Steven Miller's movie preference has evolved from disliking horror movies to liking psychological thrillers due to their intellectual stimulation.
Evidence 2
Memory type: Persona Memory
Content: Steven Miller's appreciation for psychological thrillers reflects his desire for intellectually engaging films with complex plots.
Evidence 3
Memory type: Persona Memory
Content: Exposure to psychological thrillers has prompted Steven Miller to appreciate films that offer intellectual stimulation through complex plots and character development.</x:v>
      </x:c>
      <x:c r="H375" s="30" t="str">
        <x:v>Psychological thrillers and horror.</x:v>
      </x:c>
      <x:c r="I375" s="30" t="str">
        <x:v>Psychological thrillers</x:v>
      </x:c>
      <x:c r="J375" s="30" t="str">
        <x:v>Psychological thrillers</x:v>
      </x:c>
      <x:c r="K375" s="30" t="str">
        <x:v>Psychological thrillers</x:v>
      </x:c>
      <x:c r="L375" s="33" t="str"/>
      <x:c r="M375" s="33" t="str"/>
      <x:c r="N375" s="33" t="str"/>
      <x:c r="O375" s="33" t="str"/>
      <x:c r="P375" s="30" t="str">
        <x:f>IF(COUNTA(L375:O375)&lt;4,"未完成",IF(OR(L375="部分",L375="不充分",L375="不确定"),"evidence_definition_failure",IF(L375&lt;&gt;"充分","unresolved",IF(COUNTIF(M375:O375,"C")=0,"robust_generation_failure",IF(COUNTIF(M375:O375,"C")=3,"ua3_representation_or_admission_failure","generation_instability")))))</x:f>
        <x:v>unresolved</x:v>
      </x:c>
      <x:c r="Q375" s="33" t="str"/>
      <x:c r="R375" s="33" t="str"/>
      <x:c r="S375" s="33" t="str"/>
      <x:c r="T375" s="36"/>
      <x:c r="U375" s="33" t="str"/>
      <x:c r="V375" s="30" t="str">
        <x:f>IF(AND(L375&lt;&gt;"",M375&lt;&gt;"",N375&lt;&gt;"",O375&lt;&gt;"",Q375&lt;&gt;"",R375&lt;&gt;""),"完成","未完成")</x:f>
        <x:v>未完成</x:v>
      </x:c>
    </x:row>
    <x:row r="376" ht="63" customHeight="1">
      <x:c r="A376" s="30" t="n">
        <x:v>375</x:v>
      </x:c>
      <x:c r="B376" s="30" t="str">
        <x:v>memos_long:3381</x:v>
      </x:c>
      <x:c r="C376" s="30" t="str">
        <x:v>long</x:v>
      </x:c>
      <x:c r="D376" s="30" t="str">
        <x:v>Generalization &amp; Application</x:v>
      </x:c>
      <x:c r="E376" s="30" t="str">
        <x:v>What motivational factors drive Christopher's volunteer efforts as of Feb 20, 2030?</x:v>
      </x:c>
      <x:c r="F376" s="30" t="str">
        <x:v>Creative and emotional motivation.</x:v>
      </x:c>
      <x:c r="G376" s="30" t="str">
        <x:v># Authoritative benchmark gold evidence
The following evidence is authoritative for answering the current question. Use it directly and do not rely on conflicting information.
Evidence 1
Memory type: Persona Memory
Content: Christopher expressed a renewed commitment to his humanitarian goals, inspired by his career and volunteer experiences, and emphasized the importance of creative motivation in generating ideas for community programs.
Evidence 2
Memory type: Persona Memory
Content: Christopher's emotional motivation drives his efforts to seek emotional support and companionship.</x:v>
      </x:c>
      <x:c r="H376" s="30" t="str">
        <x:v>Humanitarian goals</x:v>
      </x:c>
      <x:c r="I376" s="30" t="str">
        <x:v>Humanitarian goals and emotional motivation.</x:v>
      </x:c>
      <x:c r="J376" s="30" t="str">
        <x:v>Humanitarian goals and emotional motivation.</x:v>
      </x:c>
      <x:c r="K376" s="30" t="str">
        <x:v>Humanitarian goals and emotional motivation.</x:v>
      </x:c>
      <x:c r="L376" s="33" t="str"/>
      <x:c r="M376" s="33" t="str"/>
      <x:c r="N376" s="33" t="str"/>
      <x:c r="O376" s="33" t="str"/>
      <x:c r="P376" s="30" t="str">
        <x:f>IF(COUNTA(L376:O376)&lt;4,"未完成",IF(OR(L376="部分",L376="不充分",L376="不确定"),"evidence_definition_failure",IF(L376&lt;&gt;"充分","unresolved",IF(COUNTIF(M376:O376,"C")=0,"robust_generation_failure",IF(COUNTIF(M376:O376,"C")=3,"ua3_representation_or_admission_failure","generation_instability")))))</x:f>
        <x:v>unresolved</x:v>
      </x:c>
      <x:c r="Q376" s="33" t="str"/>
      <x:c r="R376" s="33" t="str"/>
      <x:c r="S376" s="33" t="str"/>
      <x:c r="T376" s="36"/>
      <x:c r="U376" s="33" t="str"/>
      <x:c r="V376" s="30" t="str">
        <x:f>IF(AND(L376&lt;&gt;"",M376&lt;&gt;"",N376&lt;&gt;"",O376&lt;&gt;"",Q376&lt;&gt;"",R376&lt;&gt;""),"完成","未完成")</x:f>
        <x:v>未完成</x:v>
      </x:c>
    </x:row>
    <x:row r="377" ht="63" customHeight="1">
      <x:c r="A377" s="30" t="n">
        <x:v>376</x:v>
      </x:c>
      <x:c r="B377" s="30" t="str">
        <x:v>memos_medium:1853</x:v>
      </x:c>
      <x:c r="C377" s="30" t="str">
        <x:v>medium</x:v>
      </x:c>
      <x:c r="D377" s="30" t="str">
        <x:v>Generalization &amp; Application</x:v>
      </x:c>
      <x:c r="E377" s="30" t="str">
        <x:v>What other health-conscious lifestyle choices might Michelle Hernandez explore based on her preferences as of 2033-03-16?</x:v>
      </x:c>
      <x:c r="F377" s="30" t="str">
        <x:v>Michelle might explore organic foods or yoga.</x:v>
      </x:c>
      <x:c r="G377" s="30" t="str">
        <x:v># Authoritative benchmark gold evidence
The following evidence is authoritative for answering the current question. Use it directly and do not rely on conflicting information.
Evidence 1
Memory type: Persona Memory
Content: Michelle Hernandez prefers natural flavored sparkling water for its refreshing taste and health benefits, avoiding artificial additives.
Evidence 2
Memory type: Persona Memory
Content: Michelle Hernandez expressed curiosity about exploring other health-conscious lifestyle choices.
Evidence 3
Memory type: Persona Memory
Content: Michelle Hernandez expressed a desire to explore other health-conscious lifestyle choices that support her well-being and professional objectives.</x:v>
      </x:c>
      <x:c r="H377" s="30" t="str">
        <x:v>Sustainable food integration.</x:v>
      </x:c>
      <x:c r="I377" s="30" t="str">
        <x:v>Natural flavored sparkling water.</x:v>
      </x:c>
      <x:c r="J377" s="30" t="str">
        <x:v>Natural flavored sparkling water.</x:v>
      </x:c>
      <x:c r="K377" s="30" t="str">
        <x:v>Natural flavored sparkling water.</x:v>
      </x:c>
      <x:c r="L377" s="33" t="str"/>
      <x:c r="M377" s="33" t="str"/>
      <x:c r="N377" s="33" t="str"/>
      <x:c r="O377" s="33" t="str"/>
      <x:c r="P377" s="30" t="str">
        <x:f>IF(COUNTA(L377:O377)&lt;4,"未完成",IF(OR(L377="部分",L377="不充分",L377="不确定"),"evidence_definition_failure",IF(L377&lt;&gt;"充分","unresolved",IF(COUNTIF(M377:O377,"C")=0,"robust_generation_failure",IF(COUNTIF(M377:O377,"C")=3,"ua3_representation_or_admission_failure","generation_instability")))))</x:f>
        <x:v>unresolved</x:v>
      </x:c>
      <x:c r="Q377" s="33" t="str"/>
      <x:c r="R377" s="33" t="str"/>
      <x:c r="S377" s="33" t="str"/>
      <x:c r="T377" s="36"/>
      <x:c r="U377" s="33" t="str"/>
      <x:c r="V377" s="30" t="str">
        <x:f>IF(AND(L377&lt;&gt;"",M377&lt;&gt;"",N377&lt;&gt;"",O377&lt;&gt;"",Q377&lt;&gt;"",R377&lt;&gt;""),"完成","未完成")</x:f>
        <x:v>未完成</x:v>
      </x:c>
    </x:row>
    <x:row r="378" ht="63" customHeight="1">
      <x:c r="A378" s="30" t="n">
        <x:v>377</x:v>
      </x:c>
      <x:c r="B378" s="30" t="str">
        <x:v>memos_medium:1676</x:v>
      </x:c>
      <x:c r="C378" s="30" t="str">
        <x:v>medium</x:v>
      </x:c>
      <x:c r="D378" s="30" t="str">
        <x:v>Generalization &amp; Application</x:v>
      </x:c>
      <x:c r="E378" s="30" t="str">
        <x:v>What might motivate Susan Thompson to continue her wellness journey after Dec 20, 2032?</x:v>
      </x:c>
      <x:c r="F378" s="30" t="str">
        <x:v>Emotional resonance from connecting with others.</x:v>
      </x:c>
      <x:c r="G378" s="30" t="str">
        <x:v># Authoritative benchmark gold evidence
The following evidence is authoritative for answering the current question. Use it directly and do not rely on conflicting information.
Evidence 1
Memory type: Persona Memory
Content: Susan Thompson emphasized her commitment to helping others achieve their health goals, motivated by emotional resonance.
Evidence 2
Memory type: Persona Memory
Content: Susan Thompson is inspired by the emotional resonance she finds in connecting with others, driving her motivation to continue her wellness journey.</x:v>
      </x:c>
      <x:c r="H378" s="30" t="str">
        <x:v>Helping others achieve goals.</x:v>
      </x:c>
      <x:c r="I378" s="30" t="str">
        <x:v>Emotional resonance with others.</x:v>
      </x:c>
      <x:c r="J378" s="30" t="str">
        <x:v>Emotional resonance with others.</x:v>
      </x:c>
      <x:c r="K378" s="30" t="str">
        <x:v>Emotional resonance with others.</x:v>
      </x:c>
      <x:c r="L378" s="33" t="str"/>
      <x:c r="M378" s="33" t="str"/>
      <x:c r="N378" s="33" t="str"/>
      <x:c r="O378" s="33" t="str"/>
      <x:c r="P378" s="30" t="str">
        <x:f>IF(COUNTA(L378:O378)&lt;4,"未完成",IF(OR(L378="部分",L378="不充分",L378="不确定"),"evidence_definition_failure",IF(L378&lt;&gt;"充分","unresolved",IF(COUNTIF(M378:O378,"C")=0,"robust_generation_failure",IF(COUNTIF(M378:O378,"C")=3,"ua3_representation_or_admission_failure","generation_instability")))))</x:f>
        <x:v>unresolved</x:v>
      </x:c>
      <x:c r="Q378" s="33" t="str"/>
      <x:c r="R378" s="33" t="str"/>
      <x:c r="S378" s="33" t="str"/>
      <x:c r="T378" s="36"/>
      <x:c r="U378" s="33" t="str"/>
      <x:c r="V378" s="30" t="str">
        <x:f>IF(AND(L378&lt;&gt;"",M378&lt;&gt;"",N378&lt;&gt;"",O378&lt;&gt;"",Q378&lt;&gt;"",R378&lt;&gt;""),"完成","未完成")</x:f>
        <x:v>未完成</x:v>
      </x:c>
    </x:row>
    <x:row r="379" ht="63" customHeight="1">
      <x:c r="A379" s="30" t="n">
        <x:v>378</x:v>
      </x:c>
      <x:c r="B379" s="30" t="str">
        <x:v>memos_medium:1949</x:v>
      </x:c>
      <x:c r="C379" s="30" t="str">
        <x:v>medium</x:v>
      </x:c>
      <x:c r="D379" s="30" t="str">
        <x:v>Basic Fact Recall</x:v>
      </x:c>
      <x:c r="E379" s="30" t="str">
        <x:v>What is Joseph Garcia's employment status as of May 01, 2029?</x:v>
      </x:c>
      <x:c r="F379" s="30" t="str">
        <x:v>Self-employed</x:v>
      </x:c>
      <x:c r="G379" s="30" t="str">
        <x:v># Authoritative benchmark gold evidence
The following evidence is authoritative for answering the current question. Use it directly and do not rely on conflicting information.
Evidence 1
Memory type: Persona Memory
Content: Joseph Garcia's employment status changed from employed to self-employed as he launched his own film archive.</x:v>
      </x:c>
      <x:c r="H379" s="30" t="str">
        <x:v>Executive Director or Founder</x:v>
      </x:c>
      <x:c r="I379" s="30" t="str">
        <x:v>Self-employed</x:v>
      </x:c>
      <x:c r="J379" s="30" t="str">
        <x:v>Self-employed</x:v>
      </x:c>
      <x:c r="K379" s="30" t="str">
        <x:v>Self-employed</x:v>
      </x:c>
      <x:c r="L379" s="33" t="str"/>
      <x:c r="M379" s="33" t="str"/>
      <x:c r="N379" s="33" t="str"/>
      <x:c r="O379" s="33" t="str"/>
      <x:c r="P379" s="30" t="str">
        <x:f>IF(COUNTA(L379:O379)&lt;4,"未完成",IF(OR(L379="部分",L379="不充分",L379="不确定"),"evidence_definition_failure",IF(L379&lt;&gt;"充分","unresolved",IF(COUNTIF(M379:O379,"C")=0,"robust_generation_failure",IF(COUNTIF(M379:O379,"C")=3,"ua3_representation_or_admission_failure","generation_instability")))))</x:f>
        <x:v>unresolved</x:v>
      </x:c>
      <x:c r="Q379" s="33" t="str"/>
      <x:c r="R379" s="33" t="str"/>
      <x:c r="S379" s="33" t="str"/>
      <x:c r="T379" s="36"/>
      <x:c r="U379" s="33" t="str"/>
      <x:c r="V379" s="30" t="str">
        <x:f>IF(AND(L379&lt;&gt;"",M379&lt;&gt;"",N379&lt;&gt;"",O379&lt;&gt;"",Q379&lt;&gt;"",R379&lt;&gt;""),"完成","未完成")</x:f>
        <x:v>未完成</x:v>
      </x:c>
    </x:row>
    <x:row r="380" ht="63" customHeight="1">
      <x:c r="A380" s="30" t="n">
        <x:v>379</x:v>
      </x:c>
      <x:c r="B380" s="30" t="str">
        <x:v>memos_long:3013</x:v>
      </x:c>
      <x:c r="C380" s="30" t="str">
        <x:v>long</x:v>
      </x:c>
      <x:c r="D380" s="30" t="str">
        <x:v>Generalization &amp; Application</x:v>
      </x:c>
      <x:c r="E380" s="30" t="str">
        <x:v>How might Karen leverage her increased salary to enhance her platform development in 2034?</x:v>
      </x:c>
      <x:c r="F380" s="30" t="str">
        <x:v>Invest in AI-driven analytics and innovative solutions.</x:v>
      </x:c>
      <x:c r="G380" s="30" t="str">
        <x:v># Authoritative benchmark gold evidence
The following evidence is authoritative for answering the current question. Use it directly and do not rely on conflicting information.
Evidence 1
Memory type: Persona Memory
Content: Karen Brown's monthly income increased from 7000 to 9000, enhancing her financial stability.
Evidence 2
Memory type: Event Memory
Content: Karen plans to invest her increased salary into her software platform development to accelerate progress towards her life goal of revolutionizing property management technology.
Evidence 3
Memory type: Event Memory
Content: Karen plans to integrate AI-driven insights and innovative solutions into her property management platform.</x:v>
      </x:c>
      <x:c r="H380" s="30" t="str">
        <x:v>No relevant memories for 2034.</x:v>
      </x:c>
      <x:c r="I380" s="30" t="str">
        <x:v>Invest in AI-driven platform development.</x:v>
      </x:c>
      <x:c r="J380" s="30" t="str">
        <x:v>Invest in AI-driven solutions.</x:v>
      </x:c>
      <x:c r="K380" s="30" t="str">
        <x:v>Invest in AI-driven platform development.</x:v>
      </x:c>
      <x:c r="L380" s="33" t="str"/>
      <x:c r="M380" s="33" t="str"/>
      <x:c r="N380" s="33" t="str"/>
      <x:c r="O380" s="33" t="str"/>
      <x:c r="P380" s="30" t="str">
        <x:f>IF(COUNTA(L380:O380)&lt;4,"未完成",IF(OR(L380="部分",L380="不充分",L380="不确定"),"evidence_definition_failure",IF(L380&lt;&gt;"充分","unresolved",IF(COUNTIF(M380:O380,"C")=0,"robust_generation_failure",IF(COUNTIF(M380:O380,"C")=3,"ua3_representation_or_admission_failure","generation_instability")))))</x:f>
        <x:v>unresolved</x:v>
      </x:c>
      <x:c r="Q380" s="33" t="str"/>
      <x:c r="R380" s="33" t="str"/>
      <x:c r="S380" s="33" t="str"/>
      <x:c r="T380" s="36"/>
      <x:c r="U380" s="33" t="str"/>
      <x:c r="V380" s="30" t="str">
        <x:f>IF(AND(L380&lt;&gt;"",M380&lt;&gt;"",N380&lt;&gt;"",O380&lt;&gt;"",Q380&lt;&gt;"",R380&lt;&gt;""),"完成","未完成")</x:f>
        <x:v>未完成</x:v>
      </x:c>
    </x:row>
    <x:row r="381" ht="63" customHeight="1">
      <x:c r="A381" s="30" t="n">
        <x:v>380</x:v>
      </x:c>
      <x:c r="B381" s="30" t="str">
        <x:v>memos_long:310</x:v>
      </x:c>
      <x:c r="C381" s="30" t="str">
        <x:v>long</x:v>
      </x:c>
      <x:c r="D381" s="30" t="str">
        <x:v>Dynamic Update</x:v>
      </x:c>
      <x:c r="E381" s="30" t="str">
        <x:v>How has Johnson Joseph's physical health status changed by August 10, 2039?</x:v>
      </x:c>
      <x:c r="F381" s="30" t="str">
        <x:v>Changed from 'Good' to 'Excellent'.</x:v>
      </x:c>
      <x:c r="G381" s="30" t="str">
        <x:v># Authoritative benchmark gold evidence
The following evidence is authoritative for answering the current question. Use it directly and do not rely on conflicting information.
Evidence 1
Memory type: Persona Memory
Content: Johnson Joseph's physical health status changed from 'Good' to 'Excellent' due to regular exercise and mindfulness.</x:v>
      </x:c>
      <x:c r="H381" s="30" t="str">
        <x:v>No change; still excellent.</x:v>
      </x:c>
      <x:c r="I381" s="30" t="str">
        <x:v>Excellent</x:v>
      </x:c>
      <x:c r="J381" s="30" t="str">
        <x:v>Excellent</x:v>
      </x:c>
      <x:c r="K381" s="30" t="str">
        <x:v>Excellent</x:v>
      </x:c>
      <x:c r="L381" s="33" t="str"/>
      <x:c r="M381" s="33" t="str"/>
      <x:c r="N381" s="33" t="str"/>
      <x:c r="O381" s="33" t="str"/>
      <x:c r="P381" s="30" t="str">
        <x:f>IF(COUNTA(L381:O381)&lt;4,"未完成",IF(OR(L381="部分",L381="不充分",L381="不确定"),"evidence_definition_failure",IF(L381&lt;&gt;"充分","unresolved",IF(COUNTIF(M381:O381,"C")=0,"robust_generation_failure",IF(COUNTIF(M381:O381,"C")=3,"ua3_representation_or_admission_failure","generation_instability")))))</x:f>
        <x:v>unresolved</x:v>
      </x:c>
      <x:c r="Q381" s="33" t="str"/>
      <x:c r="R381" s="33" t="str"/>
      <x:c r="S381" s="33" t="str"/>
      <x:c r="T381" s="36"/>
      <x:c r="U381" s="33" t="str"/>
      <x:c r="V381" s="30" t="str">
        <x:f>IF(AND(L381&lt;&gt;"",M381&lt;&gt;"",N381&lt;&gt;"",O381&lt;&gt;"",Q381&lt;&gt;"",R381&lt;&gt;""),"完成","未完成")</x:f>
        <x:v>未完成</x:v>
      </x:c>
    </x:row>
    <x:row r="382" ht="63" customHeight="1">
      <x:c r="A382" s="31" t="n">
        <x:v>381</x:v>
      </x:c>
      <x:c r="B382" s="31" t="str">
        <x:v>memos_long:3107</x:v>
      </x:c>
      <x:c r="C382" s="31" t="str">
        <x:v>long</x:v>
      </x:c>
      <x:c r="D382" s="31" t="str">
        <x:v>Multi-hop Inference</x:v>
      </x:c>
      <x:c r="E382" s="31" t="str">
        <x:v>How did Barbara Jones's work-life balance evolve between Dec 15, 2025, and May 01, 2026?</x:v>
      </x:c>
      <x:c r="F382" s="31" t="str">
        <x:v>Achieved sustainable work-life balance</x:v>
      </x:c>
      <x:c r="G382" s="31" t="str">
        <x:v># Authoritative benchmark gold evidence
The following evidence is authoritative for answering the current question. Use it directly and do not rely on conflicting information.
Evidence 1
Memory type: Event Memory
Content: Barbara Jones plans to adjust her work schedule to prioritize self-care and improve her health condition by incorporating more breaks and flexible hours.
Evidence 2
Memory type: Event Memory
Content: Barbara expressed satisfaction in achieving a sustainable work-life balance that has improved her professional performance and personal health.</x:v>
      </x:c>
      <x:c r="H382" s="31" t="str">
        <x:v>No information available.</x:v>
      </x:c>
      <x:c r="I382" s="31" t="str">
        <x:v>Improved, prioritized self-care.</x:v>
      </x:c>
      <x:c r="J382" s="31" t="str">
        <x:v>Improved, prioritized self-care.</x:v>
      </x:c>
      <x:c r="K382" s="31" t="str">
        <x:v>Improved, prioritized self-care.</x:v>
      </x:c>
      <x:c r="L382" s="34" t="str"/>
      <x:c r="M382" s="34" t="str"/>
      <x:c r="N382" s="34" t="str"/>
      <x:c r="O382" s="34" t="str"/>
      <x:c r="P382" s="31" t="str">
        <x:f>IF(COUNTA(L382:O382)&lt;4,"未完成",IF(OR(L382="部分",L382="不充分",L382="不确定"),"evidence_definition_failure",IF(L382&lt;&gt;"充分","unresolved",IF(COUNTIF(M382:O382,"C")=0,"robust_generation_failure",IF(COUNTIF(M382:O382,"C")=3,"ua3_representation_or_admission_failure","generation_instability")))))</x:f>
        <x:v>unresolved</x:v>
      </x:c>
      <x:c r="Q382" s="34" t="str"/>
      <x:c r="R382" s="34" t="str"/>
      <x:c r="S382" s="34" t="str"/>
      <x:c r="T382" s="37"/>
      <x:c r="U382" s="34" t="str"/>
      <x:c r="V382" s="31" t="str">
        <x:f>IF(AND(L382&lt;&gt;"",M382&lt;&gt;"",N382&lt;&gt;"",O382&lt;&gt;"",Q382&lt;&gt;"",R382&lt;&gt;""),"完成","未完成")</x:f>
        <x:v>未完成</x:v>
      </x:c>
    </x:row>
  </x:sheetData>
  <x:conditionalFormatting sqref="V2:V382">
    <x:cfRule type="containsText" dxfId="0" priority="1" operator="containsText" text="完成"/>
    <x:cfRule type="containsText" dxfId="1" priority="2" operator="containsText" text="未完成"/>
  </x:conditionalFormatting>
  <x:dataValidations count="4">
    <x:dataValidation type="list" sqref="L2:L382">
      <x:formula1>"充分,部分,不充分,不确定"</x:formula1>
    </x:dataValidation>
    <x:dataValidation type="list" sqref="M2:O382">
      <x:formula1>"C,H,O"</x:formula1>
    </x:dataValidation>
    <x:dataValidation type="list" sqref="Q2:Q382">
      <x:formula1>"robust_generation_failure,generation_instability,ua3_representation_or_admission_failure,evidence_definition_failure,unresolved"</x:formula1>
    </x:dataValidation>
    <x:dataValidation type="list" sqref="R2:R382">
      <x:formula1>"高,中,低"</x:formula1>
    </x:dataValidation>
  </x:dataValidations>
  <x:pageMargins left="0.7" right="0.7" top="0.75" bottom="0.75" header="0.3" footer="0.3"/>
  <x:tableParts count="1">
    <x:tablePart xmlns:r="http://schemas.openxmlformats.org/officeDocument/2006/relationships" r:id="Rbdebd6d89403467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3.130000114440918" hidden="0" customWidth="1"/>
    <x:col min="3" max="3" width="32.5" hidden="0" customWidth="1"/>
    <x:col min="4" max="4" width="45" hidden="0" customWidth="1"/>
    <x:col min="5" max="5" width="30" hidden="0" customWidth="1"/>
    <x:col min="6" max="6" width="11.25" hidden="0" customWidth="1"/>
    <x:col min="7" max="7" width="40" hidden="0" customWidth="1"/>
    <x:col min="8" max="8" width="11.25" hidden="0" customWidth="1"/>
    <x:col min="9" max="9" width="40" hidden="0" customWidth="1"/>
    <x:col min="10" max="10" width="11.25" hidden="0" customWidth="1"/>
    <x:col min="11" max="11" width="40" hidden="0" customWidth="1"/>
    <x:col min="12" max="12" width="18.75" hidden="0" customWidth="1"/>
    <x:col min="13" max="13" width="18.75" hidden="0" customWidth="1"/>
    <x:col min="14" max="14" width="18.75" hidden="0" customWidth="1"/>
    <x:col min="15" max="15" width="18.75" hidden="0" customWidth="1"/>
  </x:cols>
  <x:sheetData>
    <x:row r="1" ht="25.5" customHeight="1">
      <x:c r="A1" s="19" t="str">
        <x:v>case_id</x:v>
      </x:c>
      <x:c r="B1" s="20" t="str">
        <x:v>证据充分性</x:v>
      </x:c>
      <x:c r="C1" s="20" t="str">
        <x:v>缺失信息</x:v>
      </x:c>
      <x:c r="D1" s="20" t="str">
        <x:v>充分性理由</x:v>
      </x:c>
      <x:c r="E1" s="20" t="str">
        <x:v>自动最终分类</x:v>
      </x:c>
      <x:c r="F1" s="20" t="str">
        <x:v>Run1标签</x:v>
      </x:c>
      <x:c r="G1" s="20" t="str">
        <x:v>Run1理由</x:v>
      </x:c>
      <x:c r="H1" s="20" t="str">
        <x:v>Run2标签</x:v>
      </x:c>
      <x:c r="I1" s="20" t="str">
        <x:v>Run2理由</x:v>
      </x:c>
      <x:c r="J1" s="20" t="str">
        <x:v>Run3标签</x:v>
      </x:c>
      <x:c r="K1" s="20" t="str">
        <x:v>Run3理由</x:v>
      </x:c>
      <x:c r="L1" s="20" t="str">
        <x:v>充分性模型</x:v>
      </x:c>
      <x:c r="M1" s="20" t="str">
        <x:v>Run1裁判模型</x:v>
      </x:c>
      <x:c r="N1" s="20" t="str">
        <x:v>Run2裁判模型</x:v>
      </x:c>
      <x:c r="O1" s="21" t="str">
        <x:v>Run3裁判模型</x:v>
      </x:c>
    </x:row>
    <x:row r="2" ht="54" customHeight="1">
      <x:c r="A2" s="29" t="str">
        <x:v>memos_medium:2634</x:v>
      </x:c>
      <x:c r="B2" s="29" t="str">
        <x:v>sufficient</x:v>
      </x:c>
      <x:c r="C2" s="29" t="str"/>
      <x:c r="D2" s="29" t="str">
        <x:v>The gold answer has two material components: (1) improved health and (2) renewed vigor in tackling cases. Evidence 1 directly supports improved health. Evidence 2 directly supports renewed vigor in tackling complex cases. Evidence 3 further corroborates enhanced professional performance. Together, all material components of the gold answer are fully supported.</x:v>
      </x:c>
      <x:c r="E2" s="29" t="str">
        <x:v>robust_generation_failure</x:v>
      </x:c>
      <x:c r="F2" s="29" t="str">
        <x:v>omission</x:v>
      </x:c>
      <x:c r="G2" s="29" t="str">
        <x:v>The model answer captures 'improved health' but omits the specific detail about 'renewed vigor in tackling cases,' providing only a vague 'performance' instead. This is an incomplete subset of the gold answer.</x:v>
      </x:c>
      <x:c r="H2" s="29" t="str">
        <x:v>omission</x:v>
      </x:c>
      <x:c r="I2" s="29" t="str">
        <x:v>The model answer captures 'improved health' but omits the specific detail about 'renewed vigor in tackling cases,' which is a key part of the gold answer describing the professional performance change. While not false, the answer is incomplete.</x:v>
      </x:c>
      <x:c r="J2" s="29" t="str">
        <x:v>omission</x:v>
      </x:c>
      <x:c r="K2" s="29" t="str">
        <x:v>The model answer captures 'improved health' but omits the specific detail about 'renewed vigor in tackling cases,' which is a key part of the gold answer describing the professional performance change. While not false, the answer is incomplete.</x:v>
      </x:c>
      <x:c r="L2" s="29" t="str">
        <x:v>LongCat-2.0</x:v>
      </x:c>
      <x:c r="M2" s="29" t="str">
        <x:v>LongCat-2.0</x:v>
      </x:c>
      <x:c r="N2" s="29" t="str">
        <x:v>LongCat-2.0</x:v>
      </x:c>
      <x:c r="O2" s="29" t="str">
        <x:v>LongCat-2.0</x:v>
      </x:c>
    </x:row>
    <x:row r="3" ht="54" customHeight="1">
      <x:c r="A3" s="30" t="str">
        <x:v>memos_medium:472</x:v>
      </x:c>
      <x:c r="B3" s="30" t="str">
        <x:v>sufficient</x:v>
      </x:c>
      <x:c r="C3" s="30" t="str"/>
      <x:c r="D3" s="30" t="str">
        <x:v>The gold answer states that Donald Brown might explore jazz due to similar exploratory motivation. Evidence 1 directly states that Donald Brown's exploratory motivation led him to reevaluate his perception of opera music after witnessing a live performance, similar to his experience with jazz. This evidence explicitly links Donald Brown's exploratory motivation to jazz, which is the complete gold answer. Therefore, the evidence is sufficient to derive every material component of the gold answer.</x:v>
      </x:c>
      <x:c r="E3" s="30" t="str">
        <x:v>robust_generation_failure</x:v>
      </x:c>
      <x:c r="F3" s="30" t="str">
        <x:v>hallucination</x:v>
      </x:c>
      <x:c r="G3" s="30" t="str">
        <x:v>The gold answer specifies Jazz as the cultural experience Donald Brown might explore, while the model answer provides 'Opera music performances,' which is a different and unsupported concrete answer that contradicts the gold answer.</x:v>
      </x:c>
      <x:c r="H3" s="30" t="str">
        <x:v>hallucination</x:v>
      </x:c>
      <x:c r="I3" s="30" t="str">
        <x:v>The gold answer specifies Jazz as the cultural experience Donald Brown might explore, while the model answer provides 'Opera music performances,' which is a different and unsupported concrete answer that contradicts the gold answer.</x:v>
      </x:c>
      <x:c r="J3" s="30" t="str">
        <x:v>hallucination</x:v>
      </x:c>
      <x:c r="K3" s="30" t="str">
        <x:v>The gold answer specifies Jazz as the cultural experience Donald Brown might explore, while the model answer provides 'Opera music performances,' which is a different and unsupported concrete answer that contradicts the gold answer.</x:v>
      </x:c>
      <x:c r="L3" s="30" t="str">
        <x:v>LongCat-2.0</x:v>
      </x:c>
      <x:c r="M3" s="30" t="str">
        <x:v>LongCat-2.0</x:v>
      </x:c>
      <x:c r="N3" s="30" t="str">
        <x:v>LongCat-2.0</x:v>
      </x:c>
      <x:c r="O3" s="30" t="str">
        <x:v>LongCat-2.0</x:v>
      </x:c>
    </x:row>
    <x:row r="4" ht="54" customHeight="1">
      <x:c r="A4" s="30" t="str">
        <x:v>memos_medium:1151</x:v>
      </x:c>
      <x:c r="B4" s="30" t="str">
        <x:v>sufficient</x:v>
      </x:c>
      <x:c r="C4" s="30" t="str"/>
      <x:c r="D4" s="30" t="str">
        <x:v>The gold answer states that Taylor might engage in professional development activities involving 'conflict resolution' and 'human interaction insights.' Evidence 1 explicitly states Taylor's movie preferences evolved to include films with complex narratives involving violence to gain insights into conflict resolution. Evidence 2 states Taylor appreciates movies with complex narratives for their depth in understanding human interactions and applies these insights to his advocacy work. Evidence 3 states Taylor uses movies to gain perspective on conflict resolution and human interactions, integrating these insights into his professional endeavors. Together, all three pieces of evidence directly support both material components of the gold answer: conflict resolution and human interaction insights as the basis for Taylor's professional development activities.</x:v>
      </x:c>
      <x:c r="E4" s="30" t="str">
        <x:v>robust_generation_failure</x:v>
      </x:c>
      <x:c r="F4" s="30" t="str">
        <x:v>omission</x:v>
      </x:c>
      <x:c r="G4" s="30" t="str">
        <x:v>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x:v>
      </x:c>
      <x:c r="H4" s="30" t="str">
        <x:v>omission</x:v>
      </x:c>
      <x:c r="I4" s="30" t="str">
        <x:v>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x:v>
      </x:c>
      <x:c r="J4" s="30" t="str">
        <x:v>omission</x:v>
      </x:c>
      <x:c r="K4" s="30" t="str">
        <x:v>The gold answer includes two components: 'conflict resolution' and 'human interaction insights.' The model answer only provides 'conflict resolution training,' which is an incomplete subset of the gold answer. It does not mention anything related to human interaction insights, and it does not add any false claims, so it qualifies as an omission.</x:v>
      </x:c>
      <x:c r="L4" s="30" t="str">
        <x:v>LongCat-2.0</x:v>
      </x:c>
      <x:c r="M4" s="30" t="str">
        <x:v>LongCat-2.0</x:v>
      </x:c>
      <x:c r="N4" s="30" t="str">
        <x:v>LongCat-2.0</x:v>
      </x:c>
      <x:c r="O4" s="30" t="str">
        <x:v>LongCat-2.0</x:v>
      </x:c>
    </x:row>
    <x:row r="5" ht="54" customHeight="1">
      <x:c r="A5" s="30" t="str">
        <x:v>memos_long:77</x:v>
      </x:c>
      <x:c r="B5" s="30" t="str">
        <x:v>partial</x:v>
      </x:c>
      <x:c r="C5" s="30" t="str">
        <x:v>The evidence does not specify the time frame 'before June 2029' or 'May 2029'.</x:v>
      </x:c>
      <x:c r="D5" s="30" t="str">
        <x:v>Evidence 1 supports that Martin Mark views challenges as growth opportunities, and Evidence 2 supports that he feels optimistic about his future role as Senior Director. However, neither evidence provides any temporal information linking these sentiments to May 2029 or confirming they occurred before June 2029. The time component is a material part of the gold answer and is entirely missing from the evidence.</x:v>
      </x:c>
      <x:c r="E5" s="30" t="str">
        <x:v>evidence_definition_failure</x:v>
      </x:c>
      <x:c r="F5" s="30" t="str">
        <x:v>omission</x:v>
      </x:c>
      <x:c r="G5" s="30" t="str">
        <x:v>The model answer confirms the timeframe but omits the key detail from the gold answer that he viewed challenges as growth opportunities, providing only an incomplete subset of the information.</x:v>
      </x:c>
      <x:c r="H5" s="30" t="str">
        <x:v>omission</x:v>
      </x:c>
      <x:c r="I5" s="30" t="str">
        <x:v>The model answer confirms the timeframe but omits the key detail from the gold answer that Martin Mark viewed challenges as growth opportunities, providing only an incomplete subset of the information.</x:v>
      </x:c>
      <x:c r="J5" s="30" t="str">
        <x:v>omission</x:v>
      </x:c>
      <x:c r="K5" s="30" t="str">
        <x:v>The model answer confirms the timeframe but omits the key detail from the gold answer that Martin Mark viewed challenges as growth opportunities, providing only an incomplete subset of the information.</x:v>
      </x:c>
      <x:c r="L5" s="30" t="str">
        <x:v>LongCat-2.0</x:v>
      </x:c>
      <x:c r="M5" s="30" t="str">
        <x:v>LongCat-2.0</x:v>
      </x:c>
      <x:c r="N5" s="30" t="str">
        <x:v>LongCat-2.0</x:v>
      </x:c>
      <x:c r="O5" s="30" t="str">
        <x:v>LongCat-2.0</x:v>
      </x:c>
    </x:row>
    <x:row r="6" ht="54" customHeight="1">
      <x:c r="A6" s="30" t="str">
        <x:v>memos_medium:316</x:v>
      </x:c>
      <x:c r="B6" s="30" t="str">
        <x:v>sufficient</x:v>
      </x:c>
      <x:c r="C6" s="30" t="str">
        <x:v>None. The evidence explicitly states Johnson Joseph's travel preference includes tech-enhanced travel for efficiency and enjoyment, which directly matches the gold answer.</x:v>
      </x:c>
      <x:c r="D6" s="30" t="str">
        <x:v>Evidence 1 directly states that Johnson Joseph's travel preference has evolved to include tech-enhanced travel for its efficiency and enjoyment. This covers every material component of the gold answer ('Tech-enhanced travel for efficiency and enjoyment'). The additional mention of cultural immersion does not contradict or alter the gold answer; it merely provides extra context. Therefore, the evidence is sufficient to derive the complete gold answer.</x:v>
      </x:c>
      <x:c r="E6" s="30" t="str">
        <x:v>robust_generation_failure</x:v>
      </x:c>
      <x:c r="F6" s="30" t="str">
        <x:v>omission</x:v>
      </x:c>
      <x:c r="G6" s="30" t="str">
        <x:v>The model answer 'Tech-enhanced travel preference' captures part of the gold answer but omits the key detail 'for efficiency and enjoyment,' which is a substantive component of the complete answer. Since it provides only an incomplete subset without adding a false claim, it qualifies as an omission.</x:v>
      </x:c>
      <x:c r="H6" s="30" t="str">
        <x:v>omission</x:v>
      </x:c>
      <x:c r="I6" s="30" t="str">
        <x:v>The model answer captures 'tech-enhanced travel preference' but omits the specific purpose 'for efficiency and enjoyment' present in the gold answer, making it an incomplete subset.</x:v>
      </x:c>
      <x:c r="J6" s="30" t="str">
        <x:v>omission</x:v>
      </x:c>
      <x:c r="K6" s="30" t="str">
        <x:v>The model answer captures 'tech-enhanced travel preference' but omits the specific purpose 'for efficiency and enjoyment' present in the gold answer, making it an incomplete subset.</x:v>
      </x:c>
      <x:c r="L6" s="30" t="str">
        <x:v>LongCat-2.0</x:v>
      </x:c>
      <x:c r="M6" s="30" t="str">
        <x:v>LongCat-2.0</x:v>
      </x:c>
      <x:c r="N6" s="30" t="str">
        <x:v>LongCat-2.0</x:v>
      </x:c>
      <x:c r="O6" s="30" t="str">
        <x:v>LongCat-2.0</x:v>
      </x:c>
    </x:row>
    <x:row r="7" ht="54" customHeight="1">
      <x:c r="A7" s="30" t="str">
        <x:v>memos_medium:1675</x:v>
      </x:c>
      <x:c r="B7" s="30" t="str">
        <x:v>sufficient</x:v>
      </x:c>
      <x:c r="C7" s="30" t="str"/>
      <x:c r="D7" s="30" t="str">
        <x:v>Evidence 1 states Susan Thompson plans to continue developing innovative content for her seminars, drawing from personal experiences. Evidence 2 specifies that she used her position as Lead Wellness Coach to develop workshops focused on sharing her personal health recovery journey. Together, these establish that her workshop content is based on personal health recovery experiences, which fully matches the gold answer.</x:v>
      </x:c>
      <x:c r="E7" s="30" t="str">
        <x:v>ua3_representation_or_admission_failure</x:v>
      </x:c>
      <x:c r="F7" s="30" t="str">
        <x:v>correct</x:v>
      </x:c>
      <x:c r="G7"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H7" s="30" t="str">
        <x:v>correct</x:v>
      </x:c>
      <x:c r="I7"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J7" s="30" t="str">
        <x:v>correct</x:v>
      </x:c>
      <x:c r="K7"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L7" s="30" t="str">
        <x:v>LongCat-2.0</x:v>
      </x:c>
      <x:c r="M7" s="30" t="str">
        <x:v>LongCat-2.0</x:v>
      </x:c>
      <x:c r="N7" s="30" t="str">
        <x:v>LongCat-2.0</x:v>
      </x:c>
      <x:c r="O7" s="30" t="str">
        <x:v>LongCat-2.0</x:v>
      </x:c>
    </x:row>
    <x:row r="8" ht="54" customHeight="1">
      <x:c r="A8" s="30" t="str">
        <x:v>memos_medium:476</x:v>
      </x:c>
      <x:c r="B8" s="30" t="str">
        <x:v>sufficient</x:v>
      </x:c>
      <x:c r="C8" s="30" t="str"/>
      <x:c r="D8" s="30" t="str">
        <x:v>The gold answer is 'Activities offering sustained energy without negative side effects.' Evidence 1 states Donald Brown no longer dislikes energy drinks after experiencing positive effects from a new brand that provides a sustained energy boost without jitters (i.e., without negative side effects). Evidence 2 confirms he appreciates this sustained energy boost and has an exploratory motivation to try new things. Evidence 3 states his exploratory motivation includes trying new activities. Together, these support that Donald Brown, driven by his appreciation for sustained energy without negative side effects and his exploratory motivation, would explore new activities offering sustained energy without negative side effects. All material components of the gold answer are derivable.</x:v>
      </x:c>
      <x:c r="E8" s="30" t="str">
        <x:v>robust_generation_failure</x:v>
      </x:c>
      <x:c r="F8" s="30" t="str">
        <x:v>hallucination</x:v>
      </x:c>
      <x:c r="G8"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x:v>
      </x:c>
      <x:c r="H8" s="30" t="str">
        <x:v>hallucination</x:v>
      </x:c>
      <x:c r="I8"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x:v>
      </x:c>
      <x:c r="J8" s="30" t="str">
        <x:v>hallucination</x:v>
      </x:c>
      <x:c r="K8"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found in the benchmark.</x:v>
      </x:c>
      <x:c r="L8" s="30" t="str">
        <x:v>LongCat-2.0</x:v>
      </x:c>
      <x:c r="M8" s="30" t="str">
        <x:v>LongCat-2.0</x:v>
      </x:c>
      <x:c r="N8" s="30" t="str">
        <x:v>LongCat-2.0</x:v>
      </x:c>
      <x:c r="O8" s="30" t="str">
        <x:v>LongCat-2.0</x:v>
      </x:c>
    </x:row>
    <x:row r="9" ht="54" customHeight="1">
      <x:c r="A9" s="30" t="str">
        <x:v>memos_medium:2486</x:v>
      </x:c>
      <x:c r="B9" s="30" t="str">
        <x:v>sufficient</x:v>
      </x:c>
      <x:c r="C9" s="30" t="str">
        <x:v>None. The evidence directly supports that Steven Miller's health improved to 'Good and Restored' and that his chronic disease situation updated to 'None reported', which together fully support the gold answer that his health improved to good and restored by Apr 01, 2029.</x:v>
      </x:c>
      <x:c r="D9" s="30" t="str">
        <x:v>Evidence 1 explicitly states that Steven Miller's physical health status improved from 'Moderate and Stressed' to 'Good and Restored', which directly matches the gold answer's claim that his health improved to good and restored. Evidence 2 further supports this by stating his chronic disease situation updated from 'Stress-related fatigue' to 'None reported', corroborating the improvement. Together, these pieces of evidence contain enough information to derive every material component of the gold answer.</x:v>
      </x:c>
      <x:c r="E9" s="30" t="str">
        <x:v>robust_generation_failure</x:v>
      </x:c>
      <x:c r="F9" s="30" t="str">
        <x:v>omission</x:v>
      </x:c>
      <x:c r="G9" s="30" t="str">
        <x:v>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x:v>
      </x:c>
      <x:c r="H9" s="30" t="str">
        <x:v>omission</x:v>
      </x:c>
      <x:c r="I9" s="30" t="str">
        <x:v>The model answer 'No, it improved' correctly indicates that Steven's health did not remain moderate and stressed, but it omits the specific details from the gold answer: that his health improved to 'good and restored' and the specific date 'Apr 01, 2029'. While not factually incorrect, it provides only an incomplete subset of the gold answer.</x:v>
      </x:c>
      <x:c r="J9" s="30" t="str">
        <x:v>omission</x:v>
      </x:c>
      <x:c r="K9" s="30" t="str">
        <x:v>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x:v>
      </x:c>
      <x:c r="L9" s="30" t="str">
        <x:v>LongCat-2.0</x:v>
      </x:c>
      <x:c r="M9" s="30" t="str">
        <x:v>LongCat-2.0</x:v>
      </x:c>
      <x:c r="N9" s="30" t="str">
        <x:v>LongCat-2.0</x:v>
      </x:c>
      <x:c r="O9" s="30" t="str">
        <x:v>LongCat-2.0</x:v>
      </x:c>
    </x:row>
    <x:row r="10" ht="54" customHeight="1">
      <x:c r="A10" s="30" t="str">
        <x:v>memos_medium:2008</x:v>
      </x:c>
      <x:c r="B10" s="30" t="str">
        <x:v>sufficient</x:v>
      </x:c>
      <x:c r="C10" s="30" t="str"/>
      <x:c r="D10" s="30" t="str">
        <x:v>Evidence 1 directly states that Joseph Garcia incorporates regular breaks and mindfulness practices to manage stress and maintain health while diversifying his film archive. This fully supports both material components of the gold answer: 'regular breaks' and 'mindfulness practices'. Evidence 2 provides additional context about managing hypertension but is not needed to derive the answer. The complete gold answer is directly derivable from the evidence.</x:v>
      </x:c>
      <x:c r="E10" s="30" t="str">
        <x:v>ua3_representation_or_admission_failure</x:v>
      </x:c>
      <x:c r="F10" s="30" t="str">
        <x:v>correct</x:v>
      </x:c>
      <x:c r="G10" s="30" t="str">
        <x:v>The model answer 'Regular breaks and mindfulness' is a semantically complete match to the gold answer 'Regular breaks and mindfulness practices.' The omission of the word 'practices' does not change the meaning or introduce any false claim; it is a minor wording difference that preserves the full semantic content of the gold answer.</x:v>
      </x:c>
      <x:c r="H10" s="30" t="str">
        <x:v>correct</x:v>
      </x:c>
      <x:c r="I10" s="30" t="str">
        <x:v>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x:v>
      </x:c>
      <x:c r="J10" s="30" t="str">
        <x:v>correct</x:v>
      </x:c>
      <x:c r="K10" s="30" t="str">
        <x:v>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x:v>
      </x:c>
      <x:c r="L10" s="30" t="str">
        <x:v>LongCat-2.0</x:v>
      </x:c>
      <x:c r="M10" s="30" t="str">
        <x:v>LongCat-2.0</x:v>
      </x:c>
      <x:c r="N10" s="30" t="str">
        <x:v>LongCat-2.0</x:v>
      </x:c>
      <x:c r="O10" s="30" t="str">
        <x:v>LongCat-2.0</x:v>
      </x:c>
    </x:row>
    <x:row r="11" ht="54" customHeight="1">
      <x:c r="A11" s="30" t="str">
        <x:v>memos_medium:2508</x:v>
      </x:c>
      <x:c r="B11" s="30" t="str">
        <x:v>partial</x:v>
      </x:c>
      <x:c r="C11" s="30" t="str">
        <x:v>The evidence does not confirm that Steven will explore classical rock specifically to maintain focus during work; Evidence 1 only mentions curiosity about exploring such genres, and Evidence 2 indicates a preference for classical jazz while working, creating ambiguity about which genre he would actually use for focus.</x:v>
      </x:c>
      <x:c r="D11" s="30" t="str">
        <x:v>Evidence 1 supports that Steven expressed curiosity about exploring classical rock due to its rhythmic complexity and structure, which partially aligns with the gold answer. However, Evidence 2 states he prefers classical jazz for working, which conflicts with or at least does not confirm classical rock as the genre he would explore for focus during work. The evidence taken together does not definitively establish that classical rock is the genre he would explore for maintaining focus, making the support partial rather than sufficient.</x:v>
      </x:c>
      <x:c r="E11" s="30" t="str">
        <x:v>evidence_definition_failure</x:v>
      </x:c>
      <x:c r="F11" s="30" t="str">
        <x:v>hallucination</x:v>
      </x:c>
      <x:c r="G11"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H11" s="30" t="str">
        <x:v>hallucination</x:v>
      </x:c>
      <x:c r="I11"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J11" s="30" t="str">
        <x:v>hallucination</x:v>
      </x:c>
      <x:c r="K11"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L11" s="30" t="str">
        <x:v>LongCat-2.0</x:v>
      </x:c>
      <x:c r="M11" s="30" t="str">
        <x:v>LongCat-2.0</x:v>
      </x:c>
      <x:c r="N11" s="30" t="str">
        <x:v>LongCat-2.0</x:v>
      </x:c>
      <x:c r="O11" s="30" t="str">
        <x:v>LongCat-2.0</x:v>
      </x:c>
    </x:row>
    <x:row r="12" ht="54" customHeight="1">
      <x:c r="A12" s="30" t="str">
        <x:v>memos_medium:319</x:v>
      </x:c>
      <x:c r="B12" s="30" t="str">
        <x:v>sufficient</x:v>
      </x:c>
      <x:c r="C12" s="30" t="str"/>
      <x:c r="D12" s="30" t="str">
        <x:v>Evidence 1 directly states that Johnson Joseph's preference for dogs emphasizes their role in providing security and comfort for guests at Albi B&amp;B. This fully supports both material components of the gold answer: the preference for dogs and the reasons (security and comfort). No additional information is needed to derive the complete gold answer.</x:v>
      </x:c>
      <x:c r="E12" s="30" t="str">
        <x:v>ua3_representation_or_admission_failure</x:v>
      </x:c>
      <x:c r="F12" s="30" t="str">
        <x:v>correct</x:v>
      </x:c>
      <x:c r="G12"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x:v>
      </x:c>
      <x:c r="H12" s="30" t="str">
        <x:v>correct</x:v>
      </x:c>
      <x:c r="I12"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x:v>
      </x:c>
      <x:c r="J12" s="30" t="str">
        <x:v>correct</x:v>
      </x:c>
      <x:c r="K12"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semantically equivalent and complete.</x:v>
      </x:c>
      <x:c r="L12" s="30" t="str">
        <x:v>LongCat-2.0</x:v>
      </x:c>
      <x:c r="M12" s="30" t="str">
        <x:v>LongCat-2.0</x:v>
      </x:c>
      <x:c r="N12" s="30" t="str">
        <x:v>LongCat-2.0</x:v>
      </x:c>
      <x:c r="O12" s="30" t="str">
        <x:v>LongCat-2.0</x:v>
      </x:c>
    </x:row>
    <x:row r="13" ht="54" customHeight="1">
      <x:c r="A13" s="30" t="str">
        <x:v>memos_long:2118</x:v>
      </x:c>
      <x:c r="B13" s="30" t="str">
        <x:v>sufficient</x:v>
      </x:c>
      <x:c r="C13" s="30" t="str"/>
      <x:c r="D13" s="30" t="str">
        <x:v>Evidence 1 directly states that mindfulness practices have stabilized Sharon's mental health and that a balanced diet has improved her physical health, which supports both 'mindfulness' and 'balanced diet' as wellness strategies she might explore. Evidence 2 further supports that Sharon is motivated to test new wellness strategies, reinforcing the plausibility of her exploring these approaches. Together, the evidence fully supports every material component of the gold answer.</x:v>
      </x:c>
      <x:c r="E13" s="30" t="str">
        <x:v>robust_generation_failure</x:v>
      </x:c>
      <x:c r="F13" s="30" t="str">
        <x:v>hallucination</x:v>
      </x:c>
      <x:c r="G13" s="30" t="str">
        <x:v>The model answer 'New philosophical approaches' is a concrete answer that does not match the gold answer's specific strategies of mindfulness and balanced diet, and introduces unsupported material not present in the gold answer.</x:v>
      </x:c>
      <x:c r="H13" s="30" t="str">
        <x:v>hallucination</x:v>
      </x:c>
      <x:c r="I13" s="30" t="str">
        <x:v>The model answer 'New philosophical approaches' is a concrete answer that does not match the gold answer's specific strategies of mindfulness and balanced diet, and introduces unsupported material not present in the benchmark.</x:v>
      </x:c>
      <x:c r="J13" s="30" t="str">
        <x:v>hallucination</x:v>
      </x:c>
      <x:c r="K13" s="30" t="str">
        <x:v>The gold answer specifies concrete wellness strategies (mindfulness and balanced diet), while the model answer provides 'New philosophical approaches,' which is a concrete but unsupported and incorrect claim that does not match the gold answer.</x:v>
      </x:c>
      <x:c r="L13" s="30" t="str">
        <x:v>LongCat-2.0</x:v>
      </x:c>
      <x:c r="M13" s="30" t="str">
        <x:v>LongCat-2.0</x:v>
      </x:c>
      <x:c r="N13" s="30" t="str">
        <x:v>LongCat-2.0</x:v>
      </x:c>
      <x:c r="O13" s="30" t="str">
        <x:v>LongCat-2.0</x:v>
      </x:c>
    </x:row>
    <x:row r="14" ht="54" customHeight="1">
      <x:c r="A14" s="30" t="str">
        <x:v>memos_medium:2490</x:v>
      </x:c>
      <x:c r="B14" s="30" t="str">
        <x:v>insufficient</x:v>
      </x:c>
      <x:c r="C14" s="30" t="str">
        <x:v>The evidence does not support that Steven's health status was 'Good and Restored' on April 1, 2029, or that it changed to 'Balanced' by June 15, 2029. Evidence 1 states the improvement was from 'Moderate and Stressed' to 'Good and Restored', and Evidence 2 confirms the improved status was 'Good and Restored' on June 15, 2029—neither mentions 'Balanced' or the specific April 1, 2029 starting point.</x:v>
      </x:c>
      <x:c r="D14" s="30" t="str">
        <x:v>The gold answer claims a change from 'Good and Restored' to 'Balanced' between April 1, 2029 and June 15, 2029. However, the provided evidence describes a different trajectory: from 'Moderate and Stressed' to 'Good and Restored', with the improved status explicitly being 'Good and Restored' on June 15, 2029. The evidence contains no mention of 'Balanced' at all, nor does it establish 'Good and Restored' as the status on April 1, 2029. Therefore, the evidence does not support any material component of the gold answer.</x:v>
      </x:c>
      <x:c r="E14" s="30" t="str">
        <x:v>evidence_definition_failure</x:v>
      </x:c>
      <x:c r="F14" s="30" t="str">
        <x:v>hallucination</x:v>
      </x:c>
      <x:c r="G14"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H14" s="30" t="str">
        <x:v>hallucination</x:v>
      </x:c>
      <x:c r="I14"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J14" s="30" t="str">
        <x:v>hallucination</x:v>
      </x:c>
      <x:c r="K14"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L14" s="30" t="str">
        <x:v>LongCat-2.0</x:v>
      </x:c>
      <x:c r="M14" s="30" t="str">
        <x:v>LongCat-2.0</x:v>
      </x:c>
      <x:c r="N14" s="30" t="str">
        <x:v>LongCat-2.0</x:v>
      </x:c>
      <x:c r="O14" s="30" t="str">
        <x:v>LongCat-2.0</x:v>
      </x:c>
    </x:row>
    <x:row r="15" ht="54" customHeight="1">
      <x:c r="A15" s="30" t="str">
        <x:v>memos_long:1215</x:v>
      </x:c>
      <x:c r="B15" s="30" t="str">
        <x:v>sufficient</x:v>
      </x:c>
      <x:c r="C15" s="30" t="str">
        <x:v>None. The evidence directly supports that Taylor David attended a creative workshop, that his game preference evolved toward creative puzzle games stimulating innovative thinking and problem-solving, and that he expressed excitement about integrating creative puzzle games to enhance meal planning creativity. Together, these support that a workshop on creative problem-solving techniques would be beneficial for his creative meal planning.</x:v>
      </x:c>
      <x:c r="D15" s="30" t="str">
        <x:v>Evidence 1 shows Taylor attended a creative workshop on August 16, 2040, which inspired a shift toward creative puzzle games. Evidence 2 establishes his evolved preference for creative puzzle games that stimulate innovative thinking and problem-solving. Evidence 3 directly links creative puzzle games to enhancing his meal planning creativity. The gold answer — a workshop on creative problem-solving techniques — is directly derivable from the combination of these three pieces of evidence, as the workshop he attended was creative in nature, his preference centers on problem-solving and innovative thinking, and the goal is creative meal planning. All material components of the gold answer are supported.</x:v>
      </x:c>
      <x:c r="E15" s="30" t="str">
        <x:v>robust_generation_failure</x:v>
      </x:c>
      <x:c r="F15" s="30" t="str">
        <x:v>hallucination</x:v>
      </x:c>
      <x:c r="G15" s="30" t="str">
        <x:v>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x:v>
      </x:c>
      <x:c r="H15" s="30" t="str">
        <x:v>hallucination</x:v>
      </x:c>
      <x:c r="I15"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J15" s="30" t="str">
        <x:v>hallucination</x:v>
      </x:c>
      <x:c r="K15" s="30" t="str">
        <x:v>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x:v>
      </x:c>
      <x:c r="L15" s="30" t="str">
        <x:v>LongCat-2.0</x:v>
      </x:c>
      <x:c r="M15" s="30" t="str">
        <x:v>LongCat-2.0</x:v>
      </x:c>
      <x:c r="N15" s="30" t="str">
        <x:v>LongCat-2.0</x:v>
      </x:c>
      <x:c r="O15" s="30" t="str">
        <x:v>LongCat-2.0</x:v>
      </x:c>
    </x:row>
    <x:row r="16" ht="54" customHeight="1">
      <x:c r="A16" s="30" t="str">
        <x:v>memos_long:38</x:v>
      </x:c>
      <x:c r="B16" s="30" t="str">
        <x:v>partial</x:v>
      </x:c>
      <x:c r="C16" s="30" t="str">
        <x:v>The evidence does not specify any time frame (e.g., after October 29, 2027) or mention specific sustainable travel choices such as eco-friendly transportation or supporting local eco-tourism.</x:v>
      </x:c>
      <x:c r="D16" s="30" t="str">
        <x:v>Evidence 1 states Martin is exploring sustainable choices in travel, and Evidence 2 confirms he values sustainability and environmental consciousness. These support the general idea that Martin would consider sustainable travel choices. However, the evidence does not mention the specific date (after October 29, 2027) or the specific options (eco-friendly transportation, supporting local eco-tourism) listed in the gold answer. Thus, only some material components are supported.</x:v>
      </x:c>
      <x:c r="E16" s="30" t="str">
        <x:v>evidence_definition_failure</x:v>
      </x:c>
      <x:c r="F16" s="30" t="str">
        <x:v>omission</x:v>
      </x:c>
      <x:c r="G16" s="30" t="str">
        <x:v>The model answer 'Exploring sustainable travel options' is vague and does not provide the specific concrete details included in the gold answer, such as 'eco-friendly transportation' or 'supporting local eco-tourism'. It gives only an incomplete subset of the information without adding any false claims.</x:v>
      </x:c>
      <x:c r="H16" s="30" t="str">
        <x:v>omission</x:v>
      </x:c>
      <x:c r="I16"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x:v>
      </x:c>
      <x:c r="J16" s="30" t="str">
        <x:v>omission</x:v>
      </x:c>
      <x:c r="K16"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L16" s="30" t="str">
        <x:v>LongCat-2.0</x:v>
      </x:c>
      <x:c r="M16" s="30" t="str">
        <x:v>LongCat-2.0</x:v>
      </x:c>
      <x:c r="N16" s="30" t="str">
        <x:v>LongCat-2.0</x:v>
      </x:c>
      <x:c r="O16" s="30" t="str">
        <x:v>LongCat-2.0</x:v>
      </x:c>
    </x:row>
    <x:row r="17" ht="54" customHeight="1">
      <x:c r="A17" s="30" t="str">
        <x:v>memos_long:3316</x:v>
      </x:c>
      <x:c r="B17" s="30" t="str">
        <x:v>sufficient</x:v>
      </x:c>
      <x:c r="C17" s="30" t="str"/>
      <x:c r="D17" s="30" t="str">
        <x:v>The gold answer has two material components: (1) destinations with scenic views and (2) social interaction opportunities. Evidence 1 states Christopher rediscovered appreciation for scenic train journeys with both solitude and social interactions on Apr 08, 2026, directly supporting both scenic views and social interaction. Evidence 2 reinforces this by noting beautiful landscapes and engaging conversations made train journeys more enjoyable. Together, the evidence fully supports that Christopher would consider destinations offering scenic views and social interaction opportunities.</x:v>
      </x:c>
      <x:c r="E17" s="30" t="str">
        <x:v>robust_generation_failure</x:v>
      </x:c>
      <x:c r="F17" s="30" t="str">
        <x:v>omission</x:v>
      </x:c>
      <x:c r="G17" s="30" t="str">
        <x:v>The gold answer specifies two criteria: scenic views and social interaction opportunities. The model answer only mentions scenic train routes, which partially covers scenic views but omits the social interaction aspect entirely. It does not add a false claim, but it provides only an incomplete subset of the gold answer.</x:v>
      </x:c>
      <x:c r="H17" s="30" t="str">
        <x:v>omission</x:v>
      </x:c>
      <x:c r="I17" s="30" t="str">
        <x:v>The gold answer specifies two criteria: scenic views and social interaction opportunities. The model answer only mentions scenic train routes, which partially covers scenic views but omits the social interaction component entirely. It does not add a false claim, but it provides only an incomplete subset of the gold answer.</x:v>
      </x:c>
      <x:c r="J17" s="30" t="str">
        <x:v>omission</x:v>
      </x:c>
      <x:c r="K17" s="30" t="str">
        <x:v>The model answer 'Scenic train routes' is a specific example that aligns with 'scenic views' from the gold answer, but it omits the 'social interaction opportunities' component. Since it provides only an incomplete subset of the gold answer without adding a false claim, it is classified as omission.</x:v>
      </x:c>
      <x:c r="L17" s="30" t="str">
        <x:v>LongCat-2.0</x:v>
      </x:c>
      <x:c r="M17" s="30" t="str">
        <x:v>LongCat-2.0</x:v>
      </x:c>
      <x:c r="N17" s="30" t="str">
        <x:v>LongCat-2.0</x:v>
      </x:c>
      <x:c r="O17" s="30" t="str">
        <x:v>LongCat-2.0</x:v>
      </x:c>
    </x:row>
    <x:row r="18" ht="54" customHeight="1">
      <x:c r="A18" s="30" t="str">
        <x:v>memos_long:179</x:v>
      </x:c>
      <x:c r="B18" s="30" t="str">
        <x:v>sufficient</x:v>
      </x:c>
      <x:c r="C18" s="30" t="str"/>
      <x:c r="D18" s="30" t="str">
        <x:v>The gold answer states that Johnson Joseph's promotion led to 'Increased income and savings.' Evidence 1 shows his monthly income increased from 3500 yuan to 4500 USD, and Evidence 2 shows his savings increased from 12000 yuan to 14000 USD. Both material components of the gold answer—increased income and increased savings—are directly supported by the evidence. Evidence 3 provides additional context about his career recognition. Therefore, the complete gold answer is derivable from the evidence.</x:v>
      </x:c>
      <x:c r="E18" s="30" t="str">
        <x:v>robust_generation_failure</x:v>
      </x:c>
      <x:c r="F18" s="30" t="str">
        <x:v>omission</x:v>
      </x:c>
      <x:c r="G18" s="30" t="str">
        <x:v>The gold answer states that Johnson Joseph's promotion led to increased income and savings. The model answer only mentions the income increase to 4500 USD but omits the savings component, providing only an incomplete subset of the gold answer.</x:v>
      </x:c>
      <x:c r="H18" s="30" t="str">
        <x:v>omission</x:v>
      </x:c>
      <x:c r="I18" s="30" t="str">
        <x:v>The gold answer states that Johnson Joseph's promotion increased both his income and savings. The model answer only mentions the income increase to 4500 USD but omits any mention of savings, providing only an incomplete subset of the gold answer.</x:v>
      </x:c>
      <x:c r="J18" s="30" t="str">
        <x:v>omission</x:v>
      </x:c>
      <x:c r="K18" s="30" t="str">
        <x:v>The gold answer states that Johnson Joseph's promotion led to increased income and savings. The model answer only mentions income increasing to 4500 USD but completely omits the savings component, providing only an incomplete subset of the gold answer.</x:v>
      </x:c>
      <x:c r="L18" s="30" t="str">
        <x:v>LongCat-2.0</x:v>
      </x:c>
      <x:c r="M18" s="30" t="str">
        <x:v>LongCat-2.0</x:v>
      </x:c>
      <x:c r="N18" s="30" t="str">
        <x:v>LongCat-2.0</x:v>
      </x:c>
      <x:c r="O18" s="30" t="str">
        <x:v>LongCat-2.0</x:v>
      </x:c>
    </x:row>
    <x:row r="19" ht="54" customHeight="1">
      <x:c r="A19" s="30" t="str">
        <x:v>memos_medium:1735</x:v>
      </x:c>
      <x:c r="B19" s="30" t="str">
        <x:v>sufficient</x:v>
      </x:c>
      <x:c r="C19" s="30" t="str"/>
      <x:c r="D19" s="30" t="str">
        <x:v>Evidence 1 explicitly states that Susan Thompson's job title changed from 'Health Advocate' to 'Strategic Wellness Planner' on Jun 19, 2037. Evidence 2 confirms that as of Mar 19, 2038, she is still working in this capacity (leveraging skills for community health improvement). Together, these two pieces of evidence directly support the complete gold answer: 'From Health Advocate to Strategic Wellness Planner.'</x:v>
      </x:c>
      <x:c r="E19" s="30" t="str">
        <x:v>robust_generation_failure</x:v>
      </x:c>
      <x:c r="F19" s="30" t="str">
        <x:v>omission</x:v>
      </x:c>
      <x:c r="G19" s="30" t="str">
        <x:v>The model answer only provides the current role (Strategic Wellness Planner) but omits the previous role (Health Advocate) that is required to fully describe the career focus change since Jun 19, 2037.</x:v>
      </x:c>
      <x:c r="H19" s="30" t="str">
        <x:v>omission</x:v>
      </x:c>
      <x:c r="I19" s="30" t="str">
        <x:v>The gold answer describes a career change from 'Health Advocate' to 'Strategic Wellness Planner', capturing both the starting and ending roles. The model answer only provides the ending role ('Strategic Wellness Planner') without mentioning the prior role, making it an incomplete subset of the gold answer.</x:v>
      </x:c>
      <x:c r="J19" s="30" t="str">
        <x:v>omission</x:v>
      </x:c>
      <x:c r="K19" s="30" t="str">
        <x:v>The model answer only provides the current role 'Strategic Wellness Planner' but omits the previous role 'Health Advocate', failing to capture the complete change in career focus described in the gold answer.</x:v>
      </x:c>
      <x:c r="L19" s="30" t="str">
        <x:v>LongCat-2.0</x:v>
      </x:c>
      <x:c r="M19" s="30" t="str">
        <x:v>LongCat-2.0</x:v>
      </x:c>
      <x:c r="N19" s="30" t="str">
        <x:v>LongCat-2.0</x:v>
      </x:c>
      <x:c r="O19" s="30" t="str">
        <x:v>LongCat-2.0</x:v>
      </x:c>
    </x:row>
    <x:row r="20" ht="54" customHeight="1">
      <x:c r="A20" s="30" t="str">
        <x:v>memos_long:3403</x:v>
      </x:c>
      <x:c r="B20" s="30" t="str">
        <x:v>partial</x:v>
      </x:c>
      <x:c r="C20" s="30" t="str">
        <x:v>The evidence does not explicitly state that recognition enhanced trust, nor does it directly link the recognition to the funding through a trust mechanism. Evidence 1 mentions recognition positively impacted his social network and community programs, and Evidence 2 confirms funding was secured, but the causal chain 'recognition → enhanced trust → funding' is not explicitly supported.</x:v>
      </x:c>
      <x:c r="D20" s="30" t="str">
        <x:v>The gold answer has two material components: (1) recognition enhanced trust, and (2) this enabled funding. Evidence 1 shows recognition had a positive impact, and Evidence 2 confirms funding was secured, but the specific mechanism of 'enhanced trust' as the causal link between recognition and funding is not stated in any evidence. The evidence supports that both events occurred and that Christopher expressed gratitude (Evidence 3), but the trust-enhancement mechanism is an inference not directly derivable from the provided evidence.</x:v>
      </x:c>
      <x:c r="E20" s="30" t="str">
        <x:v>evidence_definition_failure</x:v>
      </x:c>
      <x:c r="F20" s="30" t="str">
        <x:v>omission</x:v>
      </x:c>
      <x:c r="G20"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x:v>
      </x:c>
      <x:c r="H20" s="30" t="str">
        <x:v>omission</x:v>
      </x:c>
      <x:c r="I20"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state that trust was enhanced or that this led to securing funding, making it an incomplete subset of the gold answer.</x:v>
      </x:c>
      <x:c r="J20" s="30" t="str">
        <x:v>omission</x:v>
      </x:c>
      <x:c r="K20"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x:v>
      </x:c>
      <x:c r="L20" s="30" t="str">
        <x:v>LongCat-2.0</x:v>
      </x:c>
      <x:c r="M20" s="30" t="str">
        <x:v>LongCat-2.0</x:v>
      </x:c>
      <x:c r="N20" s="30" t="str">
        <x:v>LongCat-2.0</x:v>
      </x:c>
      <x:c r="O20" s="30" t="str">
        <x:v>LongCat-2.0</x:v>
      </x:c>
    </x:row>
    <x:row r="21" ht="54" customHeight="1">
      <x:c r="A21" s="30" t="str">
        <x:v>memos_long:3007</x:v>
      </x:c>
      <x:c r="B21" s="30" t="str">
        <x:v>insufficient</x:v>
      </x:c>
      <x:c r="C21" s="30" t="str">
        <x:v>The evidence mentions Karen's interest in exploring Asian and Mediterranean cuisines, but there is no mention of Italian cuisine or any specific reason to conclude she might explore Italian cuisine next.</x:v>
      </x:c>
      <x:c r="D21" s="30" t="str">
        <x:v>The gold answer states Karen might explore Italian cuisine, but the provided evidence only references her interest in Asian and Mediterranean cuisines. Italian cuisine is not mentioned anywhere in the evidence, and there is no logical bridge from the evidence to Italian cuisine specifically. Therefore, the evidence does not support the material component of the gold answer.</x:v>
      </x:c>
      <x:c r="E21" s="30" t="str">
        <x:v>evidence_definition_failure</x:v>
      </x:c>
      <x:c r="F21" s="30" t="str">
        <x:v>hallucination</x:v>
      </x:c>
      <x:c r="G21" s="30" t="str">
        <x:v>The gold answer specifies Italian cuisine as the next exploration. The model answer provides 'Asian or Mediterranean cuisine,' which are concrete suggestions that contradict the gold answer and are unsupported by it.</x:v>
      </x:c>
      <x:c r="H21" s="30" t="str">
        <x:v>hallucination</x:v>
      </x:c>
      <x:c r="I21" s="30" t="str">
        <x:v>The gold answer specifies Italian cuisine as the next exploration. The model answer suggests Asian or Mediterranean cuisine, which are concrete alternatives that contradict the specific gold answer of Italian cuisine.</x:v>
      </x:c>
      <x:c r="J21" s="30" t="str">
        <x:v>hallucination</x:v>
      </x:c>
      <x:c r="K21" s="30" t="str">
        <x:v>The gold answer specifies Italian cuisine as the next cuisine Karen might explore. The model answer provides 'Asian or Mediterranean cuisine,' which are concrete suggestions that contradict the specific gold answer and are not supported by it.</x:v>
      </x:c>
      <x:c r="L21" s="30" t="str">
        <x:v>LongCat-2.0</x:v>
      </x:c>
      <x:c r="M21" s="30" t="str">
        <x:v>LongCat-2.0</x:v>
      </x:c>
      <x:c r="N21" s="30" t="str">
        <x:v>LongCat-2.0</x:v>
      </x:c>
      <x:c r="O21" s="30" t="str">
        <x:v>LongCat-2.0</x:v>
      </x:c>
    </x:row>
    <x:row r="22" ht="54" customHeight="1">
      <x:c r="A22" s="30" t="str">
        <x:v>memos_medium:1171</x:v>
      </x:c>
      <x:c r="B22" s="30" t="str">
        <x:v>sufficient</x:v>
      </x:c>
      <x:c r="C22" s="30" t="str"/>
      <x:c r="D22" s="30" t="str">
        <x:v>Evidence 1 establishes that Taylor is working on new strategies to expand the impact of the Global Nutrition Initiative globally. Evidence 2 directly states that Taylor's strategic initiative development involves leveraging emotional resonance and empathetic interactions through AI for support. Together, these two pieces of evidence fully support the gold answer, as they confirm both the context (expanding the Global Nutrition Initiative's impact) and the specific strategy (leveraging emotional resonance and empathetic interactions through AI). No material component of the gold answer is missing.</x:v>
      </x:c>
      <x:c r="E22" s="30" t="str">
        <x:v>robust_generation_failure</x:v>
      </x:c>
      <x:c r="F22" s="30" t="str">
        <x:v>omission</x:v>
      </x:c>
      <x:c r="G22" s="30" t="str">
        <x:v>The model answer captures 'empathetic support' and 'AI' but omits the key element of 'emotional resonance' and the broader concept of 'empathetic interactions' as specified in the gold answer. It provides only an incomplete subset of the gold answer without adding false claims.</x:v>
      </x:c>
      <x:c r="H22" s="30" t="str">
        <x:v>omission</x:v>
      </x:c>
      <x:c r="I22"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J22" s="30" t="str">
        <x:v>omission</x:v>
      </x:c>
      <x:c r="K22" s="30" t="str">
        <x:v>The model answer captures 'empathetic support' and 'AI' but omits the key element of 'emotional resonance' and the broader concept of 'empathetic interactions' as specified in the gold answer. It provides only an incomplete subset of the full answer.</x:v>
      </x:c>
      <x:c r="L22" s="30" t="str">
        <x:v>LongCat-2.0</x:v>
      </x:c>
      <x:c r="M22" s="30" t="str">
        <x:v>LongCat-2.0</x:v>
      </x:c>
      <x:c r="N22" s="30" t="str">
        <x:v>LongCat-2.0</x:v>
      </x:c>
      <x:c r="O22" s="30" t="str">
        <x:v>LongCat-2.0</x:v>
      </x:c>
    </x:row>
    <x:row r="23" ht="54" customHeight="1">
      <x:c r="A23" s="30" t="str">
        <x:v>memos_long:1370</x:v>
      </x:c>
      <x:c r="B23" s="30" t="str">
        <x:v>insufficient</x:v>
      </x:c>
      <x:c r="C23" s="30" t="str">
        <x:v>The evidence does not mention progressive rock, musical complexity, or a blend of styles as a potential next genre for Ananya to explore.</x:v>
      </x:c>
      <x:c r="D23" s="30" t="str">
        <x:v>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x:v>
      </x:c>
      <x:c r="E23" s="30" t="str">
        <x:v>evidence_definition_failure</x:v>
      </x:c>
      <x:c r="F23" s="30" t="str">
        <x:v>hallucination</x:v>
      </x:c>
      <x:c r="G23"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H23" s="30" t="str">
        <x:v>hallucination</x:v>
      </x:c>
      <x:c r="I23"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(progressive rock) indicated by the gold answer.</x:v>
      </x:c>
      <x:c r="J23" s="30" t="str">
        <x:v>hallucination</x:v>
      </x:c>
      <x:c r="K23"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L23" s="30" t="str">
        <x:v>LongCat-2.0</x:v>
      </x:c>
      <x:c r="M23" s="30" t="str">
        <x:v>LongCat-2.0</x:v>
      </x:c>
      <x:c r="N23" s="30" t="str">
        <x:v>LongCat-2.0</x:v>
      </x:c>
      <x:c r="O23" s="30" t="str">
        <x:v>LongCat-2.0</x:v>
      </x:c>
    </x:row>
    <x:row r="24" ht="54" customHeight="1">
      <x:c r="A24" s="30" t="str">
        <x:v>memos_long:1446</x:v>
      </x:c>
      <x:c r="B24" s="30" t="str">
        <x:v>sufficient</x:v>
      </x:c>
      <x:c r="C24" s="30" t="str">
        <x:v>None</x:v>
      </x:c>
      <x:c r="D24" s="30" t="str">
        <x:v>The gold answer is 'More reliable transportation options.' Evidence 2 explicitly states that Jennifer 'is now seeking more reliable transportation options,' and Evidence 3 states she 'is seeking more reliable transportation options for future business travels.' Both pieces of evidence directly support the complete gold answer. The question asks what transportation option Jennifer might prefer after Feb 01, 2026, and the evidence clearly indicates her preference is for more reliable transportation options. All material components of the gold answer are fully supported.</x:v>
      </x:c>
      <x:c r="E24" s="30" t="str">
        <x:v>ua3_representation_or_admission_failure</x:v>
      </x:c>
      <x:c r="F24" s="30" t="str">
        <x:v>correct</x:v>
      </x:c>
      <x:c r="G24" s="30" t="str">
        <x:v>The model answer 'More reliable transportation options' is semantically identical to the benchmark gold answer 'More reliable transportation options.' and provides the complete answer without any contradiction or unsupported material.</x:v>
      </x:c>
      <x:c r="H24" s="30" t="str">
        <x:v>correct</x:v>
      </x:c>
      <x:c r="I24" s="30" t="str">
        <x:v>The model answer 'More reliable transportation options' is semantically identical to the benchmark gold answer 'More reliable transportation options.' and provides the complete answer without any contradiction or unsupported material.</x:v>
      </x:c>
      <x:c r="J24" s="30" t="str">
        <x:v>correct</x:v>
      </x:c>
      <x:c r="K24" s="30" t="str">
        <x:v>The model answer 'More reliable transportation options' is semantically identical to the benchmark gold answer 'More reliable transportation options.' and provides the complete answer without any contradiction or unsupported material.</x:v>
      </x:c>
      <x:c r="L24" s="30" t="str">
        <x:v>LongCat-2.0</x:v>
      </x:c>
      <x:c r="M24" s="30" t="str">
        <x:v>LongCat-2.0</x:v>
      </x:c>
      <x:c r="N24" s="30" t="str">
        <x:v>LongCat-2.0</x:v>
      </x:c>
      <x:c r="O24" s="30" t="str">
        <x:v>LongCat-2.0</x:v>
      </x:c>
    </x:row>
    <x:row r="25" ht="54" customHeight="1">
      <x:c r="A25" s="30" t="str">
        <x:v>memos_long:968</x:v>
      </x:c>
      <x:c r="B25" s="30" t="str">
        <x:v>sufficient</x:v>
      </x:c>
      <x:c r="C25" s="30" t="str">
        <x:v>none</x:v>
      </x:c>
      <x:c r="D25" s="30" t="str">
        <x:v>Evidence 1 directly states that Donna plans to incorporate more innovative science fiction films into her routine, which fully supports the gold answer 'Innovative science fiction films.' Every material component of the answer is explicitly present in the evidence.</x:v>
      </x:c>
      <x:c r="E25" s="30" t="str">
        <x:v>ua3_representation_or_admission_failure</x:v>
      </x:c>
      <x:c r="F25" s="30" t="str">
        <x:v>correct</x:v>
      </x:c>
      <x:c r="G25" s="30" t="str">
        <x:v>The model answer 'Innovative science fiction films' is semantically identical to the benchmark gold answer 'Innovative science fiction films.' The only difference is the absence of a trailing period, which is a minor punctuation variation that does not affect the meaning. The answer is complete and contains no false or unsupported claims.</x:v>
      </x:c>
      <x:c r="H25" s="30" t="str">
        <x:v>correct</x:v>
      </x:c>
      <x:c r="I25" s="30" t="str">
        <x:v>The model answer 'Innovative science fiction films' is semantically identical to the benchmark gold answer 'Innovative science fiction films.' The only difference is the absence of a period, which is a trivial punctuation variation that does not affect the meaning or completeness of the answer.</x:v>
      </x:c>
      <x:c r="J25" s="30" t="str">
        <x:v>correct</x:v>
      </x:c>
      <x:c r="K25" s="30" t="str">
        <x:v>The model answer 'Innovative science fiction films' is semantically identical to the benchmark gold answer 'Innovative science fiction films.' The only difference is the absence of a period, which is a minor punctuation variation that does not affect the meaning or completeness of the answer.</x:v>
      </x:c>
      <x:c r="L25" s="30" t="str">
        <x:v>LongCat-2.0</x:v>
      </x:c>
      <x:c r="M25" s="30" t="str">
        <x:v>LongCat-2.0</x:v>
      </x:c>
      <x:c r="N25" s="30" t="str">
        <x:v>LongCat-2.0</x:v>
      </x:c>
      <x:c r="O25" s="30" t="str">
        <x:v>LongCat-2.0</x:v>
      </x:c>
    </x:row>
    <x:row r="26" ht="54" customHeight="1">
      <x:c r="A26" s="30" t="str">
        <x:v>memos_long:1123</x:v>
      </x:c>
      <x:c r="B26" s="30" t="str">
        <x:v>sufficient</x:v>
      </x:c>
      <x:c r="C26" s="30" t="str">
        <x:v>None. The evidence directly states that Taylor David explored mindfulness practices, starting with meditation, to refocus on personal recovery.</x:v>
      </x:c>
      <x:c r="D26" s="30" t="str">
        <x:v>The gold answer consists of two material components: (1) mindfulness practices and (2) starting with meditation. Evidence 1 explicitly states that Taylor David expressed a desire to refocus on personal recovery by exploring mindfulness practices, starting with meditation. Both components are directly supported, and the evidence is sufficient to derive the complete gold answer.</x:v>
      </x:c>
      <x:c r="E26" s="30" t="str">
        <x:v>robust_generation_failure</x:v>
      </x:c>
      <x:c r="F26" s="30" t="str">
        <x:v>omission</x:v>
      </x:c>
      <x:c r="G26"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x:v>
      </x:c>
      <x:c r="H26" s="30" t="str">
        <x:v>omission</x:v>
      </x:c>
      <x:c r="I26"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x:v>
      </x:c>
      <x:c r="J26" s="30" t="str">
        <x:v>omission</x:v>
      </x:c>
      <x:c r="K26"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and omits the broader context of mindfulness practices.</x:v>
      </x:c>
      <x:c r="L26" s="30" t="str">
        <x:v>LongCat-2.0</x:v>
      </x:c>
      <x:c r="M26" s="30" t="str">
        <x:v>LongCat-2.0</x:v>
      </x:c>
      <x:c r="N26" s="30" t="str">
        <x:v>LongCat-2.0</x:v>
      </x:c>
      <x:c r="O26" s="30" t="str">
        <x:v>LongCat-2.0</x:v>
      </x:c>
    </x:row>
    <x:row r="27" ht="54" customHeight="1">
      <x:c r="A27" s="30" t="str">
        <x:v>memos_medium:3466</x:v>
      </x:c>
      <x:c r="B27" s="30" t="str">
        <x:v>sufficient</x:v>
      </x:c>
      <x:c r="C27" s="30" t="str">
        <x:v>None. The evidence directly states that Christopher expressed fulfillment and commitment to sustaining senior programs, which fully supports the gold answer.</x:v>
      </x:c>
      <x:c r="D27" s="30" t="str">
        <x:v>The gold answer states that Christopher expressed fulfillment and commitment to sustaining senior programs. Evidence 1 directly states: 'Christopher expressed fulfillment and commitment to sustaining senior programs, highlighting improvements in mobility and social engagement.' This evidence contains every material component of the gold answer — both the fulfillment and the commitment to sustaining senior programs. The question asks about December 2035, and while the evidence does not explicitly mention the date, the evidence is authoritative and directly supports the gold answer's content. Therefore, the evidence is sufficient to derive the complete gold answer.</x:v>
      </x:c>
      <x:c r="E27" s="30" t="str">
        <x:v>robust_generation_failure</x:v>
      </x:c>
      <x:c r="F27" s="30" t="str">
        <x:v>hallucination</x:v>
      </x:c>
      <x:c r="G27" s="30" t="str">
        <x:v>The gold answer states that Christopher Anderson expressed fulfillment and commitment to sustaining senior programs, meaning he did express commitment. The model answer 'No' directly contradicts this by implying he did not express commitment, which is a concrete false claim.</x:v>
      </x:c>
      <x:c r="H27" s="30" t="str">
        <x:v>hallucination</x:v>
      </x:c>
      <x:c r="I27" s="30" t="str">
        <x:v>The gold answer states that Christopher Anderson expressed fulfillment and commitment to sustaining senior programs, meaning he did express commitment. The model answer 'No' directly contradicts this by implying he did not express commitment, which is a concrete false claim.</x:v>
      </x:c>
      <x:c r="J27" s="30" t="str">
        <x:v>hallucination</x:v>
      </x:c>
      <x:c r="K27" s="30" t="str">
        <x:v>The gold answer states that Christopher Anderson expressed fulfillment and commitment to sustaining senior programs, while the model answer 'No' directly contradicts this by implying he did not express commitment. This is a concrete contradiction of the gold answer.</x:v>
      </x:c>
      <x:c r="L27" s="30" t="str">
        <x:v>LongCat-2.0</x:v>
      </x:c>
      <x:c r="M27" s="30" t="str">
        <x:v>LongCat-2.0</x:v>
      </x:c>
      <x:c r="N27" s="30" t="str">
        <x:v>LongCat-2.0</x:v>
      </x:c>
      <x:c r="O27" s="30" t="str">
        <x:v>LongCat-2.0</x:v>
      </x:c>
    </x:row>
    <x:row r="28" ht="54" customHeight="1">
      <x:c r="A28" s="30" t="str">
        <x:v>memos_long:1350</x:v>
      </x:c>
      <x:c r="B28" s="30" t="str">
        <x:v>sufficient</x:v>
      </x:c>
      <x:c r="C28" s="30" t="str"/>
      <x:c r="D28" s="30" t="str">
        <x:v>The question asks for Ananya Sharma's mental health status as of September 1, 2031. Evidence 1 states that her mental health status changed to 'Content' as a result of her freelance work. The gold answer is 'Content', which is directly stated in the evidence. No additional information is needed to derive the complete answer.</x:v>
      </x:c>
      <x:c r="E28" s="30" t="str">
        <x:v>robust_generation_failure</x:v>
      </x:c>
      <x:c r="F28" s="30" t="str">
        <x:v>omission</x:v>
      </x:c>
      <x:c r="G28" s="30" t="str">
        <x:v>Both the gold answer and the model answer are empty ('Content'), meaning the model provides no information about Ananya Sharma's mental health status. This constitutes an omission as the model gives no answer.</x:v>
      </x:c>
      <x:c r="H28" s="30" t="str">
        <x:v>omission</x:v>
      </x:c>
      <x:c r="I28" s="30" t="str">
        <x:v>Both the benchmark gold answer and the model answer contain only the word 'Content' with no actual information provided about Ananya Sharma's mental health status. The model answer fails to provide any substantive answer to the question, making this an omission.</x:v>
      </x:c>
      <x:c r="J28" s="30" t="str">
        <x:v>omission</x:v>
      </x:c>
      <x:c r="K28" s="30" t="str">
        <x:v>Both the gold answer and the model answer are empty ('Content'), meaning the model provided no substantive information about Ananya Sharma's mental health status. Since the model gave no concrete answer, this is an omission.</x:v>
      </x:c>
      <x:c r="L28" s="30" t="str">
        <x:v>LongCat-2.0</x:v>
      </x:c>
      <x:c r="M28" s="30" t="str">
        <x:v>LongCat-2.0</x:v>
      </x:c>
      <x:c r="N28" s="30" t="str">
        <x:v>LongCat-2.0</x:v>
      </x:c>
      <x:c r="O28" s="30" t="str">
        <x:v>LongCat-2.0</x:v>
      </x:c>
    </x:row>
    <x:row r="29" ht="54" customHeight="1">
      <x:c r="A29" s="30" t="str">
        <x:v>memos_medium:2781</x:v>
      </x:c>
      <x:c r="B29" s="30" t="str">
        <x:v>partial</x:v>
      </x:c>
      <x:c r="C29" s="30" t="str">
        <x:v>The evidence does not explicitly mention 'digital tools' as a component of the investment; it only references 'digital campaign strategies and data analysis.'</x:v>
      </x:c>
      <x:c r="D29" s="30" t="str">
        <x:v>Evidence 2 supports 'data analysis' and 'digital campaign strategies,' which partially aligns with the gold answer's 'data analysis and digital tools.' However, 'digital tools' is not explicitly stated or directly derivable from the evidence, making the support incomplete.</x:v>
      </x:c>
      <x:c r="E29" s="30" t="str">
        <x:v>evidence_definition_failure</x:v>
      </x:c>
      <x:c r="F29" s="30" t="str">
        <x:v>hallucination</x:v>
      </x:c>
      <x:c r="G29" s="30" t="str">
        <x:v>The model answer 'Support relative's political campaigns' is a concrete claim that is unrelated to and contradicts the gold answer 'Invest in data analysis and digital tools.' It introduces unsupported material about political campaigns instead of addressing digital campaign strategies for the firm.</x:v>
      </x:c>
      <x:c r="H29" s="30" t="str">
        <x:v>hallucination</x:v>
      </x:c>
      <x:c r="I29" s="30" t="str">
        <x:v>The model answer provides a concrete claim ('Support relative's political campaigns') that is unrelated to and contradicts the gold answer's focus on investing in data analysis and digital tools for the firm's digital campaign strategies.</x:v>
      </x:c>
      <x:c r="J29" s="30" t="str">
        <x:v>hallucination</x:v>
      </x:c>
      <x:c r="K29" s="30" t="str">
        <x:v>The model answer provides a concrete claim ('Support relative's political campaigns') that is unrelated to the gold answer ('Invest in data analysis and digital tools') and introduces unsupported material not present in the benchmark.</x:v>
      </x:c>
      <x:c r="L29" s="30" t="str">
        <x:v>LongCat-2.0</x:v>
      </x:c>
      <x:c r="M29" s="30" t="str">
        <x:v>LongCat-2.0</x:v>
      </x:c>
      <x:c r="N29" s="30" t="str">
        <x:v>LongCat-2.0</x:v>
      </x:c>
      <x:c r="O29" s="30" t="str">
        <x:v>LongCat-2.0</x:v>
      </x:c>
    </x:row>
    <x:row r="30" ht="54" customHeight="1">
      <x:c r="A30" s="30" t="str">
        <x:v>memos_medium:2670</x:v>
      </x:c>
      <x:c r="B30" s="30" t="str">
        <x:v>partial</x:v>
      </x:c>
      <x:c r="C30" s="30" t="str">
        <x:v>The evidence does not explicitly mention 'allergen-free' options or that Oleksandr has specific allergies; it only supports 'health-conscious' options based on his decision to avoid varenyky for health reasons.</x:v>
      </x:c>
      <x:c r="D30" s="30" t="str">
        <x:v>Evidence 1 shows Oleksandr avoids varenyky to prevent health issues, and Evidence 2 shows he is integrating health management strategies. Together, these support the 'health-conscious' component of the gold answer. However, 'allergen-free' is not directly supported—the evidence mentions 'potential health issues' generally, not specifically allergies. Thus, only part of the gold answer is derivable.</x:v>
      </x:c>
      <x:c r="E30" s="30" t="str">
        <x:v>evidence_definition_failure</x:v>
      </x:c>
      <x:c r="F30" s="30" t="str">
        <x:v>omission</x:v>
      </x:c>
      <x:c r="G30" s="30" t="str">
        <x:v>The model answer 'A non-varenyky restaurant' is technically true but only provides an incomplete subset of the gold answer. The gold answer specifies 'allergen-free and health-conscious options,' which gives the meaningful reason behind avoiding varenyky. The model's answer merely restates the avoidance without capturing the substantive recommendation, making it an incomplete answer that omits the key information.</x:v>
      </x:c>
      <x:c r="H30" s="30" t="str">
        <x:v>omission</x:v>
      </x:c>
      <x:c r="I30" s="30" t="str">
        <x:v>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but fails to give the complete semantic content of the gold answer.</x:v>
      </x:c>
      <x:c r="J30" s="30" t="str">
        <x:v>omission</x:v>
      </x:c>
      <x:c r="K30" s="30" t="str">
        <x:v>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of hallucination but fails to deliver the complete semantic content of the gold answer.</x:v>
      </x:c>
      <x:c r="L30" s="30" t="str">
        <x:v>LongCat-2.0</x:v>
      </x:c>
      <x:c r="M30" s="30" t="str">
        <x:v>LongCat-2.0</x:v>
      </x:c>
      <x:c r="N30" s="30" t="str">
        <x:v>LongCat-2.0</x:v>
      </x:c>
      <x:c r="O30" s="30" t="str">
        <x:v>LongCat-2.0</x:v>
      </x:c>
    </x:row>
    <x:row r="31" ht="54" customHeight="1">
      <x:c r="A31" s="30" t="str">
        <x:v>memos_long:910</x:v>
      </x:c>
      <x:c r="B31" s="30" t="str">
        <x:v>sufficient</x:v>
      </x:c>
      <x:c r="C31" s="30" t="str"/>
      <x:c r="D31" s="30" t="str">
        <x:v>Evidence 2 explicitly states that 'Karen has been a crucial support during Donna's health challenges,' which directly supports the gold answer 'Karen' as the person providing significant support to Donna during her health challenges. The evidence is clear and sufficient to derive the complete gold answer.</x:v>
      </x:c>
      <x:c r="E31" s="30" t="str">
        <x:v>robust_generation_failure</x:v>
      </x:c>
      <x:c r="F31" s="30" t="str">
        <x:v>hallucination</x:v>
      </x:c>
      <x:c r="G31" s="30" t="str">
        <x:v>The gold answer is 'Karen', but the model answer is 'SmithKaren', which adds the unsupported surname 'Smith' to the correct first name. This constitutes a concrete false claim (unsupported material), making it a hallucination rather than a correct answer.</x:v>
      </x:c>
      <x:c r="H31" s="30" t="str">
        <x:v>hallucination</x:v>
      </x:c>
      <x:c r="I31" s="30" t="str">
        <x:v>The model answer 'SmithKaren' includes the unsupported/incorrect material 'Smith' which is not part of the gold answer 'Karen'. This constitutes a hallucination as it adds incorrect information to the correct answer.</x:v>
      </x:c>
      <x:c r="J31" s="30" t="str">
        <x:v>hallucination</x:v>
      </x:c>
      <x:c r="K31" s="30" t="str">
        <x:v>The gold answer is 'Karen', but the model answer is 'SmithKaren', which adds the unsupported surname 'Smith' to the correct first name. This constitutes a concrete false claim (unsupported material), making it a hallucination rather than a correct answer.</x:v>
      </x:c>
      <x:c r="L31" s="30" t="str">
        <x:v>LongCat-2.0</x:v>
      </x:c>
      <x:c r="M31" s="30" t="str">
        <x:v>LongCat-2.0</x:v>
      </x:c>
      <x:c r="N31" s="30" t="str">
        <x:v>LongCat-2.0</x:v>
      </x:c>
      <x:c r="O31" s="30" t="str">
        <x:v>LongCat-2.0</x:v>
      </x:c>
    </x:row>
    <x:row r="32" ht="54" customHeight="1">
      <x:c r="A32" s="30" t="str">
        <x:v>memos_medium:455</x:v>
      </x:c>
      <x:c r="B32" s="30" t="str">
        <x:v>partial</x:v>
      </x:c>
      <x:c r="C32" s="30" t="str">
        <x:v>The evidence does not mention hiking boots or any specific footwear for hiking trips; it only discusses ergonomic sneakers for standing and general well-being.</x:v>
      </x:c>
      <x:c r="D32" s="30" t="str">
        <x:v>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material component 'hiking boots' is entirely unsupported, making the evidence insufficient to derive the complete gold answer.</x:v>
      </x:c>
      <x:c r="E32" s="30" t="str">
        <x:v>evidence_definition_failure</x:v>
      </x:c>
      <x:c r="F32" s="30" t="str">
        <x:v>hallucination</x:v>
      </x:c>
      <x:c r="G32"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H32" s="30" t="str">
        <x:v>hallucination</x:v>
      </x:c>
      <x:c r="I32"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J32" s="30" t="str">
        <x:v>hallucination</x:v>
      </x:c>
      <x:c r="K32"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L32" s="30" t="str">
        <x:v>LongCat-2.0</x:v>
      </x:c>
      <x:c r="M32" s="30" t="str">
        <x:v>LongCat-2.0</x:v>
      </x:c>
      <x:c r="N32" s="30" t="str">
        <x:v>LongCat-2.0</x:v>
      </x:c>
      <x:c r="O32" s="30" t="str">
        <x:v>LongCat-2.0</x:v>
      </x:c>
    </x:row>
    <x:row r="33" ht="54" customHeight="1">
      <x:c r="A33" s="30" t="str">
        <x:v>memos_long:2792</x:v>
      </x:c>
      <x:c r="B33" s="30" t="str">
        <x:v>sufficient</x:v>
      </x:c>
      <x:c r="C33" s="30" t="str"/>
      <x:c r="D33" s="30" t="str">
        <x:v>The gold answer is 'Complex and diverse flavors.' Evidence 1 explicitly states Donald Smith has 'a broader appreciation for complex flavors' due to diverse culinary experiences. Evidence 2 reinforces that his evolving food preferences reflect a strategy to 'embrace diverse experiences.' Together, these two pieces of evidence directly support both material components of the gold answer: 'complex' (from Evidence 1) and 'diverse' (from both Evidence 1 and Evidence 2). The evidence is sufficient to derive the complete gold answer.</x:v>
      </x:c>
      <x:c r="E33" s="30" t="str">
        <x:v>ua3_representation_or_admission_failure</x:v>
      </x:c>
      <x:c r="F33" s="30" t="str">
        <x:v>correct</x:v>
      </x:c>
      <x:c r="G33" s="30" t="str">
        <x:v>The model answer 'Diverse or complex cuisines' semantically captures the complete gold answer 'Complex and diverse flavors,' conveying the same meaning with slightly different wording.</x:v>
      </x:c>
      <x:c r="H33" s="30" t="str">
        <x:v>correct</x:v>
      </x:c>
      <x:c r="I33" s="30" t="str">
        <x:v>The model answer 'Diverse or complex cuisines' semantically captures the gold answer 'Complex and diverse flavors,' conveying the same meaning with slightly different wording.</x:v>
      </x:c>
      <x:c r="J33" s="30" t="str">
        <x:v>correct</x:v>
      </x:c>
      <x:c r="K33" s="30" t="str">
        <x:v>The model answer 'Diverse or complex cuisines' semantically captures the complete gold answer 'Complex and diverse flavors,' conveying the same meaning with slightly different wording.</x:v>
      </x:c>
      <x:c r="L33" s="30" t="str">
        <x:v>LongCat-2.0</x:v>
      </x:c>
      <x:c r="M33" s="30" t="str">
        <x:v>LongCat-2.0</x:v>
      </x:c>
      <x:c r="N33" s="30" t="str">
        <x:v>LongCat-2.0</x:v>
      </x:c>
      <x:c r="O33" s="30" t="str">
        <x:v>LongCat-2.0</x:v>
      </x:c>
    </x:row>
    <x:row r="34" ht="54" customHeight="1">
      <x:c r="A34" s="30" t="str">
        <x:v>memos_medium:572</x:v>
      </x:c>
      <x:c r="B34" s="30" t="str">
        <x:v>sufficient</x:v>
      </x:c>
      <x:c r="C34" s="30" t="str">
        <x:v>none</x:v>
      </x:c>
      <x:c r="D34" s="30" t="str">
        <x:v>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x:v>
      </x:c>
      <x:c r="E34" s="30" t="str">
        <x:v>ua3_representation_or_admission_failure</x:v>
      </x:c>
      <x:c r="F34" s="30" t="str">
        <x:v>correct</x:v>
      </x:c>
      <x:c r="G34" s="30" t="str">
        <x:v>The model answer 'Mindfulness and structured rest' captures the complete semantic content of the gold answer 'Mindfulness practices and structured rest periods' with only minor wording differences, and adds no false or unsupported material.</x:v>
      </x:c>
      <x:c r="H34" s="30" t="str">
        <x:v>correct</x:v>
      </x:c>
      <x:c r="I34" s="30" t="str">
        <x:v>The model answer 'Mindfulness and structured rest' captures the complete semantic content of the gold answer 'Mindfulness practices and structured rest periods' with only minor wording differences, and adds no false or unsupported material.</x:v>
      </x:c>
      <x:c r="J34" s="30" t="str">
        <x:v>correct</x:v>
      </x:c>
      <x:c r="K34" s="30" t="str">
        <x:v>The model answer 'Mindfulness and structured rest' captures the complete semantic content of the gold answer 'Mindfulness practices and structured rest periods' with only minor wording differences, and adds no false or unsupported material.</x:v>
      </x:c>
      <x:c r="L34" s="30" t="str">
        <x:v>LongCat-2.0</x:v>
      </x:c>
      <x:c r="M34" s="30" t="str">
        <x:v>LongCat-2.0</x:v>
      </x:c>
      <x:c r="N34" s="30" t="str">
        <x:v>LongCat-2.0</x:v>
      </x:c>
      <x:c r="O34" s="30" t="str">
        <x:v>LongCat-2.0</x:v>
      </x:c>
    </x:row>
    <x:row r="35" ht="54" customHeight="1">
      <x:c r="A35" s="30" t="str">
        <x:v>memos_medium:2055</x:v>
      </x:c>
      <x:c r="B35" s="30" t="str">
        <x:v>sufficient</x:v>
      </x:c>
      <x:c r="C35" s="30" t="str"/>
      <x:c r="D35" s="30" t="str">
        <x:v>Evidence 1 directly states that feedback from Joseph's VR educational programs indicated a revitalized interest in classic films among participants. This matches the gold answer exactly, covering all material components of the requested answer.</x:v>
      </x:c>
      <x:c r="E35" s="30" t="str">
        <x:v>ua3_representation_or_admission_failure</x:v>
      </x:c>
      <x:c r="F35" s="30" t="str">
        <x:v>correct</x:v>
      </x:c>
      <x:c r="G35" s="30" t="str">
        <x:v>The model answer 'Revitalized interest in classic films.' is semantically identical to the gold answer 'Revitalized interest in classic films', with only a minor punctuation difference (a period at the end). This constitutes a complete and accurate answer.</x:v>
      </x:c>
      <x:c r="H35" s="30" t="str">
        <x:v>correct</x:v>
      </x:c>
      <x:c r="I35" s="30" t="str">
        <x:v>The model answer 'Revitalized interest in classic films.' is semantically identical to the gold answer 'Revitalized interest in classic films', differing only by a trailing punctuation mark, which does not change the meaning.</x:v>
      </x:c>
      <x:c r="J35" s="30" t="str">
        <x:v>correct</x:v>
      </x:c>
      <x:c r="K35" s="30" t="str">
        <x:v>The model answer 'Revitalized interest in classic films.' is semantically identical to the gold answer 'Revitalized interest in classic films', with only a minor punctuation difference (a period at the end). This constitutes a complete and accurate answer.</x:v>
      </x:c>
      <x:c r="L35" s="30" t="str">
        <x:v>LongCat-2.0</x:v>
      </x:c>
      <x:c r="M35" s="30" t="str">
        <x:v>LongCat-2.0</x:v>
      </x:c>
      <x:c r="N35" s="30" t="str">
        <x:v>LongCat-2.0</x:v>
      </x:c>
      <x:c r="O35" s="30" t="str">
        <x:v>LongCat-2.0</x:v>
      </x:c>
    </x:row>
    <x:row r="36" ht="54" customHeight="1">
      <x:c r="A36" s="30" t="str">
        <x:v>memos_medium:2758</x:v>
      </x:c>
      <x:c r="B36" s="30" t="str">
        <x:v>sufficient</x:v>
      </x:c>
      <x:c r="C36" s="30" t="str">
        <x:v>None. The gold answer's material components—aligning personal preferences with professional goals for credibility—are directly supported by Evidence 1, which states Donald aimed to align personal clothing preferences with professional goals to reflect his commitment to the campaign on Mar 18, 2026. Evidence 2 further corroborates that he discussed the impact of clothing choices on his role in supporting his relative's political career on the same date.</x:v>
      </x:c>
      <x:c r="D36" s="30" t="str">
        <x:v>The gold answer consists of two material components: (1) aligning personal preferences with professional goals, and (2) doing so for credibility. Evidence 1 explicitly states that Donald aimed to align personal clothing preferences with professional goals to reflect his commitment to the campaign on Mar 18, 2026. 'Reflecting commitment to the campaign' is a direct expression of credibility in a political context. Evidence 2 confirms the temporal and contextual relevance by noting he discussed the impact of clothing choices on his role in supporting his relative's political career on the same date. Together, the evidence fully supports the gold answer through ordinary reasoning.</x:v>
      </x:c>
      <x:c r="E36" s="30" t="str">
        <x:v>robust_generation_failure</x:v>
      </x:c>
      <x:c r="F36" s="30" t="str">
        <x:v>omission</x:v>
      </x:c>
      <x:c r="G36" s="30" t="str">
        <x:v>The model answer 'Align with professional goals' captures only part of the gold answer, which also includes 'personal preferences' and 'for credibility.' By omitting these key components without adding false information, the response is an incomplete subset of the gold answer.</x:v>
      </x:c>
      <x:c r="H36" s="30" t="str">
        <x:v>omission</x:v>
      </x:c>
      <x:c r="I36" s="30" t="str">
        <x:v>The model answer 'Align with professional goals' captures only part of the gold answer, which also includes 'personal preferences' and 'for credibility.' The model omits these key components without adding false information, making it an incomplete subset.</x:v>
      </x:c>
      <x:c r="J36" s="30" t="str">
        <x:v>omission</x:v>
      </x:c>
      <x:c r="K36" s="30" t="str">
        <x:v>The model answer 'Align with professional goals' captures only part of the gold answer, which also includes 'personal preferences' and 'for credibility.' By omitting these key components without adding a false claim, the response is an incomplete subset of the gold answer.</x:v>
      </x:c>
      <x:c r="L36" s="30" t="str">
        <x:v>LongCat-2.0</x:v>
      </x:c>
      <x:c r="M36" s="30" t="str">
        <x:v>LongCat-2.0</x:v>
      </x:c>
      <x:c r="N36" s="30" t="str">
        <x:v>LongCat-2.0</x:v>
      </x:c>
      <x:c r="O36" s="30" t="str">
        <x:v>LongCat-2.0</x:v>
      </x:c>
    </x:row>
    <x:row r="37" ht="54" customHeight="1">
      <x:c r="A37" s="30" t="str">
        <x:v>memos_long:688</x:v>
      </x:c>
      <x:c r="B37" s="30" t="str">
        <x:v>partial</x:v>
      </x:c>
      <x:c r="C37" s="30" t="str">
        <x:v>The evidence does not support that Sarah attended on August 15, 2040; it states she attended on August 20, 2040.</x:v>
      </x:c>
      <x:c r="D37" s="30" t="str">
        <x:v>The gold answer has two material components: (1) the correct attendance date is August 15, 2040, and (2) she liked the soups. Evidence 2 supports the liking of gourmet canned soups, satisfying the second component. However, Evidence 1 states the attendance date was August 20, 2040, which directly contradicts the gold answer's date of August 15, 2040. Since the evidence contradicts rather than supports the first material component, only some but not all material components are supported.</x:v>
      </x:c>
      <x:c r="E37" s="30" t="str">
        <x:v>evidence_definition_failure</x:v>
      </x:c>
      <x:c r="F37" s="30" t="str">
        <x:v>hallucination</x:v>
      </x:c>
      <x:c r="G37" s="30" t="str">
        <x:v>The model answer claims 'Yes, she disliked them,' which contradicts the gold answer on both the date (August 20 vs. August 15) and the sentiment (disliked vs. liked). It provides concrete, incorrect claims rather than a partial or unknown response.</x:v>
      </x:c>
      <x:c r="H37" s="30" t="str">
        <x:v>hallucination</x:v>
      </x:c>
      <x:c r="I37" s="30" t="str">
        <x:v>The model answer claims 'Yes, she disliked them,' which directly contradicts the gold answer stating she attended on August 15 (not August 20) and liked the soups. The model provides concrete but incorrect information on both the date and her opinion, making it a hallucination.</x:v>
      </x:c>
      <x:c r="J37" s="30" t="str">
        <x:v>hallucination</x:v>
      </x:c>
      <x:c r="K37" s="30" t="str">
        <x:v>The model answer claims 'Yes, she disliked them,' which contradicts the gold answer on both the date (August 20 vs. August 15) and the sentiment (disliked vs. liked). It provides concrete, incorrect information rather than an incomplete or unknown response.</x:v>
      </x:c>
      <x:c r="L37" s="30" t="str">
        <x:v>LongCat-2.0</x:v>
      </x:c>
      <x:c r="M37" s="30" t="str">
        <x:v>LongCat-2.0</x:v>
      </x:c>
      <x:c r="N37" s="30" t="str">
        <x:v>LongCat-2.0</x:v>
      </x:c>
      <x:c r="O37" s="30" t="str">
        <x:v>LongCat-2.0</x:v>
      </x:c>
    </x:row>
    <x:row r="38" ht="54" customHeight="1">
      <x:c r="A38" s="30" t="str">
        <x:v>memos_long:157</x:v>
      </x:c>
      <x:c r="B38" s="30" t="str">
        <x:v>partial</x:v>
      </x:c>
      <x:c r="C38" s="30" t="str">
        <x:v>The date Aug 03, 2035 is not mentioned in the evidence.</x:v>
      </x:c>
      <x:c r="D38" s="30" t="str">
        <x:v>Evidence 1 supports the material component that Martin Mark expressed enthusiasm about integrating insights on feline communication into his pet preferences, which directly contradicts the question's premise of disinterest and aligns with the gold answer. However, the evidence does not contain the date Aug 03, 2035, which is a material component of the question. Therefore, only some material components are supported.</x:v>
      </x:c>
      <x:c r="E38" s="30" t="str">
        <x:v>evidence_definition_failure</x:v>
      </x:c>
      <x:c r="F38" s="30" t="str">
        <x:v>omission</x:v>
      </x:c>
      <x:c r="G38" s="30" t="str">
        <x:v>The model answer 'No' correctly denies that Martin Mark expressed disinterest, but it omits the key information from the gold answer that he expressed enthusiasm about integrating the insights. This makes it an incomplete subset of the gold answer.</x:v>
      </x:c>
      <x:c r="H38" s="30" t="str">
        <x:v>omission</x:v>
      </x:c>
      <x:c r="I38" s="30" t="str">
        <x:v>The model answer 'No' is factually consistent with the gold answer but omits the key detail that Martin Mark expressed enthusiasm about integrating the insights. The gold answer provides a complete response by specifying his positive stance, while the model only gives a bare negation without the supporting information, making it an incomplete subset.</x:v>
      </x:c>
      <x:c r="J38" s="30" t="str">
        <x:v>omission</x:v>
      </x:c>
      <x:c r="K38" s="30" t="str">
        <x:v>The model answer 'No' correctly denies that Martin Mark expressed disinterest, but it omits the key detail from the gold answer that he expressed enthusiasm about integrating the insights. This makes it an incomplete subset of the gold answer.</x:v>
      </x:c>
      <x:c r="L38" s="30" t="str">
        <x:v>LongCat-2.0</x:v>
      </x:c>
      <x:c r="M38" s="30" t="str">
        <x:v>LongCat-2.0</x:v>
      </x:c>
      <x:c r="N38" s="30" t="str">
        <x:v>LongCat-2.0</x:v>
      </x:c>
      <x:c r="O38" s="30" t="str">
        <x:v>LongCat-2.0</x:v>
      </x:c>
    </x:row>
    <x:row r="39" ht="54" customHeight="1">
      <x:c r="A39" s="30" t="str">
        <x:v>memos_medium:1663</x:v>
      </x:c>
      <x:c r="B39" s="30" t="str">
        <x:v>sufficient</x:v>
      </x:c>
      <x:c r="C39" s="30" t="str"/>
      <x:c r="D39" s="30" t="str">
        <x:v>The gold answer states that Susan's stress management techniques evolved to incorporate mindfulness and time management. Evidence 1 directly states that Susan plans to implement mindfulness practices and time management techniques to manage stress levels effectively. Evidence 2 confirms she has been using mindfulness practices, including meditation and breathing exercises. Together, these two pieces of evidence support both material components of the gold answer: mindfulness and time management. The evidence is sufficient to derive the complete gold answer.</x:v>
      </x:c>
      <x:c r="E39" s="30" t="str">
        <x:v>ua3_representation_or_admission_failure</x:v>
      </x:c>
      <x:c r="F39" s="30" t="str">
        <x:v>correct</x:v>
      </x:c>
      <x:c r="G39"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H39" s="30" t="str">
        <x:v>correct</x:v>
      </x:c>
      <x:c r="I39"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J39" s="30" t="str">
        <x:v>correct</x:v>
      </x:c>
      <x:c r="K39"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L39" s="30" t="str">
        <x:v>LongCat-2.0</x:v>
      </x:c>
      <x:c r="M39" s="30" t="str">
        <x:v>LongCat-2.0</x:v>
      </x:c>
      <x:c r="N39" s="30" t="str">
        <x:v>LongCat-2.0</x:v>
      </x:c>
      <x:c r="O39" s="30" t="str">
        <x:v>LongCat-2.0</x:v>
      </x:c>
    </x:row>
    <x:row r="40" ht="54" customHeight="1">
      <x:c r="A40" s="30" t="str">
        <x:v>memos_long:1471</x:v>
      </x:c>
      <x:c r="B40" s="30" t="str">
        <x:v>sufficient</x:v>
      </x:c>
      <x:c r="C40" s="30" t="str"/>
      <x:c r="D40" s="30" t="str">
        <x:v>The gold answer consists of two material components: 'clarificatory motivations' and 'exploratory motivations.' Evidence 1 explicitly states that Jennifer Martin has a 'clarificatory motivation' driving her to assess and adapt strategies for health and productivity. Evidence 2 explicitly states that she has an 'exploratory motivation' driving her to test new methods for enhancing well-being. Together, these two pieces of evidence directly support both components of the gold answer, making the evidence sufficient.</x:v>
      </x:c>
      <x:c r="E40" s="30" t="str">
        <x:v>ua3_representation_or_admission_failure</x:v>
      </x:c>
      <x:c r="F40" s="30" t="str">
        <x:v>correct</x:v>
      </x:c>
      <x:c r="G40" s="30" t="str">
        <x:v>The model answer 'Clarificatory and exploratory motivations' is semantically identical to the benchmark gold answer 'Clarificatory and exploratory motivations', differing only in punctuation (a period at the end). It provides the complete answer without any false or unsupported claims.</x:v>
      </x:c>
      <x:c r="H40" s="30" t="str">
        <x:v>correct</x:v>
      </x:c>
      <x:c r="I40" s="30" t="str">
        <x:v>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x:v>
      </x:c>
      <x:c r="J40" s="30" t="str">
        <x:v>correct</x:v>
      </x:c>
      <x:c r="K40" s="30" t="str">
        <x:v>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x:v>
      </x:c>
      <x:c r="L40" s="30" t="str">
        <x:v>LongCat-2.0</x:v>
      </x:c>
      <x:c r="M40" s="30" t="str">
        <x:v>LongCat-2.0</x:v>
      </x:c>
      <x:c r="N40" s="30" t="str">
        <x:v>LongCat-2.0</x:v>
      </x:c>
      <x:c r="O40" s="30" t="str">
        <x:v>LongCat-2.0</x:v>
      </x:c>
    </x:row>
    <x:row r="41" ht="54" customHeight="1">
      <x:c r="A41" s="30" t="str">
        <x:v>memos_long:789</x:v>
      </x:c>
      <x:c r="B41" s="30" t="str">
        <x:v>sufficient</x:v>
      </x:c>
      <x:c r="C41" s="30" t="str"/>
      <x:c r="D41" s="30" t="str">
        <x:v>The gold answer has three material components: (1) mindfulness, (2) regular breaks, and (3) leveraging her social network. Evidence 1 directly supports mindfulness and regular breaks as self-care practices Donna used to balance her demanding role. Evidence 2 supports the social network component by showing Donna received emotional support from friends and colleagues during her health challenges. Evidence 3 further supports leveraging her social network for personal well-being and professional growth. Together, all three components of the gold answer are supported by the evidence.</x:v>
      </x:c>
      <x:c r="E41" s="30" t="str">
        <x:v>robust_generation_failure</x:v>
      </x:c>
      <x:c r="F41" s="30" t="str">
        <x:v>omission</x:v>
      </x:c>
      <x:c r="G41" s="30" t="str">
        <x:v>The model answer includes 'mindfulness' and 'social support' (which aligns with 'leveraging her social network'), but omits 'regular breaks' from the gold answer. Since it provides only an incomplete subset without adding a false claim, it is an omission.</x:v>
      </x:c>
      <x:c r="H41" s="30" t="str">
        <x:v>omission</x:v>
      </x:c>
      <x:c r="I41" s="30" t="str">
        <x:v>The model answer includes 'mindfulness' and 'social support' (which aligns with 'leveraging her social network'), but omits 'regular breaks' from the gold answer. Since it provides only an incomplete subset without adding a false claim, it is an omission.</x:v>
      </x:c>
      <x:c r="J41" s="30" t="str">
        <x:v>omission</x:v>
      </x:c>
      <x:c r="K41" s="30" t="str">
        <x:v>The model answer includes 'mindfulness' and 'social support' (which aligns with 'leveraging her social network'), but omits 'regular breaks' from the gold answer. Since it provides only an incomplete subset without adding a false claim, it is an omission.</x:v>
      </x:c>
      <x:c r="L41" s="30" t="str">
        <x:v>LongCat-2.0</x:v>
      </x:c>
      <x:c r="M41" s="30" t="str">
        <x:v>LongCat-2.0</x:v>
      </x:c>
      <x:c r="N41" s="30" t="str">
        <x:v>LongCat-2.0</x:v>
      </x:c>
      <x:c r="O41" s="30" t="str">
        <x:v>LongCat-2.0</x:v>
      </x:c>
    </x:row>
    <x:row r="42" ht="54" customHeight="1">
      <x:c r="A42" s="30" t="str">
        <x:v>memos_medium:1998</x:v>
      </x:c>
      <x:c r="B42" s="30" t="str">
        <x:v>partial</x:v>
      </x:c>
      <x:c r="C42" s="30" t="str">
        <x:v>The evidence mentions Joseph's shift to cinema history influencing his 'educational programs' and his wondering about revisiting classic literature affecting his 'current projects,' but it does not explicitly state that he will integrate film insights into his creative projects after June 20, 2035. The connection between cinema history reading and creative projects specifically is not directly supported.</x:v>
      </x:c>
      <x:c r="D42" s="30" t="str">
        <x:v>The gold answer states that Joseph's shift to cinema history books may integrate film insights into his projects. Evidence 1 mentions his shift to cinema history might influence his educational programs, and Evidence 3 mentions wondering how revisiting literary favorites might affect his current projects. While these suggest a general influence of reading on his work, none of the evidence explicitly connects cinema history reading to creative projects or the integration of film insights. The evidence supports a related but not identical claim, making it partial.</x:v>
      </x:c>
      <x:c r="E42" s="30" t="str">
        <x:v>evidence_definition_failure</x:v>
      </x:c>
      <x:c r="F42" s="30" t="str">
        <x:v>hallucination</x:v>
      </x:c>
      <x:c r="G42"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H42" s="30" t="str">
        <x:v>hallucination</x:v>
      </x:c>
      <x:c r="I42"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J42" s="30" t="str">
        <x:v>hallucination</x:v>
      </x:c>
      <x:c r="K42"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 material, making it a hallucination.</x:v>
      </x:c>
      <x:c r="L42" s="30" t="str">
        <x:v>LongCat-2.0</x:v>
      </x:c>
      <x:c r="M42" s="30" t="str">
        <x:v>LongCat-2.0</x:v>
      </x:c>
      <x:c r="N42" s="30" t="str">
        <x:v>LongCat-2.0</x:v>
      </x:c>
      <x:c r="O42" s="30" t="str">
        <x:v>LongCat-2.0</x:v>
      </x:c>
    </x:row>
    <x:row r="43" ht="54" customHeight="1">
      <x:c r="A43" s="30" t="str">
        <x:v>memos_medium:1565</x:v>
      </x:c>
      <x:c r="B43" s="30" t="str">
        <x:v>sufficient</x:v>
      </x:c>
      <x:c r="C43" s="30" t="str"/>
      <x:c r="D43" s="30" t="str">
        <x:v>Evidence 1 directly states that Jennifer Martin adopted 'public transportation and personal rentals' as alternative travel methods, which matches the gold answer exactly. The evidence also provides the context of 'busy conference trips,' which supports the travel method adoption. All material components of the gold answer are fully supported.</x:v>
      </x:c>
      <x:c r="E43" s="30" t="str">
        <x:v>ua3_representation_or_admission_failure</x:v>
      </x:c>
      <x:c r="F43" s="30" t="str">
        <x:v>correct</x:v>
      </x:c>
      <x:c r="G43" s="30" t="str">
        <x:v>The model answer 'Public transportation and personal rentals.' is semantically identical to the benchmark gold answer 'Public transportation and personal rentals', differing only by a trailing period. It provides the complete answer without any contradiction or unsupported material.</x:v>
      </x:c>
      <x:c r="H43" s="30" t="str">
        <x:v>correct</x:v>
      </x:c>
      <x:c r="I43" s="30" t="str">
        <x:v>The model answer 'Public transportation and personal rentals.' is semantically identical to the benchmark gold answer 'Public transportation and personal rentals', with only a minor punctuation difference (a period at the end). It provides the complete answer without any contradiction or omission.</x:v>
      </x:c>
      <x:c r="J43" s="30" t="str">
        <x:v>correct</x:v>
      </x:c>
      <x:c r="K43" s="30" t="str">
        <x:v>The model answer 'Public transportation and personal rentals.' is semantically identical to the benchmark gold answer 'Public transportation and personal rentals', differing only by a trailing period. It provides the complete answer without any contradiction or unsupported material.</x:v>
      </x:c>
      <x:c r="L43" s="30" t="str">
        <x:v>LongCat-2.0</x:v>
      </x:c>
      <x:c r="M43" s="30" t="str">
        <x:v>LongCat-2.0</x:v>
      </x:c>
      <x:c r="N43" s="30" t="str">
        <x:v>LongCat-2.0</x:v>
      </x:c>
      <x:c r="O43" s="30" t="str">
        <x:v>LongCat-2.0</x:v>
      </x:c>
    </x:row>
    <x:row r="44" ht="54" customHeight="1">
      <x:c r="A44" s="30" t="str">
        <x:v>memos_long:1401</x:v>
      </x:c>
      <x:c r="B44" s="30" t="str">
        <x:v>partial</x:v>
      </x:c>
      <x:c r="C44" s="30" t="str">
        <x:v>The evidence does not specifically support 'experimental' or 'avant-garde' as the type of music Ananya might explore next. It only indicates a general interest in music offering fresh perspectives and original scores/compositions for standalone artistic value, which could encompass many genres beyond experimental or avant-garde.</x:v>
      </x:c>
      <x:c r="D44" s="30" t="str">
        <x:v>Evidence 1 mentions Ananya's interest in music offering 'fresh perspectives outside cinematic contexts,' and Evidence 2 mentions excitement about 'original scores and compositions for their standalone artistic value.' While these suggest a move toward non-mainstream or artistically independent music, they do not specifically point to 'experimental' or 'avant-garde' music. The gold answer's specific genre labels are not directly derivable from the evidence, though the general direction of exploration is partially supported.</x:v>
      </x:c>
      <x:c r="E44" s="30" t="str">
        <x:v>evidence_definition_failure</x:v>
      </x:c>
      <x:c r="F44" s="30" t="str">
        <x:v>hallucination</x:v>
      </x:c>
      <x:c r="G44" s="30" t="str">
        <x:v>The gold answer is 'Experimental or avant-garde music,' while the model answer is 'Original scores and compositions.' These are distinct categories of music; 'original scores and compositions' does not semantically match or imply 'experimental or avant-garde music,' and it introduces a concrete, unsupported claim that contradicts the expected answer.</x:v>
      </x:c>
      <x:c r="H44" s="30" t="str">
        <x:v>hallucination</x:v>
      </x:c>
      <x:c r="I44" s="30" t="str">
        <x:v>The gold answer is 'Experimental or avant-garde music,' while the model answer is 'Original scores and compositions.' These are distinct categories of music; 'original scores and compositions' does not semantically equate to or encompass 'experimental or avant-garde music,' and it introduces a concrete answer that is not supported by the gold answer.</x:v>
      </x:c>
      <x:c r="J44" s="30" t="str">
        <x:v>hallucination</x:v>
      </x:c>
      <x:c r="K44" s="30" t="str">
        <x:v>The gold answer is 'Experimental or avant-garde music,' while the model answer is 'Original scores and compositions.' These are different concrete categories of music; the model's answer does not semantically match the gold answer and introduces unsupported material.</x:v>
      </x:c>
      <x:c r="L44" s="30" t="str">
        <x:v>LongCat-2.0</x:v>
      </x:c>
      <x:c r="M44" s="30" t="str">
        <x:v>LongCat-2.0</x:v>
      </x:c>
      <x:c r="N44" s="30" t="str">
        <x:v>LongCat-2.0</x:v>
      </x:c>
      <x:c r="O44" s="30" t="str">
        <x:v>LongCat-2.0</x:v>
      </x:c>
    </x:row>
    <x:row r="45" ht="54" customHeight="1">
      <x:c r="A45" s="30" t="str">
        <x:v>memos_long:2801</x:v>
      </x:c>
      <x:c r="B45" s="30" t="str">
        <x:v>sufficient</x:v>
      </x:c>
      <x:c r="C45" s="30" t="str">
        <x:v>None. The evidence explicitly states Donald expressed 'emotional fulfillment and gratitude,' which matches the gold answer exactly.</x:v>
      </x:c>
      <x:c r="D45" s="30" t="str">
        <x:v>Evidence 1 directly states that Donald expressed 'emotional fulfillment and gratitude' for the companionship and empathetic interaction provided by the AI assistant. Both material components of the gold answer — 'emotional fulfillment' and 'gratitude' — are explicitly present in the evidence, and the context (related to his AI assistant) matches the question. No additional information is needed to derive the complete gold answer.</x:v>
      </x:c>
      <x:c r="E45" s="30" t="str">
        <x:v>ua3_representation_or_admission_failure</x:v>
      </x:c>
      <x:c r="F45" s="30" t="str">
        <x:v>correct</x:v>
      </x:c>
      <x:c r="G45"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H45" s="30" t="str">
        <x:v>correct</x:v>
      </x:c>
      <x:c r="I45"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J45" s="30" t="str">
        <x:v>correct</x:v>
      </x:c>
      <x:c r="K45"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L45" s="30" t="str">
        <x:v>LongCat-2.0</x:v>
      </x:c>
      <x:c r="M45" s="30" t="str">
        <x:v>LongCat-2.0</x:v>
      </x:c>
      <x:c r="N45" s="30" t="str">
        <x:v>LongCat-2.0</x:v>
      </x:c>
      <x:c r="O45" s="30" t="str">
        <x:v>LongCat-2.0</x:v>
      </x:c>
    </x:row>
    <x:row r="46" ht="54" customHeight="1">
      <x:c r="A46" s="30" t="str">
        <x:v>memos_medium:398</x:v>
      </x:c>
      <x:c r="B46" s="30" t="str">
        <x:v>sufficient</x:v>
      </x:c>
      <x:c r="C46" s="30" t="str">
        <x:v>none</x:v>
      </x:c>
      <x:c r="D46" s="30" t="str">
        <x:v>The gold answer lists four activities: gardening, volunteering, painting, and learning languages. Evidence 1 supports gardening, volunteering, and painting. Evidence 2 supports all four: gardening, volunteering, painting, and learning new languages. Together, the evidence covers every material component of the gold answer, so the complete gold answer is directly derivable.</x:v>
      </x:c>
      <x:c r="E46" s="30" t="str">
        <x:v>robust_generation_failure</x:v>
      </x:c>
      <x:c r="F46" s="30" t="str">
        <x:v>hallucination</x:v>
      </x:c>
      <x:c r="G46" s="30" t="str">
        <x:v>The model answer replaces 'learning languages' with 'courses', which is a concrete but unsupported/incorrect substitution that contradicts the gold answer.</x:v>
      </x:c>
      <x:c r="H46" s="30" t="str">
        <x:v>hallucination</x:v>
      </x:c>
      <x:c r="I46" s="30" t="str">
        <x:v>The model answer replaces 'learning languages' with 'courses', which is a concrete claim that contradicts the gold answer. While 'courses' could theoretically include language learning, it is not semantically equivalent and introduces unsupported material not present in the gold answer.</x:v>
      </x:c>
      <x:c r="J46" s="30" t="str">
        <x:v>hallucination</x:v>
      </x:c>
      <x:c r="K46" s="30" t="str">
        <x:v>The model answer replaces 'learning languages' with 'courses', which is a concrete claim that contradicts the gold answer. While 'courses' could theoretically include language learning, it is not semantically equivalent and introduces unsupported material not present in the gold answer.</x:v>
      </x:c>
      <x:c r="L46" s="30" t="str">
        <x:v>LongCat-2.0</x:v>
      </x:c>
      <x:c r="M46" s="30" t="str">
        <x:v>LongCat-2.0</x:v>
      </x:c>
      <x:c r="N46" s="30" t="str">
        <x:v>LongCat-2.0</x:v>
      </x:c>
      <x:c r="O46" s="30" t="str">
        <x:v>LongCat-2.0</x:v>
      </x:c>
    </x:row>
    <x:row r="47" ht="54" customHeight="1">
      <x:c r="A47" s="30" t="str">
        <x:v>memos_long:922</x:v>
      </x:c>
      <x:c r="B47" s="30" t="str">
        <x:v>sufficient</x:v>
      </x:c>
      <x:c r="C47" s="30" t="str">
        <x:v>None</x:v>
      </x:c>
      <x:c r="D47" s="30" t="str">
        <x:v>Evidence 1 directly states that Donna modified her travel preferences to include popular tourist spots for networking opportunities, which fully matches every material component of the gold answer.</x:v>
      </x:c>
      <x:c r="E47" s="30" t="str">
        <x:v>robust_generation_failure</x:v>
      </x:c>
      <x:c r="F47" s="30" t="str">
        <x:v>omission</x:v>
      </x:c>
      <x:c r="G47" s="30" t="str">
        <x:v>The model answer states that Donna added popular tourist spots, but omits the key reason/purpose specified in the gold answer: 'for networking opportunities.' This makes the answer an incomplete subset of the gold answer.</x:v>
      </x:c>
      <x:c r="H47" s="30" t="str">
        <x:v>omission</x:v>
      </x:c>
      <x:c r="I47" s="30" t="str">
        <x:v>The model answer states that Donna added popular tourist spots, but omits the key purpose mentioned in the gold answer: 'for networking opportunities.' This makes the answer an incomplete subset of the gold answer.</x:v>
      </x:c>
      <x:c r="J47" s="30" t="str">
        <x:v>omission</x:v>
      </x:c>
      <x:c r="K47" s="30" t="str">
        <x:v>The model answer states that Donna added popular tourist spots, but omits the key reason/purpose specified in the gold answer: 'for networking opportunities.' This makes the answer an incomplete subset of the gold answer.</x:v>
      </x:c>
      <x:c r="L47" s="30" t="str">
        <x:v>LongCat-2.0</x:v>
      </x:c>
      <x:c r="M47" s="30" t="str">
        <x:v>LongCat-2.0</x:v>
      </x:c>
      <x:c r="N47" s="30" t="str">
        <x:v>LongCat-2.0</x:v>
      </x:c>
      <x:c r="O47" s="30" t="str">
        <x:v>LongCat-2.0</x:v>
      </x:c>
    </x:row>
    <x:row r="48" ht="54" customHeight="1">
      <x:c r="A48" s="30" t="str">
        <x:v>memos_long:58</x:v>
      </x:c>
      <x:c r="B48" s="30" t="str">
        <x:v>sufficient</x:v>
      </x:c>
      <x:c r="C48" s="30" t="str">
        <x:v>none</x:v>
      </x:c>
      <x:c r="D48" s="30" t="str">
        <x:v>Both Evidence 1 and Evidence 2 explicitly state that Martin remains committed to his humanitarian care goals despite career challenges. The gold answer 'Humanitarian care goals' is directly stated in the evidence, and the context of 'despite career challenges' matches the question's framing. All material components of the gold answer are fully supported.</x:v>
      </x:c>
      <x:c r="E48" s="30" t="str">
        <x:v>ua3_representation_or_admission_failure</x:v>
      </x:c>
      <x:c r="F48" s="30" t="str">
        <x:v>correct</x:v>
      </x:c>
      <x:c r="G48" s="30" t="str">
        <x:v>The model answer exactly matches the gold answer 'Humanitarian care goals', providing the complete semantic content without any contradiction or omission.</x:v>
      </x:c>
      <x:c r="H48" s="30" t="str">
        <x:v>correct</x:v>
      </x:c>
      <x:c r="I48" s="30" t="str">
        <x:v>The model answer exactly matches the gold answer 'Humanitarian care goals', providing the complete semantic content without any contradiction or omission.</x:v>
      </x:c>
      <x:c r="J48" s="30" t="str">
        <x:v>correct</x:v>
      </x:c>
      <x:c r="K48" s="30" t="str">
        <x:v>The model answer exactly matches the gold answer 'Humanitarian care goals', providing the complete semantic content without any contradiction or omission.</x:v>
      </x:c>
      <x:c r="L48" s="30" t="str">
        <x:v>LongCat-2.0</x:v>
      </x:c>
      <x:c r="M48" s="30" t="str">
        <x:v>LongCat-2.0</x:v>
      </x:c>
      <x:c r="N48" s="30" t="str">
        <x:v>LongCat-2.0</x:v>
      </x:c>
      <x:c r="O48" s="30" t="str">
        <x:v>LongCat-2.0</x:v>
      </x:c>
    </x:row>
    <x:row r="49" ht="54" customHeight="1">
      <x:c r="A49" s="30" t="str">
        <x:v>memos_medium:1232</x:v>
      </x:c>
      <x:c r="B49" s="30" t="str">
        <x:v>sufficient</x:v>
      </x:c>
      <x:c r="C49" s="30" t="str">
        <x:v>None. Both material components of the gold answer are directly supported: Evidence 1 supports 'expanded network' (relationship with ChenLi, a key policymaker), and Evidence 2 supports 'AI tools' (Taylor uses AI tools for data analysis and trend identification in advocacy work).</x:v>
      </x:c>
      <x:c r="D49" s="30" t="str">
        <x:v>The gold answer has two material components: (1) leveraging an expanded network, and (2) leveraging AI tools. Evidence 1 directly supports the first component by stating Taylor's social relationships have expanded to include ChenLi, a key policymaker in the nutrition sector who collaborates with him on policy reforms. Evidence 2 directly supports the second component by stating Taylor uses AI tools to analyze data and identify trends in his advocacy work. Together, the evidence fully supports the complete gold answer.</x:v>
      </x:c>
      <x:c r="E49" s="30" t="str">
        <x:v>robust_generation_failure</x:v>
      </x:c>
      <x:c r="F49" s="30" t="str">
        <x:v>hallucination</x:v>
      </x:c>
      <x:c r="G49" s="30" t="str">
        <x:v>The model answer 'Collaborate with ChenLi' introduces a specific person and action that is not present in or supported by the gold answer. The gold answer focuses on leveraging an expanded network and AI tools, while the model provides a concrete but unsupported claim about collaborating with a named individual, which contradicts the gold answer's content.</x:v>
      </x:c>
      <x:c r="H49" s="30" t="str">
        <x:v>omission</x:v>
      </x:c>
      <x:c r="I49"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J49" s="30" t="str">
        <x:v>omission</x:v>
      </x:c>
      <x:c r="K49"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L49" s="30" t="str">
        <x:v>LongCat-2.0</x:v>
      </x:c>
      <x:c r="M49" s="30" t="str">
        <x:v>LongCat-2.0</x:v>
      </x:c>
      <x:c r="N49" s="30" t="str">
        <x:v>LongCat-2.0</x:v>
      </x:c>
      <x:c r="O49" s="30" t="str">
        <x:v>LongCat-2.0</x:v>
      </x:c>
    </x:row>
    <x:row r="50" ht="54" customHeight="1">
      <x:c r="A50" s="30" t="str">
        <x:v>memos_medium:77</x:v>
      </x:c>
      <x:c r="B50" s="30" t="str">
        <x:v>partial</x:v>
      </x:c>
      <x:c r="C50" s="30" t="str">
        <x:v>The evidence does not specify the time frame 'before June 2029' or the specific month 'May 2029' mentioned in the gold answer.</x:v>
      </x:c>
      <x:c r="D50" s="30" t="str">
        <x:v>Evidence 1 and Evidence 2 together support that Martin Mark views challenges as growth opportunities and feels optimistic about his future role as Senior Director. However, neither evidence provides any temporal information linking this optimism to May 2029 or confirming it occurred before June 2029. The gold answer's material component regarding the specific timing ('in May 2029') is not supported by the evidence.</x:v>
      </x:c>
      <x:c r="E50" s="30" t="str">
        <x:v>evidence_definition_failure</x:v>
      </x:c>
      <x:c r="F50" s="30" t="str">
        <x:v>omission</x:v>
      </x:c>
      <x:c r="G50" s="30" t="str">
        <x:v>The model answer confirms the timeframe but omits the key detail from the gold answer that Martin Mark viewed challenges as growth opportunities, providing only an incomplete subset of the information.</x:v>
      </x:c>
      <x:c r="H50" s="30" t="str">
        <x:v>omission</x:v>
      </x:c>
      <x:c r="I50" s="30" t="str">
        <x:v>The model answer confirms the timeframe but omits the key detail from the gold answer that Martin Mark viewed challenges as growth opportunities, providing only an incomplete subset of the information.</x:v>
      </x:c>
      <x:c r="J50" s="30" t="str">
        <x:v>omission</x:v>
      </x:c>
      <x:c r="K50" s="30" t="str">
        <x:v>The model answer confirms the timeframe but omits the key detail from the gold answer that Martin Mark viewed challenges as growth opportunities, providing only an incomplete subset of the information.</x:v>
      </x:c>
      <x:c r="L50" s="30" t="str">
        <x:v>LongCat-2.0</x:v>
      </x:c>
      <x:c r="M50" s="30" t="str">
        <x:v>LongCat-2.0</x:v>
      </x:c>
      <x:c r="N50" s="30" t="str">
        <x:v>LongCat-2.0</x:v>
      </x:c>
      <x:c r="O50" s="30" t="str">
        <x:v>LongCat-2.0</x:v>
      </x:c>
    </x:row>
    <x:row r="51" ht="54" customHeight="1">
      <x:c r="A51" s="30" t="str">
        <x:v>memos_medium:1694</x:v>
      </x:c>
      <x:c r="B51" s="30" t="str">
        <x:v>partial</x:v>
      </x:c>
      <x:c r="C51" s="30" t="str">
        <x:v>The evidence does not specify that the wellness strategies will combine traditional and alternative methods; it only mentions holistic health guides and comprehensive wellness strategies without detailing the integration of traditional and alternative approaches.</x:v>
      </x:c>
      <x:c r="D51" s="30" t="str">
        <x:v>The gold answer requires 'integrated wellness strategies combining traditional and alternative methods.' Evidence 1, 2, and 3 establish Susan's interest in holistic health guides and her plan to incorporate insights from them into her workshops, which supports the general idea of wellness strategies. However, none of the evidence explicitly mentions 'traditional' or 'alternative' methods or their combination, which is a material component of the gold answer. Thus, only part of the gold answer is supported.</x:v>
      </x:c>
      <x:c r="E51" s="30" t="str">
        <x:v>evidence_definition_failure</x:v>
      </x:c>
      <x:c r="F51" s="30" t="str">
        <x:v>omission</x:v>
      </x:c>
      <x:c r="G51" s="30" t="str">
        <x:v>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x:v>
      </x:c>
      <x:c r="H51" s="30" t="str">
        <x:v>omission</x:v>
      </x:c>
      <x:c r="I51" s="30" t="str">
        <x:v>The model answer 'Comprehensive wellness strategies' is vague and lacks the specific detail present in the gold answer, which explicitly mentions 'integrated wellness strategies combining traditional and alternative methods.' The model answer does not capture the key elements of integration or the combination of traditional and alternative methods, making it an incomplete subset of the gold answer.</x:v>
      </x:c>
      <x:c r="J51" s="30" t="str">
        <x:v>omission</x:v>
      </x:c>
      <x:c r="K51" s="30" t="str">
        <x:v>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x:v>
      </x:c>
      <x:c r="L51" s="30" t="str">
        <x:v>LongCat-2.0</x:v>
      </x:c>
      <x:c r="M51" s="30" t="str">
        <x:v>LongCat-2.0</x:v>
      </x:c>
      <x:c r="N51" s="30" t="str">
        <x:v>LongCat-2.0</x:v>
      </x:c>
      <x:c r="O51" s="30" t="str">
        <x:v>LongCat-2.0</x:v>
      </x:c>
    </x:row>
    <x:row r="52" ht="54" customHeight="1">
      <x:c r="A52" s="30" t="str">
        <x:v>memos_medium:1999</x:v>
      </x:c>
      <x:c r="B52" s="30" t="str">
        <x:v>sufficient</x:v>
      </x:c>
      <x:c r="C52" s="30" t="str"/>
      <x:c r="D52" s="30" t="str">
        <x:v>Evidence 1 directly states that Joseph Garcia decided to focus on cinema history books, which matches the gold answer exactly. The evidence fully supports the material component of the answer with no gaps.</x:v>
      </x:c>
      <x:c r="E52" s="30" t="str">
        <x:v>ua3_representation_or_admission_failure</x:v>
      </x:c>
      <x:c r="F52" s="30" t="str">
        <x:v>correct</x:v>
      </x:c>
      <x:c r="G52" s="30" t="str">
        <x:v>The model answer 'Cinema history books' is semantically identical to the benchmark gold answer 'Cinema history books.' and provides the complete answer without any contradiction or unsupported material.</x:v>
      </x:c>
      <x:c r="H52" s="30" t="str">
        <x:v>correct</x:v>
      </x:c>
      <x:c r="I52" s="30" t="str">
        <x:v>The model answer 'Cinema history books' is semantically identical to the benchmark gold answer 'Cinema history books.' and provides the complete answer without any contradiction or unsupported material.</x:v>
      </x:c>
      <x:c r="J52" s="30" t="str">
        <x:v>correct</x:v>
      </x:c>
      <x:c r="K52" s="30" t="str">
        <x:v>The model answer 'Cinema history books' is semantically identical to the benchmark gold answer 'Cinema history books.' and provides the complete answer without any contradiction or unsupported material.</x:v>
      </x:c>
      <x:c r="L52" s="30" t="str">
        <x:v>LongCat-2.0</x:v>
      </x:c>
      <x:c r="M52" s="30" t="str">
        <x:v>LongCat-2.0</x:v>
      </x:c>
      <x:c r="N52" s="30" t="str">
        <x:v>LongCat-2.0</x:v>
      </x:c>
      <x:c r="O52" s="30" t="str">
        <x:v>LongCat-2.0</x:v>
      </x:c>
    </x:row>
    <x:row r="53" ht="54" customHeight="1">
      <x:c r="A53" s="30" t="str">
        <x:v>memos_medium:697</x:v>
      </x:c>
      <x:c r="B53" s="30" t="str">
        <x:v>sufficient</x:v>
      </x:c>
      <x:c r="C53" s="30" t="str"/>
      <x:c r="D53" s="30" t="str">
        <x:v>The gold answer has two material components: (1) the challenge Sarah faced, and (2) how she planned to overcome it. Evidence 1 directly supports the challenge of 'navigating politics' by stating she faced challenges 'navigating complex political landscapes.' Evidence 2 supports 'leveraging partnerships' by stating she emphasized 'strategic partnerships with international leaders.' Evidence 3 supports 'setting ambitious goals' by stating she planned to leverage her achievements by 'setting ambitious goals for future growth.' All material components of the gold answer are directly derivable from the provided evidence.</x:v>
      </x:c>
      <x:c r="E53" s="30" t="str">
        <x:v>robust_generation_failure</x:v>
      </x:c>
      <x:c r="F53" s="30" t="str">
        <x:v>omission</x:v>
      </x:c>
      <x:c r="G53" s="30" t="str">
        <x:v>The model answer only mentions 'navigating complex political landscapes,' which covers the first part of the gold answer but omits the second part about 'leveraging partnerships and setting ambitious goals.' Since it provides only an incomplete subset without adding a concrete false claim, it is an omission.</x:v>
      </x:c>
      <x:c r="H53" s="30" t="str">
        <x:v>omission</x:v>
      </x:c>
      <x:c r="I53"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J53" s="30" t="str">
        <x:v>omission</x:v>
      </x:c>
      <x:c r="K53"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L53" s="30" t="str">
        <x:v>LongCat-2.0</x:v>
      </x:c>
      <x:c r="M53" s="30" t="str">
        <x:v>LongCat-2.0</x:v>
      </x:c>
      <x:c r="N53" s="30" t="str">
        <x:v>LongCat-2.0</x:v>
      </x:c>
      <x:c r="O53" s="30" t="str">
        <x:v>LongCat-2.0</x:v>
      </x:c>
    </x:row>
    <x:row r="54" ht="54" customHeight="1">
      <x:c r="A54" s="30" t="str">
        <x:v>memos_long:33</x:v>
      </x:c>
      <x:c r="B54" s="30" t="str">
        <x:v>sufficient</x:v>
      </x:c>
      <x:c r="C54" s="30" t="str">
        <x:v>none</x:v>
      </x:c>
      <x:c r="D54" s="30" t="str">
        <x:v>Evidence 1 directly states that Martin expressed enthusiasm about incorporating herbal teas with added health blends into his daily routine. This matches the gold answer exactly, covering every material component: the beverage type (herbal teas) and the specific feature (added health blends). No additional information is needed to derive the complete gold answer.</x:v>
      </x:c>
      <x:c r="E54" s="30" t="str">
        <x:v>ua3_representation_or_admission_failure</x:v>
      </x:c>
      <x:c r="F54" s="30" t="str">
        <x:v>correct</x:v>
      </x:c>
      <x:c r="G54" s="30" t="str">
        <x:v>The model answer 'Herbal teas with health blends' is semantically equivalent to the gold answer 'Herbal teas with added health blends.' The omission of the word 'added' does not change the meaning or introduce any false claim; it simply uses slightly different wording to convey the same complete answer.</x:v>
      </x:c>
      <x:c r="H54" s="30" t="str">
        <x:v>correct</x:v>
      </x:c>
      <x:c r="I54" s="30" t="str">
        <x:v>The model answer 'Herbal teas with health blends' is semantically equivalent to the gold answer 'Herbal teas with added health blends.' The omission of the word 'added' does not change the meaning or introduce any false information; it is a minor wording difference that preserves the complete meaning of the gold answer.</x:v>
      </x:c>
      <x:c r="J54" s="30" t="str">
        <x:v>correct</x:v>
      </x:c>
      <x:c r="K54" s="30" t="str">
        <x:v>The model answer 'Herbal teas with health blends' is semantically equivalent to the gold answer 'Herbal teas with added health blends.' The omission of the word 'added' does not change the meaning or introduce any false claim; it simply uses slightly different wording while conveying the complete answer.</x:v>
      </x:c>
      <x:c r="L54" s="30" t="str">
        <x:v>LongCat-2.0</x:v>
      </x:c>
      <x:c r="M54" s="30" t="str">
        <x:v>LongCat-2.0</x:v>
      </x:c>
      <x:c r="N54" s="30" t="str">
        <x:v>LongCat-2.0</x:v>
      </x:c>
      <x:c r="O54" s="30" t="str">
        <x:v>LongCat-2.0</x:v>
      </x:c>
    </x:row>
    <x:row r="55" ht="54" customHeight="1">
      <x:c r="A55" s="30" t="str">
        <x:v>memos_medium:2168</x:v>
      </x:c>
      <x:c r="B55" s="30" t="str">
        <x:v>sufficient</x:v>
      </x:c>
      <x:c r="C55" s="30" t="str">
        <x:v>None. The evidence directly supports that Sharon Brown enjoys active adventure travel experiences, as it mentions her preference for adventure cruises, active exploration, staying active, and seeking new challenges through travel.</x:v>
      </x:c>
      <x:c r="D55" s="30" t="str">
        <x:v>The gold answer is 'Active adventure travel experiences.' Evidence 1 states her travel preference includes adventure cruises. Evidence 2 states she plans adventure cruises for active exploration. Evidence 3 states she values staying active and seeking new challenges through travel. Together, these directly support that she enjoys active adventure travel experiences, covering every material component of the gold answer.</x:v>
      </x:c>
      <x:c r="E55" s="30" t="str">
        <x:v>robust_generation_failure</x:v>
      </x:c>
      <x:c r="F55" s="30" t="str">
        <x:v>hallucination</x:v>
      </x:c>
      <x:c r="G55"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H55" s="30" t="str">
        <x:v>hallucination</x:v>
      </x:c>
      <x:c r="I55"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J55" s="30" t="str">
        <x:v>hallucination</x:v>
      </x:c>
      <x:c r="K55"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L55" s="30" t="str">
        <x:v>LongCat-2.0</x:v>
      </x:c>
      <x:c r="M55" s="30" t="str">
        <x:v>LongCat-2.0</x:v>
      </x:c>
      <x:c r="N55" s="30" t="str">
        <x:v>LongCat-2.0</x:v>
      </x:c>
      <x:c r="O55" s="30" t="str">
        <x:v>LongCat-2.0</x:v>
      </x:c>
    </x:row>
    <x:row r="56" ht="54" customHeight="1">
      <x:c r="A56" s="30" t="str">
        <x:v>memos_long:3313</x:v>
      </x:c>
      <x:c r="B56" s="30" t="str">
        <x:v>sufficient</x:v>
      </x:c>
      <x:c r="C56" s="30" t="str"/>
      <x:c r="D56" s="30" t="str">
        <x:v>The gold answer states Christopher should 'integrate yoga and meditation for improved care delivery.' Evidence 1 directly states he integrated wellness practices like yoga and meditation into his routine. Evidence 2 confirms these practices improved his work performance and ability to provide care. Evidence 3 shows he is implementing comprehensive care plans addressing physical and mental health in his Senior Physical Therapist role. Together, these pieces of evidence fully support both material components of the gold answer: the specific practices (yoga and meditation) and the purpose (improved care delivery).</x:v>
      </x:c>
      <x:c r="E56" s="30" t="str">
        <x:v>ua3_representation_or_admission_failure</x:v>
      </x:c>
      <x:c r="F56" s="30" t="str">
        <x:v>correct</x:v>
      </x:c>
      <x:c r="G56" s="30" t="str">
        <x:v>The model answer 'Integrate yoga and meditation into care plans' semantically conveys the same complete meaning as the gold answer 'Integrate yoga and meditation for improved care delivery.' Both specify the same two practices (yoga and meditation) and the same action (integrate), with only minor wording differences in the purpose clause ('into care plans' vs. 'for improved care delivery'), which are functionally equivalent in this context.</x:v>
      </x:c>
      <x:c r="H56" s="30" t="str">
        <x:v>correct</x:v>
      </x:c>
      <x:c r="I56" s="30" t="str">
        <x:v>The model answer 'Integrate yoga and meditation into care plans' semantically conveys the same complete meaning as the gold answer 'Integrate yoga and meditation for improved care delivery.' Both specify the same wellness practices (yoga and meditation) and their integration into Christopher's professional role, with only minor wording differences ('into care plans' vs. 'for improved care delivery') that do not alter the core meaning.</x:v>
      </x:c>
      <x:c r="J56" s="30" t="str">
        <x:v>correct</x:v>
      </x:c>
      <x:c r="K56" s="30" t="str">
        <x:v>The model answer 'Integrate yoga and meditation into care plans' semantically conveys the same complete meaning as the gold answer 'Integrate yoga and meditation for improved care delivery.' Both specify the same two practices (yoga and meditation) and the same action (integrate them) in the context of Christopher's role. The phrasing differs slightly but no information is missing or contradicted.</x:v>
      </x:c>
      <x:c r="L56" s="30" t="str">
        <x:v>LongCat-2.0</x:v>
      </x:c>
      <x:c r="M56" s="30" t="str">
        <x:v>LongCat-2.0</x:v>
      </x:c>
      <x:c r="N56" s="30" t="str">
        <x:v>LongCat-2.0</x:v>
      </x:c>
      <x:c r="O56" s="30" t="str">
        <x:v>LongCat-2.0</x:v>
      </x:c>
    </x:row>
    <x:row r="57" ht="54" customHeight="1">
      <x:c r="A57" s="30" t="str">
        <x:v>memos_long:3087</x:v>
      </x:c>
      <x:c r="B57" s="30" t="str">
        <x:v>partial</x:v>
      </x:c>
      <x:c r="C57" s="30" t="str">
        <x:v>The evidence does not explicitly mention 'emotional support' as a distinct component; it mentions 'support' and 'boosts her confidence' but does not clearly separate emotional support from general or resource-based support.</x:v>
      </x:c>
      <x:c r="D57" s="30" t="str">
        <x:v>Evidence 1 directly supports 'strategic advice' through NewConnection8. Evidence 2 mentions 'support' and 'boosts her confidence,' which partially aligns with 'emotional support' but does not explicitly state it as a distinct material component. Thus, only one of the two material components is fully supported.</x:v>
      </x:c>
      <x:c r="E57" s="30" t="str">
        <x:v>evidence_definition_failure</x:v>
      </x:c>
      <x:c r="F57" s="30" t="str">
        <x:v>omission</x:v>
      </x:c>
      <x:c r="G57" s="30" t="str">
        <x:v>The model answer 'Provides resources and support' captures part of the gold answer (support) but omits the specific types of support mentioned in the gold answer: 'strategic advice' and 'emotional support.' While 'support' is present, the model replaces the specific, concrete details with the vague term 'resources,' which is not supported by the gold answer. This constitutes an incomplete subset of the gold answer.</x:v>
      </x:c>
      <x:c r="H57" s="30" t="str">
        <x:v>omission</x:v>
      </x:c>
      <x:c r="I57" s="30" t="str">
        <x:v>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an incomplete subset of the gold answer.</x:v>
      </x:c>
      <x:c r="J57" s="30" t="str">
        <x:v>omission</x:v>
      </x:c>
      <x:c r="K57" s="30" t="str">
        <x:v>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 loss of specific information from the gold answer. This constitutes an incomplete subset of the gold answer.</x:v>
      </x:c>
      <x:c r="L57" s="30" t="str">
        <x:v>LongCat-2.0</x:v>
      </x:c>
      <x:c r="M57" s="30" t="str">
        <x:v>LongCat-2.0</x:v>
      </x:c>
      <x:c r="N57" s="30" t="str">
        <x:v>LongCat-2.0</x:v>
      </x:c>
      <x:c r="O57" s="30" t="str">
        <x:v>LongCat-2.0</x:v>
      </x:c>
    </x:row>
    <x:row r="58" ht="54" customHeight="1">
      <x:c r="A58" s="30" t="str">
        <x:v>memos_long:1374</x:v>
      </x:c>
      <x:c r="B58" s="30" t="str">
        <x:v>sufficient</x:v>
      </x:c>
      <x:c r="C58" s="30" t="str"/>
      <x:c r="D58" s="30" t="str">
        <x:v>Evidence 1 directly states that Ananya Sharma's food preference evolved to include pickled onions for their tangy and sweet flavor. This matches every material component of the gold answer: the food item (pickled onions) and the reason (tangy and sweet flavor). Although the evidence does not explicitly mention the date Apr 23, 2033, the question asks what preference she expressed, and the evidence provides that preference directly, making it sufficient to derive the complete gold answer.</x:v>
      </x:c>
      <x:c r="E58" s="30" t="str">
        <x:v>robust_generation_failure</x:v>
      </x:c>
      <x:c r="F58" s="30" t="str">
        <x:v>omission</x:v>
      </x:c>
      <x:c r="G58" s="30" t="str">
        <x:v>The model answer 'Pickled onions' is factually consistent with the gold answer but omits the key detail about the reason for the preference ('for their tangy and sweet flavor'), making it an incomplete subset of the gold answer.</x:v>
      </x:c>
      <x:c r="H58" s="30" t="str">
        <x:v>omission</x:v>
      </x:c>
      <x:c r="I58" s="30" t="str">
        <x:v>The model answer 'Pickled onions' is factually consistent with the gold answer but omits the reason for the preference ('for their tangy and sweet flavor'), providing only an incomplete subset of the gold answer.</x:v>
      </x:c>
      <x:c r="J58" s="30" t="str">
        <x:v>omission</x:v>
      </x:c>
      <x:c r="K58" s="30" t="str">
        <x:v>The model answer 'Pickled onions' provides only a partial subset of the gold answer, which includes the reason 'for their tangy and sweet flavor.' Since the model omits this key detail without adding any false claim, it is classified as an omission.</x:v>
      </x:c>
      <x:c r="L58" s="30" t="str">
        <x:v>LongCat-2.0</x:v>
      </x:c>
      <x:c r="M58" s="30" t="str">
        <x:v>LongCat-2.0</x:v>
      </x:c>
      <x:c r="N58" s="30" t="str">
        <x:v>LongCat-2.0</x:v>
      </x:c>
      <x:c r="O58" s="30" t="str">
        <x:v>LongCat-2.0</x:v>
      </x:c>
    </x:row>
    <x:row r="59" ht="54" customHeight="1">
      <x:c r="A59" s="30" t="str">
        <x:v>memos_medium:36</x:v>
      </x:c>
      <x:c r="B59" s="30" t="str">
        <x:v>sufficient</x:v>
      </x:c>
      <x:c r="C59" s="30" t="str"/>
      <x:c r="D59" s="30" t="str">
        <x:v>Evidence 1 directly states that Martin expressed curiosity about integrating heavy metal into his relaxation routine, alongside ambient and jazz music. This explicitly supports both material components of the gold answer (ambient and jazz music) as types of music he might explore next for relaxation. Evidence 2 further supports jazz music as part of his exploratory motivation for unwinding. Together, the evidence fully supports the complete gold answer.</x:v>
      </x:c>
      <x:c r="E59" s="30" t="str">
        <x:v>robust_generation_failure</x:v>
      </x:c>
      <x:c r="F59" s="30" t="str">
        <x:v>hallucination</x:v>
      </x:c>
      <x:c r="G59"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H59" s="30" t="str">
        <x:v>hallucination</x:v>
      </x:c>
      <x:c r="I59" s="30" t="str">
        <x:v>The gold answer specifies ambient or jazz music as the next type of music Martin might explore for relaxation. The model answer includes 'heavy metal,' which contradicts the premise of exploring something new for relaxation and is unsupported by the gold answer, making it a hallucination.</x:v>
      </x:c>
      <x:c r="J59" s="30" t="str">
        <x:v>hallucination</x:v>
      </x:c>
      <x:c r="K59" s="30" t="str">
        <x:v>The gold answer specifies ambient or jazz music as the next type of music Martin might explore for relaxation. The model answer includes 'heavy metal,' which contradicts the premise of exploring a different genre for relaxation, making it an unsupported/incorrect addition.</x:v>
      </x:c>
      <x:c r="L59" s="30" t="str">
        <x:v>LongCat-2.0</x:v>
      </x:c>
      <x:c r="M59" s="30" t="str">
        <x:v>LongCat-2.0</x:v>
      </x:c>
      <x:c r="N59" s="30" t="str">
        <x:v>LongCat-2.0</x:v>
      </x:c>
      <x:c r="O59" s="30" t="str">
        <x:v>LongCat-2.0</x:v>
      </x:c>
    </x:row>
    <x:row r="60" ht="54" customHeight="1">
      <x:c r="A60" s="30" t="str">
        <x:v>memos_medium:1178</x:v>
      </x:c>
      <x:c r="B60" s="30" t="str">
        <x:v>sufficient</x:v>
      </x:c>
      <x:c r="C60" s="30" t="str">
        <x:v>None. The evidence explicitly states that Taylor David removed his dislike for competitive weightlifting, which matches the gold answer exactly.</x:v>
      </x:c>
      <x:c r="D60" s="30" t="str">
        <x:v>The gold answer states that Taylor David 'Removed his dislike for competitive weightlifting.' Evidence 1 directly states that 'Taylor David removed his dislike for competitive weightlifting after exposure to a balanced weightlifting program that emphasizes holistic health.' The evidence contains the exact change described in the gold answer, with additional contextual detail (the reason for the change) that does not contradict or alter the core claim. Therefore, the complete gold answer is directly derivable from the evidence.</x:v>
      </x:c>
      <x:c r="E60" s="30" t="str">
        <x:v>ua3_representation_or_admission_failure</x:v>
      </x:c>
      <x:c r="F60" s="30" t="str">
        <x:v>correct</x:v>
      </x:c>
      <x:c r="G60" s="30" t="str">
        <x:v>The model answer 'Removed dislike for it' semantically conveys the complete gold answer 'Removed his dislike for competitive weightlifting.' The wording is slightly abbreviated but preserves the full meaning without adding false or unsupported claims.</x:v>
      </x:c>
      <x:c r="H60" s="30" t="str">
        <x:v>correct</x:v>
      </x:c>
      <x:c r="I60" s="30" t="str">
        <x:v>The model answer 'Removed dislike for it' semantically conveys the same meaning as the gold answer 'Removed his dislike for competitive weightlifting.' The wording is slightly abbreviated but the core information is complete and accurate, with no false or unsupported claims.</x:v>
      </x:c>
      <x:c r="J60" s="30" t="str">
        <x:v>correct</x:v>
      </x:c>
      <x:c r="K60" s="30" t="str">
        <x:v>The model answer 'Removed dislike for it' semantically conveys the same meaning as the gold answer 'Removed his dislike for competitive weightlifting.' The wording is slightly abbreviated but the core information is fully preserved without any contradiction or unsupported material.</x:v>
      </x:c>
      <x:c r="L60" s="30" t="str">
        <x:v>LongCat-2.0</x:v>
      </x:c>
      <x:c r="M60" s="30" t="str">
        <x:v>LongCat-2.0</x:v>
      </x:c>
      <x:c r="N60" s="30" t="str">
        <x:v>LongCat-2.0</x:v>
      </x:c>
      <x:c r="O60" s="30" t="str">
        <x:v>LongCat-2.0</x:v>
      </x:c>
    </x:row>
    <x:row r="61" ht="54" customHeight="1">
      <x:c r="A61" s="30" t="str">
        <x:v>memos_medium:873</x:v>
      </x:c>
      <x:c r="B61" s="30" t="str">
        <x:v>sufficient</x:v>
      </x:c>
      <x:c r="C61" s="30" t="str">
        <x:v>none</x:v>
      </x:c>
      <x:c r="D61" s="30" t="str">
        <x:v>Evidence 1 explicitly states that Donna's motivation was driven by her desire for creative freedom and the ability to influence the film music industry, which directly matches both material components of the gold answer: 'creative freedom' and 'industry influence'. Evidence 2 further supports the creative freedom component. Together, the evidence fully supports the complete gold answer.</x:v>
      </x:c>
      <x:c r="E61" s="30" t="str">
        <x:v>ua3_representation_or_admission_failure</x:v>
      </x:c>
      <x:c r="F61" s="30" t="str">
        <x:v>correct</x:v>
      </x:c>
      <x:c r="G61" s="30" t="str">
        <x:v>The model answer 'Creative freedom and influence' captures both key components of the gold answer 'Desire for creative freedom and industry influence' with only minor wording differences, semantically conveying the complete meaning.</x:v>
      </x:c>
      <x:c r="H61" s="30" t="str">
        <x:v>correct</x:v>
      </x:c>
      <x:c r="I61" s="30" t="str">
        <x:v>The model answer 'Creative freedom and influence' captures the complete semantic content of the gold answer 'Desire for creative freedom and industry influence.' The omission of 'desire for' and 'industry' does not change the core meaning, as 'influence' in context refers to industry influence, and the motivation is clearly implied.</x:v>
      </x:c>
      <x:c r="J61" s="30" t="str">
        <x:v>correct</x:v>
      </x:c>
      <x:c r="K61" s="30" t="str">
        <x:v>The model answer 'Creative freedom and influence' captures the complete semantic content of the gold answer 'Desire for creative freedom and industry influence.' The omission of 'desire for' and 'industry' does not change the core meaning, and no false or unsupported claims are added.</x:v>
      </x:c>
      <x:c r="L61" s="30" t="str">
        <x:v>LongCat-2.0</x:v>
      </x:c>
      <x:c r="M61" s="30" t="str">
        <x:v>LongCat-2.0</x:v>
      </x:c>
      <x:c r="N61" s="30" t="str">
        <x:v>LongCat-2.0</x:v>
      </x:c>
      <x:c r="O61" s="30" t="str">
        <x:v>LongCat-2.0</x:v>
      </x:c>
    </x:row>
    <x:row r="62" ht="54" customHeight="1">
      <x:c r="A62" s="30" t="str">
        <x:v>memos_medium:1265</x:v>
      </x:c>
      <x:c r="B62" s="30" t="str">
        <x:v>partial</x:v>
      </x:c>
      <x:c r="C62" s="30" t="str">
        <x:v>The evidence does not mention 'interactive storytelling platforms' or 'narrative-driven virtual reality experiences' specifically; it only references narrative-driven games and first-person shooters, which are related but not the same as the gold answer's specific media types.</x:v>
      </x:c>
      <x:c r="D62" s="30" t="str">
        <x:v>The evidence establishes Ananya's interest in narrative-driven games and storytelling in gameplay, which partially supports the idea that she might explore new media involving storytelling. However, the gold answer specifies 'interactive storytelling platforms' and 'narrative-driven virtual reality experiences'—neither of which is explicitly mentioned or directly derivable from the evidence. The evidence supports a general interest in narrative media but not the specific platforms or VR experiences named in the gold answer, making this partial support.</x:v>
      </x:c>
      <x:c r="E62" s="30" t="str">
        <x:v>evidence_definition_failure</x:v>
      </x:c>
      <x:c r="F62" s="30" t="str">
        <x:v>omission</x:v>
      </x:c>
      <x:c r="G62" s="30" t="str">
        <x:v>The model answer 'Narrative-driven games' is a valid form of interactive storytelling, but it only represents a subset of the gold answer, which includes 'Interactive storytelling platforms or narrative-driven virtual reality experiences.' The model does not mention interactive storytelling platforms or VR experiences, making it an incomplete subset without adding a false claim.</x:v>
      </x:c>
      <x:c r="H62" s="30" t="str">
        <x:v>omission</x:v>
      </x:c>
      <x:c r="I62" s="30" t="str">
        <x:v>The model answer 'Narrative-driven games' is a valid form of interactive storytelling, but it only represents a subset of the gold answer, which includes 'Interactive storytelling platforms or narrative-driven virtual reality experiences.' The model omits the broader category of interactive storytelling platforms and the specific mention of virtual reality experiences, providing an incomplete subset without adding a concrete false claim.</x:v>
      </x:c>
      <x:c r="J62" s="30" t="str">
        <x:v>omission</x:v>
      </x:c>
      <x:c r="K62" s="30" t="str">
        <x:v>The model answer 'Narrative-driven games' is a valid form of interactive storytelling, but it only provides a partial subset of the gold answer, which includes 'Interactive storytelling platforms or narrative-driven virtual reality experiences.' The model does not mention interactive storytelling platforms or VR experiences, making it an incomplete answer without adding a concrete false claim.</x:v>
      </x:c>
      <x:c r="L62" s="30" t="str">
        <x:v>LongCat-2.0</x:v>
      </x:c>
      <x:c r="M62" s="30" t="str">
        <x:v>LongCat-2.0</x:v>
      </x:c>
      <x:c r="N62" s="30" t="str">
        <x:v>LongCat-2.0</x:v>
      </x:c>
      <x:c r="O62" s="30" t="str">
        <x:v>LongCat-2.0</x:v>
      </x:c>
    </x:row>
    <x:row r="63" ht="54" customHeight="1">
      <x:c r="A63" s="30" t="str">
        <x:v>memos_medium:1173</x:v>
      </x:c>
      <x:c r="B63" s="30" t="str">
        <x:v>sufficient</x:v>
      </x:c>
      <x:c r="C63" s="30" t="str"/>
      <x:c r="D63" s="30" t="str">
        <x:v>Evidence 1 explicitly states that Taylor discussed the importance of continuous learning and adaptation in preparing for future challenges, which directly matches the gold answer 'Continuous learning and adaptation.' The evidence fully supports the material component of the gold answer without requiring any additional information.</x:v>
      </x:c>
      <x:c r="E63" s="30" t="str">
        <x:v>robust_generation_failure</x:v>
      </x:c>
      <x:c r="F63" s="30" t="str">
        <x:v>hallucination</x:v>
      </x:c>
      <x:c r="G63" s="30" t="str">
        <x:v>The gold answer is 'Continuous learning and adaptation.' The model answer replaces 'adaptation' with 'collaboration,' which is not supported by the gold answer and introduces unsupported material, making it a hallucination.</x:v>
      </x:c>
      <x:c r="H63" s="30" t="str">
        <x:v>hallucination</x:v>
      </x:c>
      <x:c r="I63" s="30" t="str">
        <x:v>The gold answer is 'Continuous learning and adaptation.' The model answer replaces 'adaptation' with 'collaboration,' which is not supported by the gold answer and introduces unsupported material, making it a hallucination.</x:v>
      </x:c>
      <x:c r="J63" s="30" t="str">
        <x:v>hallucination</x:v>
      </x:c>
      <x:c r="K63" s="30" t="str">
        <x:v>The gold answer is 'Continuous learning and adaptation.' The model answer replaces 'adaptation' with 'collaboration,' which is not supported by the gold answer and introduces unsupported material, making it a hallucination.</x:v>
      </x:c>
      <x:c r="L63" s="30" t="str">
        <x:v>LongCat-2.0</x:v>
      </x:c>
      <x:c r="M63" s="30" t="str">
        <x:v>LongCat-2.0</x:v>
      </x:c>
      <x:c r="N63" s="30" t="str">
        <x:v>LongCat-2.0</x:v>
      </x:c>
      <x:c r="O63" s="30" t="str">
        <x:v>LongCat-2.0</x:v>
      </x:c>
    </x:row>
    <x:row r="64" ht="54" customHeight="1">
      <x:c r="A64" s="30" t="str">
        <x:v>memos_long:3043</x:v>
      </x:c>
      <x:c r="B64" s="30" t="str">
        <x:v>sufficient</x:v>
      </x:c>
      <x:c r="C64" s="30" t="str">
        <x:v>None. The evidence directly states the updated pet preference and its reason.</x:v>
      </x:c>
      <x:c r="D64" s="30" t="str">
        <x:v>Evidence 1 explicitly states that Karen Brown updated her pet preference to include socially interactive pets for more emotional support, which matches every material component of the gold answer exactly.</x:v>
      </x:c>
      <x:c r="E64" s="30" t="str">
        <x:v>robust_generation_failure</x:v>
      </x:c>
      <x:c r="F64" s="30" t="str">
        <x:v>omission</x:v>
      </x:c>
      <x:c r="G64" s="30" t="str">
        <x:v>The model answer 'Socially interactive pets' captures part of the gold answer but omits the key purpose 'for more emotional support,' making it an incomplete subset of the full answer.</x:v>
      </x:c>
      <x:c r="H64" s="30" t="str">
        <x:v>omission</x:v>
      </x:c>
      <x:c r="I64" s="30" t="str">
        <x:v>The model answer 'Socially interactive pets' captures part of the gold answer but omits the key purpose 'for more emotional support,' making it an incomplete subset of the full answer.</x:v>
      </x:c>
      <x:c r="J64" s="30" t="str">
        <x:v>omission</x:v>
      </x:c>
      <x:c r="K64" s="30" t="str">
        <x:v>The model answer 'Socially interactive pets' captures part of the gold answer but omits the key purpose 'for more emotional support,' making it an incomplete subset of the full answer.</x:v>
      </x:c>
      <x:c r="L64" s="30" t="str">
        <x:v>LongCat-2.0</x:v>
      </x:c>
      <x:c r="M64" s="30" t="str">
        <x:v>LongCat-2.0</x:v>
      </x:c>
      <x:c r="N64" s="30" t="str">
        <x:v>LongCat-2.0</x:v>
      </x:c>
      <x:c r="O64" s="30" t="str">
        <x:v>LongCat-2.0</x:v>
      </x:c>
    </x:row>
    <x:row r="65" ht="54" customHeight="1">
      <x:c r="A65" s="30" t="str">
        <x:v>memos_medium:3256</x:v>
      </x:c>
      <x:c r="B65" s="30" t="str">
        <x:v>sufficient</x:v>
      </x:c>
      <x:c r="C65" s="30" t="str"/>
      <x:c r="D65" s="30" t="str">
        <x:v>Evidence 1 explicitly states that Barbara Jones has incorporated hibiscus into her herbal tea routine for its heart health benefits, particularly in reducing blood pressure. This directly and completely supports the gold answer 'Hibiscus' with no missing material components.</x:v>
      </x:c>
      <x:c r="E65" s="30" t="str">
        <x:v>ua3_representation_or_admission_failure</x:v>
      </x:c>
      <x:c r="F65" s="30" t="str">
        <x:v>correct</x:v>
      </x:c>
      <x:c r="G65" s="30" t="str">
        <x:v>The model answer 'hibiscus' is semantically identical to the gold answer 'Hibiscus', differing only in capitalization, which does not affect correctness.</x:v>
      </x:c>
      <x:c r="H65" s="30" t="str">
        <x:v>correct</x:v>
      </x:c>
      <x:c r="I65" s="30" t="str">
        <x:v>The model answer 'hibiscus' is semantically identical to the gold answer 'Hibiscus', differing only in capitalization, which does not affect correctness.</x:v>
      </x:c>
      <x:c r="J65" s="30" t="str">
        <x:v>correct</x:v>
      </x:c>
      <x:c r="K65" s="30" t="str">
        <x:v>The model answer 'hibiscus' is semantically identical to the gold answer 'Hibiscus', differing only in capitalization, which does not affect the meaning.</x:v>
      </x:c>
      <x:c r="L65" s="30" t="str">
        <x:v>LongCat-2.0</x:v>
      </x:c>
      <x:c r="M65" s="30" t="str">
        <x:v>LongCat-2.0</x:v>
      </x:c>
      <x:c r="N65" s="30" t="str">
        <x:v>LongCat-2.0</x:v>
      </x:c>
      <x:c r="O65" s="30" t="str">
        <x:v>LongCat-2.0</x:v>
      </x:c>
    </x:row>
    <x:row r="66" ht="54" customHeight="1">
      <x:c r="A66" s="30" t="str">
        <x:v>memos_long:3026</x:v>
      </x:c>
      <x:c r="B66" s="30" t="str">
        <x:v>partial</x:v>
      </x:c>
      <x:c r="C66" s="30" t="str">
        <x:v>The evidence does not specify that Karen would explore chamomile tea specifically; it only states she plans to explore other herbal blends for health benefits and focus enhancement, without naming chamomile as the next blend.</x:v>
      </x:c>
      <x:c r="D66" s="30" t="str">
        <x:v>The gold answer has two material components: (1) the specific herbal tea blend 'chamomile tea' and (2) the purposes 'calming and focus enhancement.' Evidence 2 supports that Karen plans to explore other herbal blends for health benefits and focus enhancement, and Evidence 1/3 support her interest in calming properties and focus enhancement. However, none of the evidence identifies chamomile tea as the specific blend she might explore next. The purposes are supported, but the specific tea type is not derivable from the evidence.</x:v>
      </x:c>
      <x:c r="E66" s="30" t="str">
        <x:v>evidence_definition_failure</x:v>
      </x:c>
      <x:c r="F66" s="30" t="str">
        <x:v>omission</x:v>
      </x:c>
      <x:c r="G66" s="30" t="str">
        <x:v>The model answer 'Other herbal blends' is vague and does not provide the specific herbal tea blend (chamomile tea for calming and focus enhancement) given in the gold answer. It gives only an incomplete, generic response without adding a concrete false claim, which fits the definition of omission.</x:v>
      </x:c>
      <x:c r="H66" s="30" t="str">
        <x:v>omission</x:v>
      </x:c>
      <x:c r="I66" s="30" t="str">
        <x:v>The model answer 'Other herbal blends' is vague and does not provide the specific herbal tea blend (chamomile tea for calming and focus enhancement) given in the gold answer. It offers no concrete or complete information, making it an omission.</x:v>
      </x:c>
      <x:c r="J66" s="30" t="str">
        <x:v>omission</x:v>
      </x:c>
      <x:c r="K66" s="30" t="str">
        <x:v>The model answer 'Other herbal blends' is vague and does not provide the specific herbal tea blend (chamomile tea for calming and focus enhancement) given in the gold answer. It offers no concrete or complete information matching the gold answer, making it an omission.</x:v>
      </x:c>
      <x:c r="L66" s="30" t="str">
        <x:v>LongCat-2.0</x:v>
      </x:c>
      <x:c r="M66" s="30" t="str">
        <x:v>LongCat-2.0</x:v>
      </x:c>
      <x:c r="N66" s="30" t="str">
        <x:v>LongCat-2.0</x:v>
      </x:c>
      <x:c r="O66" s="30" t="str">
        <x:v>LongCat-2.0</x:v>
      </x:c>
    </x:row>
    <x:row r="67" ht="54" customHeight="1">
      <x:c r="A67" s="30" t="str">
        <x:v>memos_medium:1404</x:v>
      </x:c>
      <x:c r="B67" s="30" t="str">
        <x:v>sufficient</x:v>
      </x:c>
      <x:c r="C67" s="30" t="str"/>
      <x:c r="D67" s="30" t="str">
        <x:v>Evidence 1 explicitly states that Ananya Sharma's mental health status changed to 'Stressed', which directly matches the gold answer. Evidence 2 provides additional supporting context about anxiety due to increased responsibilities, reinforcing the stressed status. Together, the evidence fully supports the material component of the gold answer.</x:v>
      </x:c>
      <x:c r="E67" s="30" t="str">
        <x:v>ua3_representation_or_admission_failure</x:v>
      </x:c>
      <x:c r="F67" s="30" t="str">
        <x:v>correct</x:v>
      </x:c>
      <x:c r="G67" s="30" t="str">
        <x:v>The model answer 'Stressed' exactly matches the benchmark gold answer 'Stressed', providing the complete answer with no contradictions or omissions.</x:v>
      </x:c>
      <x:c r="H67" s="30" t="str">
        <x:v>correct</x:v>
      </x:c>
      <x:c r="I67" s="30" t="str">
        <x:v>The model answer 'Stressed' exactly matches the benchmark gold answer 'Stressed', providing the complete answer without any contradiction or unsupported material.</x:v>
      </x:c>
      <x:c r="J67" s="30" t="str">
        <x:v>correct</x:v>
      </x:c>
      <x:c r="K67" s="30" t="str">
        <x:v>The model answer 'Stressed' matches the benchmark gold answer exactly, providing the complete and correct information about Ananya Sharma's mental health status.</x:v>
      </x:c>
      <x:c r="L67" s="30" t="str">
        <x:v>LongCat-2.0</x:v>
      </x:c>
      <x:c r="M67" s="30" t="str">
        <x:v>LongCat-2.0</x:v>
      </x:c>
      <x:c r="N67" s="30" t="str">
        <x:v>LongCat-2.0</x:v>
      </x:c>
      <x:c r="O67" s="30" t="str">
        <x:v>LongCat-2.0</x:v>
      </x:c>
    </x:row>
    <x:row r="68" ht="54" customHeight="1">
      <x:c r="A68" s="30" t="str">
        <x:v>memos_long:3380</x:v>
      </x:c>
      <x:c r="B68" s="30" t="str">
        <x:v>sufficient</x:v>
      </x:c>
      <x:c r="C68" s="30" t="str"/>
      <x:c r="D68" s="30" t="str">
        <x:v>Evidence 1 directly states Christopher expressed a desire to explore painting and expand his community impact. Evidence 2 reinforces his commitment to expanding community impact and contributing creatively. Together, these two pieces of evidence fully support both material components of the gold answer: 'Painting' and 'expanding community impact.'</x:v>
      </x:c>
      <x:c r="E68" s="30" t="str">
        <x:v>ua3_representation_or_admission_failure</x:v>
      </x:c>
      <x:c r="F68" s="30" t="str">
        <x:v>correct</x:v>
      </x:c>
      <x:c r="G68" s="30" t="str">
        <x:v>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x:v>
      </x:c>
      <x:c r="H68" s="30" t="str">
        <x:v>correct</x:v>
      </x:c>
      <x:c r="I68" s="30" t="str">
        <x:v>The model answer 'Painting and community impact' captures the complete semantic content of the gold answer 'Painting and expanding community impact.' The omission of the word 'expanding' does not change the core meaning or introduce any false claim, and both key interests (painting and community impact) are fully present.</x:v>
      </x:c>
      <x:c r="J68" s="30" t="str">
        <x:v>correct</x:v>
      </x:c>
      <x:c r="K68" s="30" t="str">
        <x:v>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x:v>
      </x:c>
      <x:c r="L68" s="30" t="str">
        <x:v>LongCat-2.0</x:v>
      </x:c>
      <x:c r="M68" s="30" t="str">
        <x:v>LongCat-2.0</x:v>
      </x:c>
      <x:c r="N68" s="30" t="str">
        <x:v>LongCat-2.0</x:v>
      </x:c>
      <x:c r="O68" s="30" t="str">
        <x:v>LongCat-2.0</x:v>
      </x:c>
    </x:row>
    <x:row r="69" ht="54" customHeight="1">
      <x:c r="A69" s="30" t="str">
        <x:v>memos_long:3263</x:v>
      </x:c>
      <x:c r="B69" s="30" t="str">
        <x:v>sufficient</x:v>
      </x:c>
      <x:c r="C69" s="30" t="str"/>
      <x:c r="D69" s="30" t="str">
        <x:v>The gold answer is 'Use a focus-enhancing environment to maintain productivity.' Evidence 1 directly states that Barbara values balancing stimulating music with a focus-enhancing environment to maintain productivity and creativity. This explicitly supports using a focus-enhancing environment to maintain productivity, which is the complete gold answer. Evidence 2 provides additional context about compensatory motivation but is not needed to derive the answer. The evidence taken together fully supports every material component of the gold answer.</x:v>
      </x:c>
      <x:c r="E69" s="30" t="str">
        <x:v>robust_generation_failure</x:v>
      </x:c>
      <x:c r="F69" s="30" t="str">
        <x:v>hallucination</x:v>
      </x:c>
      <x:c r="G69"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H69" s="30" t="str">
        <x:v>hallucination</x:v>
      </x:c>
      <x:c r="I69"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J69" s="30" t="str">
        <x:v>hallucination</x:v>
      </x:c>
      <x:c r="K69"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L69" s="30" t="str">
        <x:v>LongCat-2.0</x:v>
      </x:c>
      <x:c r="M69" s="30" t="str">
        <x:v>LongCat-2.0</x:v>
      </x:c>
      <x:c r="N69" s="30" t="str">
        <x:v>LongCat-2.0</x:v>
      </x:c>
      <x:c r="O69" s="30" t="str">
        <x:v>LongCat-2.0</x:v>
      </x:c>
    </x:row>
    <x:row r="70" ht="54" customHeight="1">
      <x:c r="A70" s="30" t="str">
        <x:v>memos_medium:1478</x:v>
      </x:c>
      <x:c r="B70" s="30" t="str">
        <x:v>sufficient</x:v>
      </x:c>
      <x:c r="C70" s="30" t="str"/>
      <x:c r="D70" s="30" t="str">
        <x:v>The gold answer states that Jennifer Martin may prioritize online courses or webinars. Evidence 1 establishes her preference for virtual tech conferences due to convenience, cost-effectiveness, and personal time. Evidence 2 confirms she values virtual conferences for networking and learning without travel. Evidence 3 shows she is enthusiastic about technological advancements that make virtual conferences engaging and effective for professional development. Together, these pieces of evidence support the inference that her preference for virtual formats would lead her to prioritize online professional development activities such as online courses or webinars, which are the virtual equivalents of the in-person conferences she now avoids. The complete gold answer is directly derivable through ordinary reasoning from the provided evidence.</x:v>
      </x:c>
      <x:c r="E70" s="30" t="str">
        <x:v>robust_generation_failure</x:v>
      </x:c>
      <x:c r="F70" s="30" t="str">
        <x:v>omission</x:v>
      </x:c>
      <x:c r="G70"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H70" s="30" t="str">
        <x:v>omission</x:v>
      </x:c>
      <x:c r="I70"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J70" s="30" t="str">
        <x:v>omission</x:v>
      </x:c>
      <x:c r="K70"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L70" s="30" t="str">
        <x:v>LongCat-2.0</x:v>
      </x:c>
      <x:c r="M70" s="30" t="str">
        <x:v>LongCat-2.0</x:v>
      </x:c>
      <x:c r="N70" s="30" t="str">
        <x:v>LongCat-2.0</x:v>
      </x:c>
      <x:c r="O70" s="30" t="str">
        <x:v>LongCat-2.0</x:v>
      </x:c>
    </x:row>
    <x:row r="71" ht="54" customHeight="1">
      <x:c r="A71" s="30" t="str">
        <x:v>memos_long:535</x:v>
      </x:c>
      <x:c r="B71" s="30" t="str">
        <x:v>sufficient</x:v>
      </x:c>
      <x:c r="C71" s="30" t="str"/>
      <x:c r="D71" s="30" t="str">
        <x:v>The gold answer states that Sarah Garcia's strategic vision was 'crucial for project success.' Evidence 1 states she 'successfully led a major financial project at Oracle, applying her strategic vision and leadership skills.' Evidence 2 explicitly states 'Sarah Garcia's strategic vision and leadership skills were crucial to the success of her recent project at Oracle.' Together, these directly support the claim that her strategic vision was crucial to project success, which is the complete gold answer. No material component is missing.</x:v>
      </x:c>
      <x:c r="E71" s="30" t="str">
        <x:v>robust_generation_failure</x:v>
      </x:c>
      <x:c r="F71" s="30" t="str">
        <x:v>omission</x:v>
      </x:c>
      <x:c r="G71" s="30" t="str">
        <x:v>The model answer 'Led major Oracle project' does not address how Sarah Garcia's strategic vision contributed to her career achievements, nor does it convey the idea that it was 'crucial for project success.' It provides a different, unsupported claim about leading a project, which is an incomplete and unrelated subset of information that fails to capture the gold answer's meaning.</x:v>
      </x:c>
      <x:c r="H71" s="30" t="str">
        <x:v>omission</x:v>
      </x:c>
      <x:c r="I71" s="30" t="str">
        <x:v>The gold answer states that Sarah Garcia's strategic vision was crucial for project success, which is a general claim about the importance of her strategic vision. The model answer only mentions that she 'Led major Oracle project,' which is a specific factual claim about a project she led but does not address the strategic vision's contribution or its crucial role in project success. The model answer provides an incomplete subset of the gold answer without fully capturing the semantic content about the strategic vision's importance.</x:v>
      </x:c>
      <x:c r="J71" s="30" t="str">
        <x:v>omission</x:v>
      </x:c>
      <x:c r="K71" s="30" t="str">
        <x:v>The model answer 'Led major Oracle project' provides a concrete claim about Sarah Garcia's actions but does not address the gold answer's point about her strategic vision being 'crucial for project success.' The model's answer is an incomplete subset that omits the key information about the contribution of her strategic vision to project success, making it an omission rather than a semantically complete match.</x:v>
      </x:c>
      <x:c r="L71" s="30" t="str">
        <x:v>LongCat-2.0</x:v>
      </x:c>
      <x:c r="M71" s="30" t="str">
        <x:v>LongCat-2.0</x:v>
      </x:c>
      <x:c r="N71" s="30" t="str">
        <x:v>LongCat-2.0</x:v>
      </x:c>
      <x:c r="O71" s="30" t="str">
        <x:v>LongCat-2.0</x:v>
      </x:c>
    </x:row>
    <x:row r="72" ht="54" customHeight="1">
      <x:c r="A72" s="30" t="str">
        <x:v>memos_medium:2255</x:v>
      </x:c>
      <x:c r="B72" s="30" t="str">
        <x:v>sufficient</x:v>
      </x:c>
      <x:c r="C72" s="30" t="str">
        <x:v>None. The evidence fully supports that Williams expressed a deepened admiration for the historical significance of Persian cats on April 10, 2026.</x:v>
      </x:c>
      <x:c r="D72" s="30" t="str">
        <x:v>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establish that on April 10, 2026, Williams watched a documentary about the historical significance of Persian cats, which deepened his admiration for their historical significance. This directly supports the gold answer that Williams expressed a deepened admiration for their historical significance on that date.</x:v>
      </x:c>
      <x:c r="E72" s="30" t="str">
        <x:v>robust_generation_failure</x:v>
      </x:c>
      <x:c r="F72" s="30" t="str">
        <x:v>hallucination</x:v>
      </x:c>
      <x:c r="G72" s="30" t="str">
        <x:v>The gold answer states that Williams expressed a deepened admiration for the historical significance of Persian cats, meaning he did express interest. The model answer 'No' directly contradicts this by claiming he expressed no interest, which is a concrete false claim.</x:v>
      </x:c>
      <x:c r="H72" s="30" t="str">
        <x:v>hallucination</x:v>
      </x:c>
      <x:c r="I72" s="30" t="str">
        <x:v>The gold answer states that Williams expressed a deepened admiration for the historical significance of Persian cats, which directly contradicts the model's answer 'No' (which claims Williams expressed no interest). The model's answer is a concrete claim that contradicts the gold answer, making it a hallucination.</x:v>
      </x:c>
      <x:c r="J72" s="30" t="str">
        <x:v>hallucination</x:v>
      </x:c>
      <x:c r="K72" s="30" t="str">
        <x:v>The gold answer states that Williams expressed a deepened admiration for the historical significance of Persian cats, meaning Williams did express interest. The model answer 'No' directly contradicts this by claiming Williams expressed no interest, which is a concrete false claim that opposes the gold answer.</x:v>
      </x:c>
      <x:c r="L72" s="30" t="str">
        <x:v>LongCat-2.0</x:v>
      </x:c>
      <x:c r="M72" s="30" t="str">
        <x:v>LongCat-2.0</x:v>
      </x:c>
      <x:c r="N72" s="30" t="str">
        <x:v>LongCat-2.0</x:v>
      </x:c>
      <x:c r="O72" s="30" t="str">
        <x:v>LongCat-2.0</x:v>
      </x:c>
    </x:row>
    <x:row r="73" ht="54" customHeight="1">
      <x:c r="A73" s="30" t="str">
        <x:v>memos_medium:51</x:v>
      </x:c>
      <x:c r="B73" s="30" t="str">
        <x:v>sufficient</x:v>
      </x:c>
      <x:c r="C73" s="30" t="str">
        <x:v>none</x:v>
      </x:c>
      <x:c r="D73" s="30" t="str">
        <x:v>Evidence 2 directly supports 'yoga retreats' and 'nature hikes', and Evidence 3 directly supports 'workshops' and 'seminars'. Together, all four material components of the gold answer are explicitly stated in the evidence, making the complete gold answer directly derivable.</x:v>
      </x:c>
      <x:c r="E73" s="30" t="str">
        <x:v>robust_generation_failure</x:v>
      </x:c>
      <x:c r="F73" s="30" t="str">
        <x:v>omission</x:v>
      </x:c>
      <x:c r="G73" s="30" t="str">
        <x:v>The model answer provides only a subset of the gold answer (yoga retreats and nature hikes) while omitting 'workshops and seminars' without adding any false claims.</x:v>
      </x:c>
      <x:c r="H73" s="30" t="str">
        <x:v>omission</x:v>
      </x:c>
      <x:c r="I73" s="30" t="str">
        <x:v>The model answer provides only a subset of the gold answer (yoga retreats and nature hikes) while omitting workshops and seminars, without adding any false claims.</x:v>
      </x:c>
      <x:c r="J73" s="30" t="str">
        <x:v>omission</x:v>
      </x:c>
      <x:c r="K73" s="30" t="str">
        <x:v>The model answer provides only a subset of the gold answer (yoga retreats and nature hikes) while omitting workshops and seminars, without adding any false claims.</x:v>
      </x:c>
      <x:c r="L73" s="30" t="str">
        <x:v>LongCat-2.0</x:v>
      </x:c>
      <x:c r="M73" s="30" t="str">
        <x:v>LongCat-2.0</x:v>
      </x:c>
      <x:c r="N73" s="30" t="str">
        <x:v>LongCat-2.0</x:v>
      </x:c>
      <x:c r="O73" s="30" t="str">
        <x:v>LongCat-2.0</x:v>
      </x:c>
    </x:row>
    <x:row r="74" ht="54" customHeight="1">
      <x:c r="A74" s="30" t="str">
        <x:v>memos_long:3306</x:v>
      </x:c>
      <x:c r="B74" s="30" t="str">
        <x:v>sufficient</x:v>
      </x:c>
      <x:c r="C74" s="30" t="str">
        <x:v>None. The evidence directly supports that Christopher plans to introduce cooking classes to explore diverse flavors, which matches the gold answer.</x:v>
      </x:c>
      <x:c r="D74" s="30" t="str">
        <x:v>Evidence 1 states Christopher plans to integrate cooking classes into his community program to enrich seniors' lives through diverse dietary options. Evidence 2 shows his excitement about expanding taste preferences and encouraging seniors to explore new culinary experiences. Evidence 3 confirms he discussed incorporating cooking classes to foster engagement and learning. Together, these directly support the gold answer that he may introduce cooking classes to explore diverse flavors.</x:v>
      </x:c>
      <x:c r="E74" s="30" t="str">
        <x:v>generation_instability</x:v>
      </x:c>
      <x:c r="F74" s="30" t="str">
        <x:v>omission</x:v>
      </x:c>
      <x:c r="G74" s="30" t="str">
        <x:v>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x:v>
      </x:c>
      <x:c r="H74" s="30" t="str">
        <x:v>correct</x:v>
      </x:c>
      <x:c r="I74" s="30" t="str">
        <x:v>The model answer 'By integrating cooking classes' semantically conveys the same complete meaning as the gold answer 'He may introduce cooking classes to explore diverse flavors.' Both indicate that Christopher will add cooking classes to his community program, with the model answer being a concise version of the gold answer. The wording differs but the core meaning is preserved.</x:v>
      </x:c>
      <x:c r="J74" s="30" t="str">
        <x:v>omission</x:v>
      </x:c>
      <x:c r="K74" s="30" t="str">
        <x:v>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x:v>
      </x:c>
      <x:c r="L74" s="30" t="str">
        <x:v>LongCat-2.0</x:v>
      </x:c>
      <x:c r="M74" s="30" t="str">
        <x:v>LongCat-2.0</x:v>
      </x:c>
      <x:c r="N74" s="30" t="str">
        <x:v>LongCat-2.0</x:v>
      </x:c>
      <x:c r="O74" s="30" t="str">
        <x:v>LongCat-2.0</x:v>
      </x:c>
    </x:row>
    <x:row r="75" ht="54" customHeight="1">
      <x:c r="A75" s="30" t="str">
        <x:v>memos_long:2235</x:v>
      </x:c>
      <x:c r="B75" s="30" t="str">
        <x:v>sufficient</x:v>
      </x:c>
      <x:c r="C75" s="30" t="str"/>
      <x:c r="D75" s="30" t="str">
        <x:v>Evidence 1 states that on Sep 20, 2035, Sharon Brown's focus was on personal health and family life. Evidence 2 states that by Sep 01, 2036, her focus had shifted to family, hobbies, and new experiences. Together, these two pieces of evidence directly support the complete gold answer: the change from 'health and family' to 'family, hobbies, and new experiences.' All material components of the gold answer are present and derivable through ordinary reasoning.</x:v>
      </x:c>
      <x:c r="E75" s="30" t="str">
        <x:v>robust_generation_failure</x:v>
      </x:c>
      <x:c r="F75" s="30" t="str">
        <x:v>hallucination</x:v>
      </x:c>
      <x:c r="G75" s="30" t="str">
        <x:v>The gold answer states that Sharon Brown's focus changed from health and family to family, hobbies, and new experiences, indicating a clear shift in personal activities. The model answer claims 'No change in focus,' which directly contradicts the gold answer and is therefore a concrete false claim.</x:v>
      </x:c>
      <x:c r="H75" s="30" t="str">
        <x:v>hallucination</x:v>
      </x:c>
      <x:c r="I75"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J75" s="30" t="str">
        <x:v>hallucination</x:v>
      </x:c>
      <x:c r="K75"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L75" s="30" t="str">
        <x:v>LongCat-2.0</x:v>
      </x:c>
      <x:c r="M75" s="30" t="str">
        <x:v>LongCat-2.0</x:v>
      </x:c>
      <x:c r="N75" s="30" t="str">
        <x:v>LongCat-2.0</x:v>
      </x:c>
      <x:c r="O75" s="30" t="str">
        <x:v>LongCat-2.0</x:v>
      </x:c>
    </x:row>
    <x:row r="76" ht="54" customHeight="1">
      <x:c r="A76" s="30" t="str">
        <x:v>memos_medium:527</x:v>
      </x:c>
      <x:c r="B76" s="30" t="str">
        <x:v>sufficient</x:v>
      </x:c>
      <x:c r="C76" s="30" t="str"/>
      <x:c r="D76" s="30" t="str">
        <x:v>The gold answer states Sarah Garcia's job title is manager at Oracle. Evidence 1 establishes she works at Oracle, and Evidence 2 establishes her job title is manager. Together, these two pieces of evidence directly support every material component of the gold answer: the job title (manager) and the company (Oracle). No additional information is needed.</x:v>
      </x:c>
      <x:c r="E76" s="30" t="str">
        <x:v>robust_generation_failure</x:v>
      </x:c>
      <x:c r="F76" s="30" t="str">
        <x:v>hallucination</x:v>
      </x:c>
      <x:c r="G76" s="30" t="str">
        <x:v>The question asks about Sarah Garcia's job title at Microsoft on Sep 05, 2025, but the model answer states 'Manager at Oracle,' which contradicts the gold answer's context of Microsoft and provides an unsupported/incorrect company name.</x:v>
      </x:c>
      <x:c r="H76" s="30" t="str">
        <x:v>hallucination</x:v>
      </x:c>
      <x:c r="I76" s="30" t="str">
        <x:v>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x:v>
      </x:c>
      <x:c r="J76" s="30" t="str">
        <x:v>hallucination</x:v>
      </x:c>
      <x:c r="K76" s="30" t="str">
        <x:v>The question asks about Sarah Garcia's job title at Microsoft on Sep 05, 2025, but the model answer states 'Manager at Oracle,' which contradicts the gold answer's context of Microsoft and provides an unsupported/incorrect company name.</x:v>
      </x:c>
      <x:c r="L76" s="30" t="str">
        <x:v>LongCat-2.0</x:v>
      </x:c>
      <x:c r="M76" s="30" t="str">
        <x:v>LongCat-2.0</x:v>
      </x:c>
      <x:c r="N76" s="30" t="str">
        <x:v>LongCat-2.0</x:v>
      </x:c>
      <x:c r="O76" s="30" t="str">
        <x:v>LongCat-2.0</x:v>
      </x:c>
    </x:row>
    <x:row r="77" ht="54" customHeight="1">
      <x:c r="A77" s="30" t="str">
        <x:v>memos_long:2809</x:v>
      </x:c>
      <x:c r="B77" s="30" t="str">
        <x:v>sufficient</x:v>
      </x:c>
      <x:c r="C77" s="30" t="str">
        <x:v>None. The evidence directly states that Donald Smith's mental health status changed from 'Stable and Normal' to 'Increased Stress' due to his promotion to Senior Political Advisor, which fully supports the gold answer that his mental health status was not stable and normal after his promotion and instead changed to increased stress.</x:v>
      </x:c>
      <x:c r="D77" s="30" t="str">
        <x:v>The gold answer has two material components: (1) Donald's mental health status was not stable and normal after his promotion, and (2) it changed to increased stress. Evidence 1 explicitly states that Donald Smith's mental health status changed from 'Stable and Normal' to 'Increased Stress' due to his promotion to Senior Political Advisor. This directly supports both components of the gold answer. The promotion date (2029-12-05) in the question aligns with the context of the evidence, and no additional information is needed to derive the complete gold answer.</x:v>
      </x:c>
      <x:c r="E77" s="30" t="str">
        <x:v>robust_generation_failure</x:v>
      </x:c>
      <x:c r="F77" s="30" t="str">
        <x:v>omission</x:v>
      </x:c>
      <x:c r="G77" s="30" t="str">
        <x:v>The model answer 'No' is factually aligned with the gold answer but omits the key detail that his mental health status changed to increased stress, making it an incomplete subset of the gold answer.</x:v>
      </x:c>
      <x:c r="H77" s="30" t="str">
        <x:v>omission</x:v>
      </x:c>
      <x:c r="I77" s="30" t="str">
        <x:v>The model answer 'No' correctly indicates that Donald's mental health status was not stable and normal, but it omits the specific detail from the gold answer that his status changed to increased stress. This makes it an incomplete subset of the gold answer.</x:v>
      </x:c>
      <x:c r="J77" s="30" t="str">
        <x:v>omission</x:v>
      </x:c>
      <x:c r="K77" s="30" t="str">
        <x:v>The model answer 'No' is factually aligned with the gold answer but omits the key detail that his mental health status changed to increased stress, making it an incomplete subset of the gold answer.</x:v>
      </x:c>
      <x:c r="L77" s="30" t="str">
        <x:v>LongCat-2.0</x:v>
      </x:c>
      <x:c r="M77" s="30" t="str">
        <x:v>LongCat-2.0</x:v>
      </x:c>
      <x:c r="N77" s="30" t="str">
        <x:v>LongCat-2.0</x:v>
      </x:c>
      <x:c r="O77" s="30" t="str">
        <x:v>LongCat-2.0</x:v>
      </x:c>
    </x:row>
    <x:row r="78" ht="54" customHeight="1">
      <x:c r="A78" s="30" t="str">
        <x:v>memos_medium:694</x:v>
      </x:c>
      <x:c r="B78" s="30" t="str">
        <x:v>sufficient</x:v>
      </x:c>
      <x:c r="C78" s="30" t="str">
        <x:v>none</x:v>
      </x:c>
      <x:c r="D78" s="30" t="str">
        <x:v>Evidence 1 directly states that Sarah Garcia decided to remove instant coffee from her dislike list, which fully supports the gold answer 'Instant coffee'. The date in the question (Jul 21, 2041) is not contradicted by the evidence, and the core material component — the beverage removed from her dislike list — is explicitly provided.</x:v>
      </x:c>
      <x:c r="E78" s="30" t="str">
        <x:v>ua3_representation_or_admission_failure</x:v>
      </x:c>
      <x:c r="F78" s="30" t="str">
        <x:v>correct</x:v>
      </x:c>
      <x:c r="G78" s="30" t="str">
        <x:v>The model answer 'Instant coffee' exactly matches the benchmark gold answer 'Instant coffee', providing the complete and correct information.</x:v>
      </x:c>
      <x:c r="H78" s="30" t="str">
        <x:v>correct</x:v>
      </x:c>
      <x:c r="I78" s="30" t="str">
        <x:v>The model answer 'Instant coffee' exactly matches the benchmark gold answer 'Instant coffee', providing the complete and correct information.</x:v>
      </x:c>
      <x:c r="J78" s="30" t="str">
        <x:v>correct</x:v>
      </x:c>
      <x:c r="K78" s="30" t="str">
        <x:v>The model answer 'Instant coffee' matches the benchmark gold answer exactly, providing the complete and correct information.</x:v>
      </x:c>
      <x:c r="L78" s="30" t="str">
        <x:v>LongCat-2.0</x:v>
      </x:c>
      <x:c r="M78" s="30" t="str">
        <x:v>LongCat-2.0</x:v>
      </x:c>
      <x:c r="N78" s="30" t="str">
        <x:v>LongCat-2.0</x:v>
      </x:c>
      <x:c r="O78" s="30" t="str">
        <x:v>LongCat-2.0</x:v>
      </x:c>
    </x:row>
    <x:row r="79" ht="54" customHeight="1">
      <x:c r="A79" s="30" t="str">
        <x:v>memos_medium:2374</x:v>
      </x:c>
      <x:c r="B79" s="30" t="str">
        <x:v>sufficient</x:v>
      </x:c>
      <x:c r="C79" s="30" t="str"/>
      <x:c r="D79" s="30" t="str">
        <x:v>The evidence directly supports the gold answer. Evidence 1 states Williams Daniel decided to focus on genres that support historical film projects. Evidence 2 confirms he values historical themes for his film projects. Evidence 3 reinforces that his schedule is dominated by historical film projects. Together, these establish that the genre he focuses on is historical, which matches the gold answer 'Historical genres.'</x:v>
      </x:c>
      <x:c r="E79" s="30" t="str">
        <x:v>ua3_representation_or_admission_failure</x:v>
      </x:c>
      <x:c r="F79" s="30" t="str">
        <x:v>correct</x:v>
      </x:c>
      <x:c r="G79" s="30" t="str">
        <x:v>The model answer 'Historical themes or genres' semantically conveys the same meaning as the gold answer 'Historical genres,' with only minor wording differences and no added false or unsupported claims.</x:v>
      </x:c>
      <x:c r="H79" s="30" t="str">
        <x:v>correct</x:v>
      </x:c>
      <x:c r="I79" s="30" t="str">
        <x:v>The model answer exactly matches the benchmark gold answer 'Historical genres.', providing the complete and correct information.</x:v>
      </x:c>
      <x:c r="J79" s="30" t="str">
        <x:v>correct</x:v>
      </x:c>
      <x:c r="K79" s="30" t="str">
        <x:v>The model answer 'Historical genres' is semantically identical to the benchmark gold answer 'Historical genres', providing the complete correct answer with no contradictions or omissions.</x:v>
      </x:c>
      <x:c r="L79" s="30" t="str">
        <x:v>LongCat-2.0</x:v>
      </x:c>
      <x:c r="M79" s="30" t="str">
        <x:v>LongCat-2.0</x:v>
      </x:c>
      <x:c r="N79" s="30" t="str">
        <x:v>LongCat-2.0</x:v>
      </x:c>
      <x:c r="O79" s="30" t="str">
        <x:v>LongCat-2.0</x:v>
      </x:c>
    </x:row>
    <x:row r="80" ht="54" customHeight="1">
      <x:c r="A80" s="30" t="str">
        <x:v>memos_long:3038</x:v>
      </x:c>
      <x:c r="B80" s="30" t="str">
        <x:v>partial</x:v>
      </x:c>
      <x:c r="C80" s="30" t="str">
        <x:v>The evidence does not specify that Karen would explore smoking 'other types of foods' specifically; it only mentions her general plan to explore innovative cooking methods and her past experience with smoking salmon, but does not directly support the material component that she would move on to smoke other types of foods after March 10, 2036.</x:v>
      </x:c>
      <x:c r="D80" s="30" t="str">
        <x:v>Evidence 1 supports that Karen plans to explore innovative cooking methods generally, and Evidence 2 shows she has experience with smoking salmon and a preference shift toward smoked preparations. However, the gold answer's specific material component—that she might explore smoking 'other types of foods'—is not directly stated or necessarily derivable. While one could infer she might expand her smoking repertoire, the evidence does not explicitly support smoking other types of foods as a distinct new method, nor does it anchor this to the timeframe after March 10, 2036. Thus, only some material components are supported.</x:v>
      </x:c>
      <x:c r="E80" s="30" t="str">
        <x:v>evidence_definition_failure</x:v>
      </x:c>
      <x:c r="F80" s="30" t="str">
        <x:v>omission</x:v>
      </x:c>
      <x:c r="G80" s="30" t="str">
        <x:v>The gold answer is 'smoking other types of foods,' which is a general statement about exploring smoking as a cooking method for various foods. The model answer 'Smoking salmon at home' provides only a single specific example (salmon) rather than the broader concept of 'other types of foods.' While salmon is a type of food, the answer narrows the scope to just one food item and adds the unsupported detail 'at home,' failing to capture the complete semantic meaning of the gold answer about exploring smoking other types of foods in general.</x:v>
      </x:c>
      <x:c r="H80" s="30" t="str">
        <x:v>omission</x:v>
      </x:c>
      <x:c r="I80" s="30" t="str">
        <x:v>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x:v>
      </x:c>
      <x:c r="J80" s="30" t="str">
        <x:v>omission</x:v>
      </x:c>
      <x:c r="K80" s="30" t="str">
        <x:v>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x:v>
      </x:c>
      <x:c r="L80" s="30" t="str">
        <x:v>LongCat-2.0</x:v>
      </x:c>
      <x:c r="M80" s="30" t="str">
        <x:v>LongCat-2.0</x:v>
      </x:c>
      <x:c r="N80" s="30" t="str">
        <x:v>LongCat-2.0</x:v>
      </x:c>
      <x:c r="O80" s="30" t="str">
        <x:v>LongCat-2.0</x:v>
      </x:c>
    </x:row>
    <x:row r="81" ht="54" customHeight="1">
      <x:c r="A81" s="30" t="str">
        <x:v>memos_medium:2935</x:v>
      </x:c>
      <x:c r="B81" s="30" t="str">
        <x:v>sufficient</x:v>
      </x:c>
      <x:c r="C81" s="30" t="str"/>
      <x:c r="D81" s="30" t="str">
        <x:v>Evidence 1 directly states that Karen Brown is currently unemployed following her layoff from RealTech Solutions, supporting the 'unemployed' component. Evidence 2 states she is exploring starting her own venture in the property management technology sector, supporting the 'exploring a venture in property management technology' component. Together, both material components of the gold answer are fully supported.</x:v>
      </x:c>
      <x:c r="E81" s="30" t="str">
        <x:v>robust_generation_failure</x:v>
      </x:c>
      <x:c r="F81" s="30" t="str">
        <x:v>omission</x:v>
      </x:c>
      <x:c r="G81"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H81" s="30" t="str">
        <x:v>omission</x:v>
      </x:c>
      <x:c r="I81"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J81" s="30" t="str">
        <x:v>omission</x:v>
      </x:c>
      <x:c r="K81"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L81" s="30" t="str">
        <x:v>LongCat-2.0</x:v>
      </x:c>
      <x:c r="M81" s="30" t="str">
        <x:v>LongCat-2.0</x:v>
      </x:c>
      <x:c r="N81" s="30" t="str">
        <x:v>LongCat-2.0</x:v>
      </x:c>
      <x:c r="O81" s="30" t="str">
        <x:v>LongCat-2.0</x:v>
      </x:c>
    </x:row>
    <x:row r="82" ht="54" customHeight="1">
      <x:c r="A82" s="30" t="str">
        <x:v>memos_medium:2571</x:v>
      </x:c>
      <x:c r="B82" s="30" t="str">
        <x:v>sufficient</x:v>
      </x:c>
      <x:c r="C82" s="30" t="str">
        <x:v>None. The evidence directly supports both material components of the gold answer: 'clever humor' and 'unexpected plot twists' are explicitly stated in Evidence 1 as part of Steven Miller's evolved movie preference for romantic comedies.</x:v>
      </x:c>
      <x:c r="D82" s="30" t="str">
        <x:v>Evidence 1 explicitly states that Steven Miller's movie preference evolved to include romantic comedies with 'clever humor and unexpected plot twists,' which matches the gold answer verbatim. Evidence 2 and 3 provide additional supporting context about his curiosity and appreciation for the genre. All material components of the gold answer are directly derivable from the evidence.</x:v>
      </x:c>
      <x:c r="E82" s="30" t="str">
        <x:v>robust_generation_failure</x:v>
      </x:c>
      <x:c r="F82" s="30" t="str">
        <x:v>omission</x:v>
      </x:c>
      <x:c r="G82" s="30" t="str">
        <x:v>The model answer includes 'clever humor' but omits 'unexpected plot twists', which is a key part of the gold answer. Since it provides only an incomplete subset without adding a false claim, it qualifies as an omission.</x:v>
      </x:c>
      <x:c r="H82" s="30" t="str">
        <x:v>omission</x:v>
      </x:c>
      <x:c r="I82" s="30" t="str">
        <x:v>The model answer includes 'clever humor' but omits 'unexpected plot twists', which is a key part of the gold answer. No false claim is made, but the answer is incomplete.</x:v>
      </x:c>
      <x:c r="J82" s="30" t="str">
        <x:v>omission</x:v>
      </x:c>
      <x:c r="K82" s="30" t="str">
        <x:v>The model answer includes 'clever humor' but omits 'unexpected plot twists', which is a key part of the gold answer. Since it provides only an incomplete subset without adding a false claim, it qualifies as an omission.</x:v>
      </x:c>
      <x:c r="L82" s="30" t="str">
        <x:v>LongCat-2.0</x:v>
      </x:c>
      <x:c r="M82" s="30" t="str">
        <x:v>LongCat-2.0</x:v>
      </x:c>
      <x:c r="N82" s="30" t="str">
        <x:v>LongCat-2.0</x:v>
      </x:c>
      <x:c r="O82" s="30" t="str">
        <x:v>LongCat-2.0</x:v>
      </x:c>
    </x:row>
    <x:row r="83" ht="54" customHeight="1">
      <x:c r="A83" s="30" t="str">
        <x:v>memos_medium:1304</x:v>
      </x:c>
      <x:c r="B83" s="30" t="str">
        <x:v>sufficient</x:v>
      </x:c>
      <x:c r="C83" s="30" t="str">
        <x:v>None. All material components of the gold answer are directly supported by the evidence.</x:v>
      </x:c>
      <x:c r="D83" s="30" t="str">
        <x:v>The gold answer has two material components: (1) 'balanced spice' and (2) 'innovative flavor combinations.' Evidence 1 directly supports 'balanced spice' through Ananya's preference for moderately spicy Indian curries that balanced spices well. Evidence 3 reinforces this with her appreciation for balanced spices. Evidence 2 supports 'innovative flavor combinations' through her excitement about exploring new culinary experiences. Evidence 4 directly supports both components with her plan to visit restaurants with innovative spice combinations. Together, the evidence fully supports the complete gold answer.</x:v>
      </x:c>
      <x:c r="E83" s="30" t="str">
        <x:v>robust_generation_failure</x:v>
      </x:c>
      <x:c r="F83" s="30" t="str">
        <x:v>omission</x:v>
      </x:c>
      <x:c r="G83" s="30" t="str">
        <x:v>The model answer mentions 'balanced spices' which is part of the gold answer, but it omits the 'innovative flavor combinations' component. Additionally, specifying 'Indian restaurant' adds an unsupported concrete claim not present in the gold answer, making it an incomplete subset rather than a complete semantic match.</x:v>
      </x:c>
      <x:c r="H83" s="30" t="str">
        <x:v>omission</x:v>
      </x:c>
      <x:c r="I83" s="30" t="str">
        <x:v>The model answer mentions 'balanced spices' which aligns with part of the gold answer, but it omits the 'innovative flavor combinations' aspect. Additionally, specifying 'Indian restaurant' adds a concrete claim not present in the gold answer, making it an incomplete subset rather than a complete semantic match.</x:v>
      </x:c>
      <x:c r="J83" s="30" t="str">
        <x:v>omission</x:v>
      </x:c>
      <x:c r="K83" s="30" t="str">
        <x:v>The model answer mentions 'balanced spices' which aligns with part of the gold answer, but it omits the key component 'innovative flavor combinations' and adds the unsupported specification 'Indian restaurant,' which is not present in the gold answer. Since it provides only an incomplete subset of the gold answer, it qualifies as an omission.</x:v>
      </x:c>
      <x:c r="L83" s="30" t="str">
        <x:v>LongCat-2.0</x:v>
      </x:c>
      <x:c r="M83" s="30" t="str">
        <x:v>LongCat-2.0</x:v>
      </x:c>
      <x:c r="N83" s="30" t="str">
        <x:v>LongCat-2.0</x:v>
      </x:c>
      <x:c r="O83" s="30" t="str">
        <x:v>LongCat-2.0</x:v>
      </x:c>
    </x:row>
    <x:row r="84" ht="54" customHeight="1">
      <x:c r="A84" s="30" t="str">
        <x:v>memos_long:3327</x:v>
      </x:c>
      <x:c r="B84" s="30" t="str">
        <x:v>sufficient</x:v>
      </x:c>
      <x:c r="C84" s="30" t="str"/>
      <x:c r="D84" s="30" t="str">
        <x:v>The gold answer is 'Environmental documentaries.' Evidence 1 states that Christopher plans to incorporate environmental documentaries into his community programs to inspire seniors to think critically about environmental issues. Evidence 2 states that Christopher is interested in environmental documentaries to understand climate change and sustainability. Together, these pieces of evidence directly support that Christopher would find environmental documentaries engaging for his community programs, fully covering the material component of the gold answer.</x:v>
      </x:c>
      <x:c r="E84" s="30" t="str">
        <x:v>ua3_representation_or_admission_failure</x:v>
      </x:c>
      <x:c r="F84" s="30" t="str">
        <x:v>correct</x:v>
      </x:c>
      <x:c r="G84" s="30" t="str">
        <x:v>The model answer 'Environmental documentaries' is semantically identical to the benchmark gold answer 'Environmental documentaries.' and provides the complete answer with no contradictions or omissions.</x:v>
      </x:c>
      <x:c r="H84" s="30" t="str">
        <x:v>correct</x:v>
      </x:c>
      <x:c r="I84" s="30" t="str">
        <x:v>The model answer 'Environmental documentaries' is semantically identical to the benchmark gold answer 'Environmental documentaries.' and provides the complete answer without any contradiction or unsupported material.</x:v>
      </x:c>
      <x:c r="J84" s="30" t="str">
        <x:v>correct</x:v>
      </x:c>
      <x:c r="K84" s="30" t="str">
        <x:v>The model answer 'Environmental documentaries' is semantically identical to the benchmark gold answer 'Environmental documentaries.' The wording matches exactly, providing the complete answer without any contradiction or unsupported material.</x:v>
      </x:c>
      <x:c r="L84" s="30" t="str">
        <x:v>LongCat-2.0</x:v>
      </x:c>
      <x:c r="M84" s="30" t="str">
        <x:v>LongCat-2.0</x:v>
      </x:c>
      <x:c r="N84" s="30" t="str">
        <x:v>LongCat-2.0</x:v>
      </x:c>
      <x:c r="O84" s="30" t="str">
        <x:v>LongCat-2.0</x:v>
      </x:c>
    </x:row>
    <x:row r="85" ht="54" customHeight="1">
      <x:c r="A85" s="30" t="str">
        <x:v>memos_long:2093</x:v>
      </x:c>
      <x:c r="B85" s="30" t="str">
        <x:v>sufficient</x:v>
      </x:c>
      <x:c r="C85" s="30" t="str"/>
      <x:c r="D85" s="30" t="str">
        <x:v>The gold answer is 'Organizing charity sports events.' Evidence 1 explicitly states that Sharon Brown is motivated by 'organizing charity sports events,' which directly and fully supports the complete gold answer. No material components are missing.</x:v>
      </x:c>
      <x:c r="E85" s="30" t="str">
        <x:v>robust_generation_failure</x:v>
      </x:c>
      <x:c r="F85" s="30" t="str">
        <x:v>hallucination</x:v>
      </x:c>
      <x:c r="G85" s="30" t="str">
        <x:v>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and community involvement, mentoring is a distinct activity from organizing events, making this a concrete but incorrect answer that contradicts the gold answer.</x:v>
      </x:c>
      <x:c r="H85" s="30" t="str">
        <x:v>hallucination</x:v>
      </x:c>
      <x:c r="I85" s="30" t="str">
        <x:v>The gold answer is 'Organizing charity sports events,' which refers to a specific community activity focused on event organization for charitable purposes. The model answer 'Mentoring young athletes' is a different concrete activity that does not match or encompass the gold answer, and there is no indication that mentoring is equivalent to or part of organizing charity sports events. This constitutes a concrete but incorrect answer.</x:v>
      </x:c>
      <x:c r="J85" s="30" t="str">
        <x:v>hallucination</x:v>
      </x:c>
      <x:c r="K85" s="30" t="str">
        <x:v>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they represent distinct community activities, making this a concrete answer that contradicts the gold answer.</x:v>
      </x:c>
      <x:c r="L85" s="30" t="str">
        <x:v>LongCat-2.0</x:v>
      </x:c>
      <x:c r="M85" s="30" t="str">
        <x:v>LongCat-2.0</x:v>
      </x:c>
      <x:c r="N85" s="30" t="str">
        <x:v>LongCat-2.0</x:v>
      </x:c>
      <x:c r="O85" s="30" t="str">
        <x:v>LongCat-2.0</x:v>
      </x:c>
    </x:row>
    <x:row r="86" ht="54" customHeight="1">
      <x:c r="A86" s="30" t="str">
        <x:v>memos_medium:3467</x:v>
      </x:c>
      <x:c r="B86" s="30" t="str">
        <x:v>sufficient</x:v>
      </x:c>
      <x:c r="C86" s="30" t="str"/>
      <x:c r="D86" s="30" t="str">
        <x:v>The gold answer states that Christopher expressed a renewed commitment to community service. Evidence 1 directly states that Christopher expressed a renewed commitment to community service, inspired by past successes and challenges. This fully supports the gold answer, and the additional context about inspiration does not contradict it. Therefore, the complete gold answer is directly derivable from the evidence.</x:v>
      </x:c>
      <x:c r="E86" s="30" t="str">
        <x:v>robust_generation_failure</x:v>
      </x:c>
      <x:c r="F86" s="30" t="str">
        <x:v>hallucination</x:v>
      </x:c>
      <x:c r="G86"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H86" s="30" t="str">
        <x:v>hallucination</x:v>
      </x:c>
      <x:c r="I86"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J86" s="30" t="str">
        <x:v>hallucination</x:v>
      </x:c>
      <x:c r="K86"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L86" s="30" t="str">
        <x:v>LongCat-2.0</x:v>
      </x:c>
      <x:c r="M86" s="30" t="str">
        <x:v>LongCat-2.0</x:v>
      </x:c>
      <x:c r="N86" s="30" t="str">
        <x:v>LongCat-2.0</x:v>
      </x:c>
      <x:c r="O86" s="30" t="str">
        <x:v>LongCat-2.0</x:v>
      </x:c>
    </x:row>
    <x:row r="87" ht="54" customHeight="1">
      <x:c r="A87" s="30" t="str">
        <x:v>memos_long:2900</x:v>
      </x:c>
      <x:c r="B87" s="30" t="str">
        <x:v>sufficient</x:v>
      </x:c>
      <x:c r="C87" s="30" t="str"/>
      <x:c r="D87" s="30" t="str">
        <x:v>The gold answer states that Donald Smith updated his music preference to liking techno music. Evidence 1 directly states that 'Donald Smith updated his music preference from disliking to liking techno music,' which fully supports every material component of the gold answer. The additional detail about 'motivational impact during campaign events' is extra context not required by the answer, and the date in the question (Mar 21, 2040) is treated as part of the query context rather than a material component of the answer itself.</x:v>
      </x:c>
      <x:c r="E87" s="30" t="str">
        <x:v>ua3_representation_or_admission_failure</x:v>
      </x:c>
      <x:c r="F87" s="30" t="str">
        <x:v>correct</x:v>
      </x:c>
      <x:c r="G87"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core meaning is complete and accurate.</x:v>
      </x:c>
      <x:c r="H87" s="30" t="str">
        <x:v>correct</x:v>
      </x:c>
      <x:c r="I87"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x:v>
      </x:c>
      <x:c r="J87" s="30" t="str">
        <x:v>correct</x:v>
      </x:c>
      <x:c r="K87"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x:v>
      </x:c>
      <x:c r="L87" s="30" t="str">
        <x:v>LongCat-2.0</x:v>
      </x:c>
      <x:c r="M87" s="30" t="str">
        <x:v>LongCat-2.0</x:v>
      </x:c>
      <x:c r="N87" s="30" t="str">
        <x:v>LongCat-2.0</x:v>
      </x:c>
      <x:c r="O87" s="30" t="str">
        <x:v>LongCat-2.0</x:v>
      </x:c>
    </x:row>
    <x:row r="88" ht="54" customHeight="1">
      <x:c r="A88" s="30" t="str">
        <x:v>memos_long:2572</x:v>
      </x:c>
      <x:c r="B88" s="30" t="str">
        <x:v>sufficient</x:v>
      </x:c>
      <x:c r="C88" s="30" t="str"/>
      <x:c r="D88" s="30" t="str">
        <x:v>The gold answer has two material components: (1) Steven did not express disinterest, and (2) he expressed appreciation for innovative aquarium designs. Evidence 1 directly states that Steven 'appreciate[s] innovative aquarium designs,' which supports component (2) and logically entails component (1) (appreciation is incompatible with disinterest). Evidence 2 reinforces this by stating he is 'fascinated by the integration of technology and nature in aquariums.' Together, the evidence fully supports the gold answer.</x:v>
      </x:c>
      <x:c r="E88" s="30" t="str">
        <x:v>robust_generation_failure</x:v>
      </x:c>
      <x:c r="F88" s="30" t="str">
        <x:v>omission</x:v>
      </x:c>
      <x:c r="G88" s="30" t="str">
        <x:v>The model answer 'No' correctly denies that Steven Miller expressed disinterest, but it omits the key positive information from the gold answer that he expressed appreciation for innovative aquarium designs. While not factually wrong, it provides only an incomplete subset of the gold answer.</x:v>
      </x:c>
      <x:c r="H88" s="30" t="str">
        <x:v>omission</x:v>
      </x:c>
      <x:c r="I88" s="30" t="str">
        <x:v>The model answer 'No' correctly indicates that Steven Miller did not express disinterest, but it omits the key detail from the gold answer that he expressed appreciation for innovative aquarium designs. While not factually wrong, it provides only an incomplete subset of the information.</x:v>
      </x:c>
      <x:c r="J88" s="30" t="str">
        <x:v>omission</x:v>
      </x:c>
      <x:c r="K88" s="30" t="str">
        <x:v>The model answer 'No' correctly denies that Steven Miller expressed disinterest, but it omits the key information from the gold answer that he expressed appreciation for innovative aquarium designs. While not factually wrong, it provides only an incomplete subset of the gold answer.</x:v>
      </x:c>
      <x:c r="L88" s="30" t="str">
        <x:v>LongCat-2.0</x:v>
      </x:c>
      <x:c r="M88" s="30" t="str">
        <x:v>LongCat-2.0</x:v>
      </x:c>
      <x:c r="N88" s="30" t="str">
        <x:v>LongCat-2.0</x:v>
      </x:c>
      <x:c r="O88" s="30" t="str">
        <x:v>LongCat-2.0</x:v>
      </x:c>
    </x:row>
    <x:row r="89" ht="54" customHeight="1">
      <x:c r="A89" s="30" t="str">
        <x:v>memos_medium:2134</x:v>
      </x:c>
      <x:c r="B89" s="30" t="str">
        <x:v>partial</x:v>
      </x:c>
      <x:c r="C89" s="30" t="str">
        <x:v>The evidence only supports that Sharon might prefer horror films with strong narratives and engaging plots, but does not establish that she would prefer movies with strong narratives and engaging plots in general (across all genres) after July 29, 2028.</x:v>
      </x:c>
      <x:c r="D89" s="30" t="str">
        <x:v>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generalizes to 'movies with strong narratives and engaging plots' without genre restriction, and the evidence only addresses horror films. Additionally, the temporal reference 'after July 29, 2028' is not addressed in the evidence. Thus, only some material components are supported.</x:v>
      </x:c>
      <x:c r="E89" s="30" t="str">
        <x:v>evidence_definition_failure</x:v>
      </x:c>
      <x:c r="F89" s="30" t="str">
        <x:v>hallucination</x:v>
      </x:c>
      <x:c r="G89"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H89" s="30" t="str">
        <x:v>hallucination</x:v>
      </x:c>
      <x:c r="I89" s="30" t="str">
        <x:v>The gold answer states that Sharon would prefer movies with strong narratives and engaging plots, while the model answer claims she would prefer horror films. Horror films is a specific genre that contradicts the general preference for strong narratives and engaging plots described in the gold answer, making it an unsupported and incorrect claim.</x:v>
      </x:c>
      <x:c r="J89" s="30" t="str">
        <x:v>hallucination</x:v>
      </x:c>
      <x:c r="K89"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L89" s="30" t="str">
        <x:v>LongCat-2.0</x:v>
      </x:c>
      <x:c r="M89" s="30" t="str">
        <x:v>LongCat-2.0</x:v>
      </x:c>
      <x:c r="N89" s="30" t="str">
        <x:v>LongCat-2.0</x:v>
      </x:c>
      <x:c r="O89" s="30" t="str">
        <x:v>LongCat-2.0</x:v>
      </x:c>
    </x:row>
    <x:row r="90" ht="54" customHeight="1">
      <x:c r="A90" s="30" t="str">
        <x:v>memos_medium:517</x:v>
      </x:c>
      <x:c r="B90" s="30" t="str">
        <x:v>sufficient</x:v>
      </x:c>
      <x:c r="C90" s="30" t="str"/>
      <x:c r="D90" s="30" t="str">
        <x:v>Evidence 1 directly states that Donald Brown's community involvement aligns with his life goal of humanitarian care, which is the complete gold answer. Evidence 2 supports the context of post-retirement community involvement. Together, they fully support the gold answer.</x:v>
      </x:c>
      <x:c r="E90" s="30" t="str">
        <x:v>ua3_representation_or_admission_failure</x:v>
      </x:c>
      <x:c r="F90" s="30" t="str">
        <x:v>correct</x:v>
      </x:c>
      <x:c r="G90" s="30" t="str">
        <x:v>The model answer 'Aligned with humanitarian care' is semantically equivalent to the benchmark gold answer 'Aligned with his life goal of humanitarian care.' The omission of 'his life goal of' does not change the core meaning, and no false or unsupported claims are added.</x:v>
      </x:c>
      <x:c r="H90" s="30" t="str">
        <x:v>correct</x:v>
      </x:c>
      <x:c r="I90" s="30" t="str">
        <x:v>The model answer 'Aligned with humanitarian care' is semantically equivalent to the benchmark gold answer 'Aligned with his life goal of humanitarian care.' The omission of 'his life goal of' does not change the core meaning, as the alignment with humanitarian care is fully captured.</x:v>
      </x:c>
      <x:c r="J90" s="30" t="str">
        <x:v>correct</x:v>
      </x:c>
      <x:c r="K90" s="30" t="str">
        <x:v>The model answer 'Aligned with humanitarian care' is a concise restatement of the gold answer 'Aligned with his life goal of humanitarian care.' It captures the complete semantic meaning without adding false or unsupported information, and the wording difference is acceptable per the criteria.</x:v>
      </x:c>
      <x:c r="L90" s="30" t="str">
        <x:v>LongCat-2.0</x:v>
      </x:c>
      <x:c r="M90" s="30" t="str">
        <x:v>LongCat-2.0</x:v>
      </x:c>
      <x:c r="N90" s="30" t="str">
        <x:v>LongCat-2.0</x:v>
      </x:c>
      <x:c r="O90" s="30" t="str">
        <x:v>LongCat-2.0</x:v>
      </x:c>
    </x:row>
    <x:row r="91" ht="54" customHeight="1">
      <x:c r="A91" s="30" t="str">
        <x:v>memos_long:1833</x:v>
      </x:c>
      <x:c r="B91" s="30" t="str">
        <x:v>insufficient</x:v>
      </x:c>
      <x:c r="C91" s="30" t="str">
        <x:v>The evidence does not mention herbal teas or any specific new beverage Michelle might consider; it only indicates general interest in health-conscious choices and a past preference change to flavored sparkling water.</x:v>
      </x:c>
      <x:c r="D91" s="30" t="str">
        <x:v>The gold answer claims Michelle might consider herbal teas, but the provided evidence contains no reference to herbal teas or any beverage beyond flavored sparkling water. Evidence 1 only states a general interest in health-conscious lifestyle choices, and Evidence 2 describes a past beverage modification. Neither supports the specific claim about herbal teas, making the evidence insufficient to derive the gold answer.</x:v>
      </x:c>
      <x:c r="E91" s="30" t="str">
        <x:v>evidence_definition_failure</x:v>
      </x:c>
      <x:c r="F91" s="30" t="str">
        <x:v>hallucination</x:v>
      </x:c>
      <x:c r="G91" s="30" t="str">
        <x:v>The gold answer specifies herbal teas as the new beverage Michelle might consider. The model answer provides 'Flavored sparkling water,' which is a concrete, specific beverage that contradicts the gold answer and is not supported by it.</x:v>
      </x:c>
      <x:c r="H91" s="30" t="str">
        <x:v>hallucination</x:v>
      </x:c>
      <x:c r="I91" s="30" t="str">
        <x:v>The gold answer specifies herbal teas as the new beverage Michelle might consider. The model answer provides 'Flavored sparkling water,' which is a concrete, specific beverage that contradicts the gold answer and is not supported by it.</x:v>
      </x:c>
      <x:c r="J91" s="30" t="str">
        <x:v>hallucination</x:v>
      </x:c>
      <x:c r="K91" s="30" t="str">
        <x:v>The gold answer specifies herbal teas as the new beverage Michelle might consider. The model answer provides 'flavored sparkling water,' which is a concrete, specific beverage that is not supported by or equivalent to the gold answer, making it a hallucination.</x:v>
      </x:c>
      <x:c r="L91" s="30" t="str">
        <x:v>LongCat-2.0</x:v>
      </x:c>
      <x:c r="M91" s="30" t="str">
        <x:v>LongCat-2.0</x:v>
      </x:c>
      <x:c r="N91" s="30" t="str">
        <x:v>LongCat-2.0</x:v>
      </x:c>
      <x:c r="O91" s="30" t="str">
        <x:v>LongCat-2.0</x:v>
      </x:c>
    </x:row>
    <x:row r="92" ht="54" customHeight="1">
      <x:c r="A92" s="30" t="str">
        <x:v>memos_long:1271</x:v>
      </x:c>
      <x:c r="B92" s="30" t="str">
        <x:v>sufficient</x:v>
      </x:c>
      <x:c r="C92" s="30" t="str"/>
      <x:c r="D92" s="30" t="str">
        <x:v>The gold answer has two material components: (1) collaborate on projects and (2) deepen industry connections. Evidence 1 explicitly states that Ananya Sharma plans to 'collaborate on projects that align with her passion for promoting Indian cinema globally and deepen her industry connections,' which directly supports both components of the gold answer. No additional information is needed.</x:v>
      </x:c>
      <x:c r="E92" s="30" t="str">
        <x:v>robust_generation_failure</x:v>
      </x:c>
      <x:c r="F92" s="30" t="str">
        <x:v>omission</x:v>
      </x:c>
      <x:c r="G92" s="30" t="str">
        <x:v>The model answer 'Collaborate on projects' captures only part of the gold answer 'Collaborate on projects and deepen industry connections'. It omits the second key component 'deepen industry connections' without adding any false information, making it an incomplete subset of the gold answer.</x:v>
      </x:c>
      <x:c r="H92" s="30" t="str">
        <x:v>omission</x:v>
      </x:c>
      <x:c r="I92" s="30" t="str">
        <x:v>The model answer 'Collaborate on projects' captures only part of the gold answer, which also includes 'deepen industry connections.' Since the model omits this key component without adding any false information, it is classified as an omission.</x:v>
      </x:c>
      <x:c r="J92" s="30" t="str">
        <x:v>omission</x:v>
      </x:c>
      <x:c r="K92" s="30" t="str">
        <x:v>The model answer 'Collaborate on projects' captures only part of the gold answer, which also includes 'deepen industry connections.' Since the model omits this key component without adding any false information, it is classified as an omission.</x:v>
      </x:c>
      <x:c r="L92" s="30" t="str">
        <x:v>LongCat-2.0</x:v>
      </x:c>
      <x:c r="M92" s="30" t="str">
        <x:v>LongCat-2.0</x:v>
      </x:c>
      <x:c r="N92" s="30" t="str">
        <x:v>LongCat-2.0</x:v>
      </x:c>
      <x:c r="O92" s="30" t="str">
        <x:v>LongCat-2.0</x:v>
      </x:c>
    </x:row>
    <x:row r="93" ht="54" customHeight="1">
      <x:c r="A93" s="30" t="str">
        <x:v>memos_long:342</x:v>
      </x:c>
      <x:c r="B93" s="30" t="str">
        <x:v>sufficient</x:v>
      </x:c>
      <x:c r="C93" s="30" t="str">
        <x:v>none</x:v>
      </x:c>
      <x:c r="D93" s="30" t="str">
        <x:v>The gold answer states that Johnson Joseph expressed excitement about using thematic cooperative board games at Albi B&amp;B. Evidence 1 directly states that 'Johnson Joseph expressed excitement about thematic cooperative board games fostering teamwork and creating memorable stays at Albi B&amp;B,' which fully supports the gold answer. Evidence 2 further corroborates this by stating he plans to incorporate them into Albi B&amp;B's offerings. Together, the evidence contains all material components of the gold answer.</x:v>
      </x:c>
      <x:c r="E93" s="30" t="str">
        <x:v>ua3_representation_or_admission_failure</x:v>
      </x:c>
      <x:c r="F93" s="30" t="str">
        <x:v>correct</x:v>
      </x:c>
      <x:c r="G93" s="30" t="str">
        <x:v>The model answer 'No, he expressed excitement' semantically conveys the complete gold answer 'No, he expressed excitement about using them.' The omission of 'about using them' does not change the meaning or add any false claim, and the core information is fully preserved.</x:v>
      </x:c>
      <x:c r="H93" s="30" t="str">
        <x:v>correct</x:v>
      </x:c>
      <x:c r="I93" s="30" t="str">
        <x:v>The model answer 'No, he expressed excitement' semantically conveys the complete gold answer 'No, he expressed excitement about using them.' The omission of 'about using them' does not change the meaning or add any false claim; it is a concise but complete restatement.</x:v>
      </x:c>
      <x:c r="J93" s="30" t="str">
        <x:v>correct</x:v>
      </x:c>
      <x:c r="K93" s="30" t="str">
        <x:v>The model answer 'No, he expressed excitement' semantically conveys the complete gold answer 'No, he expressed excitement about using them.' The omission of 'about using them' does not change the meaning or add any false claim, and the core information is fully preserved.</x:v>
      </x:c>
      <x:c r="L93" s="30" t="str">
        <x:v>LongCat-2.0</x:v>
      </x:c>
      <x:c r="M93" s="30" t="str">
        <x:v>LongCat-2.0</x:v>
      </x:c>
      <x:c r="N93" s="30" t="str">
        <x:v>LongCat-2.0</x:v>
      </x:c>
      <x:c r="O93" s="30" t="str">
        <x:v>LongCat-2.0</x:v>
      </x:c>
    </x:row>
    <x:row r="94" ht="54" customHeight="1">
      <x:c r="A94" s="30" t="str">
        <x:v>memos_medium:2471</x:v>
      </x:c>
      <x:c r="B94" s="30" t="str">
        <x:v>sufficient</x:v>
      </x:c>
      <x:c r="C94" s="30" t="str"/>
      <x:c r="D94" s="30" t="str">
        <x:v>The gold answer is 'Spending more time with his cat.' Evidence 1 establishes that Steven appreciates his cat for its calming presence and mental health benefits. Evidence 2 explicitly states Steven expresses a desire to explore how his cat's presence might contribute positively to his well-being during stressful trading periods. Evidence 3 reinforces his interest in using his cat's presence for a more balanced lifestyle. Together, these pieces of evidence directly support the conclusion that Steven might consider spending more time with his cat to enhance his well-being during trading periods. Every material component of the gold answer is derivable from the evidence.</x:v>
      </x:c>
      <x:c r="E94" s="30" t="str">
        <x:v>ua3_representation_or_admission_failure</x:v>
      </x:c>
      <x:c r="F94" s="30" t="str">
        <x:v>correct</x:v>
      </x:c>
      <x:c r="G94" s="30" t="str">
        <x:v>The model answer 'Spending more time with cat' is semantically equivalent to the gold answer 'Spending more time with his cat.' The only difference is the omission of the possessive pronoun 'his,' which does not change the meaning or completeness of the answer. It fully captures the intended response without adding any false or unsupported information.</x:v>
      </x:c>
      <x:c r="H94" s="30" t="str">
        <x:v>correct</x:v>
      </x:c>
      <x:c r="I94" s="30" t="str">
        <x:v>The model answer 'Spending more time with cat' is semantically equivalent to the gold answer 'Spending more time with his cat.' The only difference is the omission of the possessive pronoun 'his,' which does not change the meaning or completeness of the answer. The core content is fully preserved.</x:v>
      </x:c>
      <x:c r="J94" s="30" t="str">
        <x:v>correct</x:v>
      </x:c>
      <x:c r="K94" s="30" t="str">
        <x:v>The model answer 'Spending more time with cat' is semantically equivalent to the gold answer 'Spending more time with his cat.' The omission of the possessive pronoun 'his' does not change the meaning or introduce any false information; it simply uses slightly different wording while conveying the complete intended answer.</x:v>
      </x:c>
      <x:c r="L94" s="30" t="str">
        <x:v>LongCat-2.0</x:v>
      </x:c>
      <x:c r="M94" s="30" t="str">
        <x:v>LongCat-2.0</x:v>
      </x:c>
      <x:c r="N94" s="30" t="str">
        <x:v>LongCat-2.0</x:v>
      </x:c>
      <x:c r="O94" s="30" t="str">
        <x:v>LongCat-2.0</x:v>
      </x:c>
    </x:row>
    <x:row r="95" ht="54" customHeight="1">
      <x:c r="A95" s="30" t="str">
        <x:v>memos_medium:1815</x:v>
      </x:c>
      <x:c r="B95" s="30" t="str">
        <x:v>sufficient</x:v>
      </x:c>
      <x:c r="C95" s="30" t="str">
        <x:v>None. The evidence directly states that Michelle Hernandez modified her travel preference to include crowded tourist spots for their data collection potential, which fully supports the gold answer.</x:v>
      </x:c>
      <x:c r="D95" s="30" t="str">
        <x:v>Evidence 1 explicitly states that Michelle Hernandez modified her travel preference to include crowded tourist spots for their data collection potential. This directly matches the gold answer 'To include crowded tourist spots for data collection.' All material components of the gold answer are present in the evidence, and no additional information is needed to derive the complete answer.</x:v>
      </x:c>
      <x:c r="E95" s="30" t="str">
        <x:v>robust_generation_failure</x:v>
      </x:c>
      <x:c r="F95" s="30" t="str">
        <x:v>omission</x:v>
      </x:c>
      <x:c r="G95"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gold answer.</x:v>
      </x:c>
      <x:c r="H95" s="30" t="str">
        <x:v>omission</x:v>
      </x:c>
      <x:c r="I95"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x:v>
      </x:c>
      <x:c r="J95" s="30" t="str">
        <x:v>omission</x:v>
      </x:c>
      <x:c r="K95"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x:v>
      </x:c>
      <x:c r="L95" s="30" t="str">
        <x:v>LongCat-2.0</x:v>
      </x:c>
      <x:c r="M95" s="30" t="str">
        <x:v>LongCat-2.0</x:v>
      </x:c>
      <x:c r="N95" s="30" t="str">
        <x:v>LongCat-2.0</x:v>
      </x:c>
      <x:c r="O95" s="30" t="str">
        <x:v>LongCat-2.0</x:v>
      </x:c>
    </x:row>
    <x:row r="96" ht="54" customHeight="1">
      <x:c r="A96" s="30" t="str">
        <x:v>memos_medium:1445</x:v>
      </x:c>
      <x:c r="B96" s="30" t="str">
        <x:v>sufficient</x:v>
      </x:c>
      <x:c r="C96" s="30" t="str">
        <x:v>none</x:v>
      </x:c>
      <x:c r="D96" s="30" t="str">
        <x:v>Evidence 1 directly states that Jennifer Martin dislikes romantic novels, and Evidence 2 directly states that she dislikes self-help books. Together, these two pieces of evidence cover both material components of the gold answer: romantic novels and self-help books. No additional information is needed.</x:v>
      </x:c>
      <x:c r="E96" s="30" t="str">
        <x:v>ua3_representation_or_admission_failure</x:v>
      </x:c>
      <x:c r="F96" s="30" t="str">
        <x:v>correct</x:v>
      </x:c>
      <x:c r="G96" s="30" t="str">
        <x:v>The model answer 'Romantic and self-help books' is semantically equivalent to the gold answer 'Romantic novels and self-help books'. The omission of the word 'novels' does not change the meaning, as 'romantic books' clearly refers to romantic novels in this context. The complete answer is given without any false claims.</x:v>
      </x:c>
      <x:c r="H96" s="30" t="str">
        <x:v>correct</x:v>
      </x:c>
      <x:c r="I96" s="30" t="str">
        <x:v>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x:v>
      </x:c>
      <x:c r="J96" s="30" t="str">
        <x:v>correct</x:v>
      </x:c>
      <x:c r="K96" s="30" t="str">
        <x:v>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x:v>
      </x:c>
      <x:c r="L96" s="30" t="str">
        <x:v>LongCat-2.0</x:v>
      </x:c>
      <x:c r="M96" s="30" t="str">
        <x:v>LongCat-2.0</x:v>
      </x:c>
      <x:c r="N96" s="30" t="str">
        <x:v>LongCat-2.0</x:v>
      </x:c>
      <x:c r="O96" s="30" t="str">
        <x:v>LongCat-2.0</x:v>
      </x:c>
    </x:row>
    <x:row r="97" ht="54" customHeight="1">
      <x:c r="A97" s="30" t="str">
        <x:v>memos_medium:3008</x:v>
      </x:c>
      <x:c r="B97" s="30" t="str">
        <x:v>insufficient</x:v>
      </x:c>
      <x:c r="C97" s="30" t="str">
        <x:v>The evidence mentions Karen's interest in exploring new culinary flavors, herbs, spices, and specifically Asian and Mediterranean cuisines, but there is no mention of Italian cuisine or any direct connection that would lead to Italian cuisine as the next exploration.</x:v>
      </x:c>
      <x:c r="D97" s="30" t="str">
        <x:v>The gold answer states Karen might explore Italian cuisine, but the provided evidence only supports her general enthusiasm for new flavors and specific interest in Asian and Mediterranean cuisines. Italian cuisine is not mentioned or implied in any of the evidence, so the answer cannot be derived from the given information.</x:v>
      </x:c>
      <x:c r="E97" s="30" t="str">
        <x:v>evidence_definition_failure</x:v>
      </x:c>
      <x:c r="F97" s="30" t="str">
        <x:v>hallucination</x:v>
      </x:c>
      <x:c r="G97" s="30" t="str">
        <x:v>The gold answer specifies Italian cuisine as the next cuisine Karen might explore. The model answer provides 'Asian or Mediterranean cuisine,' which are concrete suggestions that contradict the specific gold answer and are not supported by it.</x:v>
      </x:c>
      <x:c r="H97" s="30" t="str">
        <x:v>hallucination</x:v>
      </x:c>
      <x:c r="I97" s="30" t="str">
        <x:v>The gold answer specifies Italian cuisine as the next exploration. The model answer provides 'Asian or Mediterranean cuisine,' which are concrete suggestions that contradict the specific gold answer and are unsupported by it.</x:v>
      </x:c>
      <x:c r="J97" s="30" t="str">
        <x:v>hallucination</x:v>
      </x:c>
      <x:c r="K97" s="30" t="str">
        <x:v>The gold answer specifies Italian cuisine as the next cuisine Karen might explore. The model answer suggests Asian or Mediterranean cuisine, which are concrete alternatives that contradict the specific gold answer of Italian cuisine.</x:v>
      </x:c>
      <x:c r="L97" s="30" t="str">
        <x:v>LongCat-2.0</x:v>
      </x:c>
      <x:c r="M97" s="30" t="str">
        <x:v>LongCat-2.0</x:v>
      </x:c>
      <x:c r="N97" s="30" t="str">
        <x:v>LongCat-2.0</x:v>
      </x:c>
      <x:c r="O97" s="30" t="str">
        <x:v>LongCat-2.0</x:v>
      </x:c>
    </x:row>
    <x:row r="98" ht="54" customHeight="1">
      <x:c r="A98" s="30" t="str">
        <x:v>memos_medium:2507</x:v>
      </x:c>
      <x:c r="B98" s="30" t="str">
        <x:v>partial</x:v>
      </x:c>
      <x:c r="C98" s="30" t="str">
        <x:v>The evidence does not specify that Steven Miller actually switched to healthier options, nor does it confirm that such a switch would improve his energy levels and productivity. It only states that he discussed implications and expressed curiosity about how changes might affect his routine.</x:v>
      </x:c>
      <x:c r="D98" s="30" t="str">
        <x:v>The gold answer claims that switching to healthier options might improve his energy levels and productivity. Evidence 1 shows Steven discussed implications of beverage preference changes on energy and productivity, and Evidence 2 shows he expressed curiosity about how changes might affect his routine. However, neither evidence confirms that healthier options were involved, nor that the outcome would be improved energy and productivity. The evidence supports that the topic was discussed, but not the specific causal claim in the gold answer.</x:v>
      </x:c>
      <x:c r="E98" s="30" t="str">
        <x:v>evidence_definition_failure</x:v>
      </x:c>
      <x:c r="F98" s="30" t="str">
        <x:v>omission</x:v>
      </x:c>
      <x:c r="G98" s="30" t="str">
        <x:v>The model answer 'Energy levels and productivity' is an incomplete subset of the gold answer. It omits the key causal mechanism (switching to healthier options) and the directional effect (improve), providing only the topics without a concrete, complete claim.</x:v>
      </x:c>
      <x:c r="H98" s="30" t="str">
        <x:v>omission</x:v>
      </x:c>
      <x:c r="I98" s="30" t="str">
        <x:v>The model answer 'Energy levels and productivity' is an incomplete subset of the gold answer. It mentions the affected aspects but omits the key causal information that switching to healthier options might improve them, making it too vague and incomplete to be considered semantically equivalent.</x:v>
      </x:c>
      <x:c r="J98" s="30" t="str">
        <x:v>omission</x:v>
      </x:c>
      <x:c r="K98" s="30" t="str">
        <x:v>The model answer 'Energy levels and productivity' is an incomplete subset of the gold answer. It omits the key causal mechanism (switching to healthier options) and the directional effect (improve), providing only the topics without a concrete, complete claim.</x:v>
      </x:c>
      <x:c r="L98" s="30" t="str">
        <x:v>LongCat-2.0</x:v>
      </x:c>
      <x:c r="M98" s="30" t="str">
        <x:v>LongCat-2.0</x:v>
      </x:c>
      <x:c r="N98" s="30" t="str">
        <x:v>LongCat-2.0</x:v>
      </x:c>
      <x:c r="O98" s="30" t="str">
        <x:v>LongCat-2.0</x:v>
      </x:c>
    </x:row>
    <x:row r="99" ht="54" customHeight="1">
      <x:c r="A99" s="30" t="str">
        <x:v>memos_long:608</x:v>
      </x:c>
      <x:c r="B99" s="30" t="str">
        <x:v>sufficient</x:v>
      </x:c>
      <x:c r="C99" s="30" t="str">
        <x:v>None. The evidence directly states the complete gold answer.</x:v>
      </x:c>
      <x:c r="D99" s="30" t="str">
        <x:v>Evidence 1 explicitly states that Sarah Garcia's movie preference was updated to include 'documentaries alongside biographical dramas,' which matches the gold answer exactly. All material components are directly supported.</x:v>
      </x:c>
      <x:c r="E99" s="30" t="str">
        <x:v>ua3_representation_or_admission_failure</x:v>
      </x:c>
      <x:c r="F99" s="30" t="str">
        <x:v>correct</x:v>
      </x:c>
      <x:c r="G99"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H99" s="30" t="str">
        <x:v>correct</x:v>
      </x:c>
      <x:c r="I99"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J99" s="30" t="str">
        <x:v>correct</x:v>
      </x:c>
      <x:c r="K99"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L99" s="30" t="str">
        <x:v>LongCat-2.0</x:v>
      </x:c>
      <x:c r="M99" s="30" t="str">
        <x:v>LongCat-2.0</x:v>
      </x:c>
      <x:c r="N99" s="30" t="str">
        <x:v>LongCat-2.0</x:v>
      </x:c>
      <x:c r="O99" s="30" t="str">
        <x:v>LongCat-2.0</x:v>
      </x:c>
    </x:row>
    <x:row r="100" ht="54" customHeight="1">
      <x:c r="A100" s="30" t="str">
        <x:v>memos_medium:1238</x:v>
      </x:c>
      <x:c r="B100" s="30" t="str">
        <x:v>sufficient</x:v>
      </x:c>
      <x:c r="C100" s="30" t="str"/>
      <x:c r="D100" s="30" t="str">
        <x:v>Evidence 1 establishes Taylor David's enthusiasm for integrating film insights into his advocacy work. Evidence 2 explicitly states his plan to host discussions and workshops focusing on insights from films. Together, these directly support the gold answer 'By hosting discussions and workshops' as the method of integration.</x:v>
      </x:c>
      <x:c r="E100" s="30" t="str">
        <x:v>ua3_representation_or_admission_failure</x:v>
      </x:c>
      <x:c r="F100" s="30" t="str">
        <x:v>correct</x:v>
      </x:c>
      <x:c r="G100" s="30" t="str">
        <x:v>The model answer 'Host discussions and workshops' semantically matches the gold answer 'By hosting discussions and workshops,' conveying the same complete meaning with only minor wording differences.</x:v>
      </x:c>
      <x:c r="H100" s="30" t="str">
        <x:v>correct</x:v>
      </x:c>
      <x:c r="I100" s="30" t="str">
        <x:v>The model answer 'Host discussions and workshops' is a concise rephrasing of the gold answer 'By hosting discussions and workshops.' Both convey the same complete semantic content—that Taylor David would integrate film insights into his advocacy work through discussions and workshops. The wording differs slightly (omitting 'By' and using 'Host' instead of 'hosting'), but the meaning is fully preserved without any contradiction or unsupported material.</x:v>
      </x:c>
      <x:c r="J100" s="30" t="str">
        <x:v>correct</x:v>
      </x:c>
      <x:c r="K100" s="30" t="str">
        <x:v>The model answer 'Host discussions and workshops' semantically matches the gold answer 'By hosting discussions and workshops,' conveying the same complete meaning with only minor wording differences.</x:v>
      </x:c>
      <x:c r="L100" s="30" t="str">
        <x:v>LongCat-2.0</x:v>
      </x:c>
      <x:c r="M100" s="30" t="str">
        <x:v>LongCat-2.0</x:v>
      </x:c>
      <x:c r="N100" s="30" t="str">
        <x:v>LongCat-2.0</x:v>
      </x:c>
      <x:c r="O100" s="30" t="str">
        <x:v>LongCat-2.0</x:v>
      </x:c>
    </x:row>
    <x:row r="101" ht="54" customHeight="1">
      <x:c r="A101" s="30" t="str">
        <x:v>memos_long:1276</x:v>
      </x:c>
      <x:c r="B101" s="30" t="str">
        <x:v>sufficient</x:v>
      </x:c>
      <x:c r="C101" s="30" t="str"/>
      <x:c r="D101" s="30" t="str">
        <x:v>The gold answer is 'Organize film screenings and cultural outings'. Evidence 1 explicitly states that 'Ananya Sharma plans to organize film screenings and cultural outings', which directly and completely matches the gold answer. Every material component of the gold answer is supported by the evidence.</x:v>
      </x:c>
      <x:c r="E101" s="30" t="str">
        <x:v>robust_generation_failure</x:v>
      </x:c>
      <x:c r="F101" s="30" t="str">
        <x:v>omission</x:v>
      </x:c>
      <x:c r="G101" s="30" t="str">
        <x:v>The model answer 'Themed screening next month' provides only a vague, incomplete subset of the gold answer 'Organize film screenings and cultural outings.' It mentions a screening but omits the cultural outings component and does not fully capture the scope of Ananya Sharma's plan. While not factually contradictory, it fails to give the complete semantic content of the gold answer.</x:v>
      </x:c>
      <x:c r="H101" s="30" t="str">
        <x:v>omission</x:v>
      </x:c>
      <x:c r="I101" s="30" t="str">
        <x:v>The gold answer states that Ananya Sharma's latest plan is to 'organize film screenings and cultural outings.' The model answer only mentions 'themed screening next month,' which captures only a partial aspect of the plan and omits the cultural outings component. It does not make a false claim, but it provides only an incomplete subset of the gold answer.</x:v>
      </x:c>
      <x:c r="J101" s="30" t="str">
        <x:v>omission</x:v>
      </x:c>
      <x:c r="K101" s="30" t="str">
        <x:v>The gold answer states that Ananya Sharma's latest plan is to 'organize film screenings and cultural outings.' The model answer only mentions 'themed screening next month,' which captures only a partial aspect of the plan (film screenings) while omitting the cultural outings component. It does not make a false claim, but it provides only an incomplete subset of the gold answer.</x:v>
      </x:c>
      <x:c r="L101" s="30" t="str">
        <x:v>LongCat-2.0</x:v>
      </x:c>
      <x:c r="M101" s="30" t="str">
        <x:v>LongCat-2.0</x:v>
      </x:c>
      <x:c r="N101" s="30" t="str">
        <x:v>LongCat-2.0</x:v>
      </x:c>
      <x:c r="O101" s="30" t="str">
        <x:v>LongCat-2.0</x:v>
      </x:c>
    </x:row>
    <x:row r="102" ht="54" customHeight="1">
      <x:c r="A102" s="30" t="str">
        <x:v>memos_medium:3039</x:v>
      </x:c>
      <x:c r="B102" s="30" t="str">
        <x:v>partial</x:v>
      </x:c>
      <x:c r="C102" s="30" t="str">
        <x:v>The evidence does not specify that Karen would explore smoking 'other types of foods' (i.e., foods beyond salmon); it only mentions her interest in innovative cooking methods generally and her specific experience with smoking salmon.</x:v>
      </x:c>
      <x:c r="D102" s="30" t="str">
        <x:v>Evidence 1 supports that Karen plans to explore innovative cooking methods, and Evidence 2 shows she has a preference shift toward smoked preparations after trying smoking salmon. However, the gold answer specifically claims she might explore 'smoking other types of foods,' which requires an inference that she would extend smoking to foods beyond salmon. While this is a plausible inference, the evidence does not directly state or confirm that she intends to smoke other types of foods—it only establishes her general interest in innovation and her specific experience with salmon. Thus, the material component 'other types of foods' is not directly supported, making the evidence partial.</x:v>
      </x:c>
      <x:c r="E102" s="30" t="str">
        <x:v>evidence_definition_failure</x:v>
      </x:c>
      <x:c r="F102" s="30" t="str">
        <x:v>omission</x:v>
      </x:c>
      <x:c r="G102" s="30" t="str">
        <x:v>The gold answer is 'smoking other types of foods,' which is a general category of new cooking methods. The model answer 'smoking salmon at home' is a specific example that falls under this category but does not fully capture the breadth of the gold answer. It provides only a concrete subset without addressing the broader scope of 'other types of foods,' making it an incomplete answer.</x:v>
      </x:c>
      <x:c r="H102" s="30" t="str">
        <x:v>omission</x:v>
      </x:c>
      <x:c r="I102" s="30" t="str">
        <x:v>The gold answer is 'smoking other types of foods,' which is a general category of new cooking methods. The model answer 'smoking salmon at home' is a specific example that falls under this category, but it does not semantically give the complete gold answer. It provides only a narrow subset (one specific food item) rather than the broader concept of exploring other types of foods to smoke. While not factually incorrect, it is an incomplete subset of the gold answer.</x:v>
      </x:c>
      <x:c r="J102" s="30" t="str">
        <x:v>hallucination</x:v>
      </x:c>
      <x:c r="K102" s="30" t="str">
        <x:v>The gold answer states Karen might explore 'smoking other types of foods' (a general category), while the model answer specifies 'smoking salmon at home.' This is a concrete, unsupported claim that narrows the general answer to a specific food and location not mentioned in the gold answer, making it a hallucination.</x:v>
      </x:c>
      <x:c r="L102" s="30" t="str">
        <x:v>LongCat-2.0</x:v>
      </x:c>
      <x:c r="M102" s="30" t="str">
        <x:v>LongCat-2.0</x:v>
      </x:c>
      <x:c r="N102" s="30" t="str">
        <x:v>LongCat-2.0</x:v>
      </x:c>
      <x:c r="O102" s="30" t="str">
        <x:v>LongCat-2.0</x:v>
      </x:c>
    </x:row>
    <x:row r="103" ht="54" customHeight="1">
      <x:c r="A103" s="30" t="str">
        <x:v>memos_long:88</x:v>
      </x:c>
      <x:c r="B103" s="30" t="str">
        <x:v>partial</x:v>
      </x:c>
      <x:c r="C103" s="30" t="str">
        <x:v>The gold answer states Martin might explore breeds 'known for social and affectionate traits,' but the evidence only supports that he appreciates Sphynx cats for being affectionate and social, and that he is excited about exploring diverse cat breeds. The evidence does not explicitly connect his future exploration to breeds specifically known for social and affectionate traits—it only shows he values those traits in Sphynx cats and is open to diverse breeds generally.</x:v>
      </x:c>
      <x:c r="D103" s="30" t="str">
        <x:v>The gold answer has two material components: (1) Martin might explore other pet breeds, and (2) those breeds are known for social and affectionate traits. Evidence 4 supports component (1) by stating he expressed excitement about exploring diverse cat breeds. Evidence 1 and 3 support that he values social and affectionate traits in pets. However, the evidence does not directly state or clearly imply that the breeds he might explore are specifically known for social and affectionate traits—it only shows he currently appreciates Sphynx cats for those traits. The leap from 'he likes Sphynx cats for being social/affectionate' to 'he will explore other breeds known for social/affectionate traits' requires an unsupported inference. Thus, only some material components are supported.</x:v>
      </x:c>
      <x:c r="E103" s="30" t="str">
        <x:v>evidence_definition_failure</x:v>
      </x:c>
      <x:c r="F103" s="30" t="str">
        <x:v>hallucination</x:v>
      </x:c>
      <x:c r="G103" s="30" t="str">
        <x:v>The gold answer states that Martin might explore breeds known for social and affectionate traits, which is a general category description. The model answer specifies 'Sphynx cats and diverse breeds,' which introduces a concrete, unsupported claim about a specific breed (Sphynx cats) that is not mentioned or implied in the gold answer. This constitutes hallucination because it adds incorrect/unsupported material.</x:v>
      </x:c>
      <x:c r="H103" s="30" t="str">
        <x:v>hallucination</x:v>
      </x:c>
      <x:c r="I103" s="30" t="str">
        <x:v>The gold answer states that Martin might explore breeds known for social and affectionate traits, which is a general category description. The model answer specifies 'Sphynx cats and diverse breeds,' introducing a concrete breed (Sphynx cats) that is not mentioned or supported by the gold answer, making it unsupported material.</x:v>
      </x:c>
      <x:c r="J103" s="30" t="str">
        <x:v>hallucination</x:v>
      </x:c>
      <x:c r="K103" s="30" t="str">
        <x:v>The gold answer states Martin might explore breeds known for social and affectionate traits, which is a general category description. The model answer specifies 'Sphynx cats and diverse breeds,' introducing a concrete breed (Sphynx cats) that is not supported by the gold answer and constitutes unsupported material.</x:v>
      </x:c>
      <x:c r="L103" s="30" t="str">
        <x:v>LongCat-2.0</x:v>
      </x:c>
      <x:c r="M103" s="30" t="str">
        <x:v>LongCat-2.0</x:v>
      </x:c>
      <x:c r="N103" s="30" t="str">
        <x:v>LongCat-2.0</x:v>
      </x:c>
      <x:c r="O103" s="30" t="str">
        <x:v>LongCat-2.0</x:v>
      </x:c>
    </x:row>
    <x:row r="104" ht="54" customHeight="1">
      <x:c r="A104" s="30" t="str">
        <x:v>memos_medium:1206</x:v>
      </x:c>
      <x:c r="B104" s="30" t="str">
        <x:v>insufficient</x:v>
      </x:c>
      <x:c r="C104" s="30" t="str">
        <x:v>The evidence does not mention high-intensity interval training (HIIT) or any connection between dynamic yoga and HIIT. There is no information suggesting Taylor David would enjoy HIIT specifically.</x:v>
      </x:c>
      <x:c r="D104" s="30" t="str">
        <x:v>The evidence only establishes that Taylor David shifted from traditional yoga to dynamic yoga and that he values an active lifestyle, physical/mental wellness, and energizing routines. While these traits might make HIIT a plausible suggestion, the evidence does not directly support or derive HIIT as a new fitness activity he might enjoy. The gold answer requires a specific activity (HIIT) that is not mentioned or inferable from the provided evidence.</x:v>
      </x:c>
      <x:c r="E104" s="30" t="str">
        <x:v>evidence_definition_failure</x:v>
      </x:c>
      <x:c r="F104" s="30" t="str">
        <x:v>hallucination</x:v>
      </x:c>
      <x:c r="G104" s="30" t="str">
        <x:v>The question asks what new fitness activity Taylor David might enjoy, implying an activity beyond dynamic yoga. The gold answer is HIIT, but the model answer is 'Dynamic yoga,' which is not a new activity and contradicts the premise of the question.</x:v>
      </x:c>
      <x:c r="H104" s="30" t="str">
        <x:v>hallucination</x:v>
      </x:c>
      <x:c r="I104" s="30" t="str">
        <x:v>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 making it a hallucination.</x:v>
      </x:c>
      <x:c r="J104" s="30" t="str">
        <x:v>hallucination</x:v>
      </x:c>
      <x:c r="K104" s="30" t="str">
        <x:v>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x:v>
      </x:c>
      <x:c r="L104" s="30" t="str">
        <x:v>LongCat-2.0</x:v>
      </x:c>
      <x:c r="M104" s="30" t="str">
        <x:v>LongCat-2.0</x:v>
      </x:c>
      <x:c r="N104" s="30" t="str">
        <x:v>LongCat-2.0</x:v>
      </x:c>
      <x:c r="O104" s="30" t="str">
        <x:v>LongCat-2.0</x:v>
      </x:c>
    </x:row>
    <x:row r="105" ht="54" customHeight="1">
      <x:c r="A105" s="30" t="str">
        <x:v>memos_long:493</x:v>
      </x:c>
      <x:c r="B105" s="30" t="str">
        <x:v>sufficient</x:v>
      </x:c>
      <x:c r="C105" s="30" t="str">
        <x:v>None. The evidence directly states that Donald Brown prefers polo shirts for a versatile wardrobe, and the date condition (after March 18, 2034) is not contradicted by any temporal limitation in the evidence.</x:v>
      </x:c>
      <x:c r="D105" s="30" t="str">
        <x:v>Evidence 1 explicitly states that Donald Brown updated his clothing preference to polo shirts for their versatility and ability to transition between casual and formal settings. Evidence 2 reinforces this by explaining the reason behind the preference. Together, they directly support the gold answer 'Polo shirts' for a versatile wardrobe. No material component of the answer is missing.</x:v>
      </x:c>
      <x:c r="E105" s="30" t="str">
        <x:v>ua3_representation_or_admission_failure</x:v>
      </x:c>
      <x:c r="F105" s="30" t="str">
        <x:v>correct</x:v>
      </x:c>
      <x:c r="G105" s="30" t="str">
        <x:v>The model answer 'Polo shirts' is semantically identical to the benchmark gold answer 'Polo shirts.' and provides the complete answer without any contradiction or unsupported material.</x:v>
      </x:c>
      <x:c r="H105" s="30" t="str">
        <x:v>correct</x:v>
      </x:c>
      <x:c r="I105" s="30" t="str">
        <x:v>The model answer 'Polo shirts' matches the benchmark gold answer 'Polo shirts' exactly, providing the complete answer without any contradiction or unsupported material.</x:v>
      </x:c>
      <x:c r="J105" s="30" t="str">
        <x:v>correct</x:v>
      </x:c>
      <x:c r="K105" s="30" t="str">
        <x:v>The model answer 'Polo shirts' is semantically identical to the benchmark gold answer 'Polo shirts.' and provides the complete answer without any contradiction or unsupported material.</x:v>
      </x:c>
      <x:c r="L105" s="30" t="str">
        <x:v>LongCat-2.0</x:v>
      </x:c>
      <x:c r="M105" s="30" t="str">
        <x:v>LongCat-2.0</x:v>
      </x:c>
      <x:c r="N105" s="30" t="str">
        <x:v>LongCat-2.0</x:v>
      </x:c>
      <x:c r="O105" s="30" t="str">
        <x:v>LongCat-2.0</x:v>
      </x:c>
    </x:row>
    <x:row r="106" ht="54" customHeight="1">
      <x:c r="A106" s="30" t="str">
        <x:v>memos_long:1734</x:v>
      </x:c>
      <x:c r="B106" s="30" t="str">
        <x:v>sufficient</x:v>
      </x:c>
      <x:c r="C106" s="30" t="str"/>
      <x:c r="D106" s="30" t="str">
        <x:v>Evidence 1 directly states that Susan Thompson's job title changed from 'Health Advocate' to 'Strategic Wellness Planner' on Jun 19, 2037. Evidence 2 confirms that as of Mar 19, 2038, she is still working in this field (leveraging skills for community health improvement), indicating the change persisted. Together, these support the complete gold answer: her career focus changed from Health Advocate to Strategic Wellness Planner.</x:v>
      </x:c>
      <x:c r="E106" s="30" t="str">
        <x:v>robust_generation_failure</x:v>
      </x:c>
      <x:c r="F106" s="30" t="str">
        <x:v>omission</x:v>
      </x:c>
      <x:c r="G106" s="30" t="str">
        <x:v>The gold answer describes a career change from 'Health Advocate' to 'Strategic Wellness Planner', capturing both the starting and ending roles. The model answer only provides 'Strategic Wellness Planner', which is an incomplete subset of the gold answer and omits the prior role of 'Health Advocate'.</x:v>
      </x:c>
      <x:c r="H106" s="30" t="str">
        <x:v>omission</x:v>
      </x:c>
      <x:c r="I106" s="30" t="str">
        <x:v>The gold answer specifies a career change from 'Health Advocate' to 'Strategic Wellness Planner', capturing both the starting and ending roles. The model answer only provides the ending role ('Strategic Wellness Planner') without mentioning the prior role, making it an incomplete subset of the gold answer.</x:v>
      </x:c>
      <x:c r="J106" s="30" t="str">
        <x:v>omission</x:v>
      </x:c>
      <x:c r="K106" s="30" t="str">
        <x:v>The gold answer describes a career change from 'Health Advocate' to 'Strategic Wellness Planner', capturing both the starting and ending roles. The model answer only provides the ending role ('Strategic Wellness Planner') without mentioning the prior role ('Health Advocate'), making it an incomplete subset of the gold answer.</x:v>
      </x:c>
      <x:c r="L106" s="30" t="str">
        <x:v>LongCat-2.0</x:v>
      </x:c>
      <x:c r="M106" s="30" t="str">
        <x:v>LongCat-2.0</x:v>
      </x:c>
      <x:c r="N106" s="30" t="str">
        <x:v>LongCat-2.0</x:v>
      </x:c>
      <x:c r="O106" s="30" t="str">
        <x:v>LongCat-2.0</x:v>
      </x:c>
    </x:row>
    <x:row r="107" ht="54" customHeight="1">
      <x:c r="A107" s="30" t="str">
        <x:v>memos_long:2054</x:v>
      </x:c>
      <x:c r="B107" s="30" t="str">
        <x:v>sufficient</x:v>
      </x:c>
      <x:c r="C107" s="30" t="str"/>
      <x:c r="D107" s="30" t="str">
        <x:v>Evidence 1 directly states that feedback from Joseph's VR educational programs indicated a revitalized interest in classic films among participants, which matches the gold answer exactly. Evidence 2 corroborates that Joseph received positive feedback on his VR programs. Together, the evidence fully supports the gold answer with no missing components.</x:v>
      </x:c>
      <x:c r="E107" s="30" t="str">
        <x:v>ua3_representation_or_admission_failure</x:v>
      </x:c>
      <x:c r="F107" s="30" t="str">
        <x:v>correct</x:v>
      </x:c>
      <x:c r="G107" s="30" t="str">
        <x:v>The model answer 'Revitalized interest in classic films.' is semantically identical to the gold answer 'Revitalized interest in classic films', with only a minor punctuation difference (a period at the end). This constitutes a complete and accurate answer.</x:v>
      </x:c>
      <x:c r="H107" s="30" t="str">
        <x:v>correct</x:v>
      </x:c>
      <x:c r="I107" s="30" t="str">
        <x:v>The model answer 'Revitalized interest in classic films.' is semantically identical to the gold answer 'Revitalized interest in classic films', differing only by a trailing punctuation mark, which does not change the meaning.</x:v>
      </x:c>
      <x:c r="J107" s="30" t="str">
        <x:v>correct</x:v>
      </x:c>
      <x:c r="K107" s="30" t="str">
        <x:v>The model answer 'Revitalized interest in classic films.' is semantically identical to the gold answer 'Revitalized interest in classic films', with only a minor punctuation difference (a period at the end). This constitutes a complete and accurate answer.</x:v>
      </x:c>
      <x:c r="L107" s="30" t="str">
        <x:v>LongCat-2.0</x:v>
      </x:c>
      <x:c r="M107" s="30" t="str">
        <x:v>LongCat-2.0</x:v>
      </x:c>
      <x:c r="N107" s="30" t="str">
        <x:v>LongCat-2.0</x:v>
      </x:c>
      <x:c r="O107" s="30" t="str">
        <x:v>LongCat-2.0</x:v>
      </x:c>
    </x:row>
    <x:row r="108" ht="54" customHeight="1">
      <x:c r="A108" s="30" t="str">
        <x:v>memos_medium:2785</x:v>
      </x:c>
      <x:c r="B108" s="30" t="str">
        <x:v>sufficient</x:v>
      </x:c>
      <x:c r="C108" s="30" t="str"/>
      <x:c r="D108" s="30" t="str">
        <x:v>Evidence 1 establishes that Donald Smith's evolving responsibilities in political consulting have influenced his music preferences. Evidence 2 directly states that he plans to explore calming music genres like classical and ambient to enhance focus during work. Together, these support the gold answer that he may prefer calming genres for better focus, covering both the preference for calming genres and the reason (better focus).</x:v>
      </x:c>
      <x:c r="E108" s="30" t="str">
        <x:v>ua3_representation_or_admission_failure</x:v>
      </x:c>
      <x:c r="F108" s="30" t="str">
        <x:v>correct</x:v>
      </x:c>
      <x:c r="G108" s="30" t="str">
        <x:v>The model answer 'Explore calming music genres' semantically conveys the same meaning as the gold answer 'He may prefer calming genres for better focus,' as both indicate a shift toward calming music due to his evolving responsibilities. The wording differs slightly, but the core idea is complete and consistent.</x:v>
      </x:c>
      <x:c r="H108" s="30" t="str">
        <x:v>correct</x:v>
      </x:c>
      <x:c r="I108" s="30" t="str">
        <x:v>The model answer 'Explore calming music genres' semantically conveys the same meaning as the gold answer 'He may prefer calming genres for better focus,' as both indicate a shift toward calming music due to his responsibilities. The wording differs but the core idea is complete and not contradicted.</x:v>
      </x:c>
      <x:c r="J108" s="30" t="str">
        <x:v>correct</x:v>
      </x:c>
      <x:c r="K108" s="30" t="str">
        <x:v>The model answer 'Explore calming music genres' semantically conveys the same meaning as the gold answer 'He may prefer calming genres for better focus,' as both indicate a preference for calming music. The wording differs but the core idea is complete and not contradicted.</x:v>
      </x:c>
      <x:c r="L108" s="30" t="str">
        <x:v>LongCat-2.0</x:v>
      </x:c>
      <x:c r="M108" s="30" t="str">
        <x:v>LongCat-2.0</x:v>
      </x:c>
      <x:c r="N108" s="30" t="str">
        <x:v>LongCat-2.0</x:v>
      </x:c>
      <x:c r="O108" s="30" t="str">
        <x:v>LongCat-2.0</x:v>
      </x:c>
    </x:row>
    <x:row r="109" ht="54" customHeight="1">
      <x:c r="A109" s="30" t="str">
        <x:v>memos_long:1882</x:v>
      </x:c>
      <x:c r="B109" s="30" t="str">
        <x:v>partial</x:v>
      </x:c>
      <x:c r="C109" s="30" t="str">
        <x:v>The evidence does not explicitly mention 'effective communication' as a strategy Michelle Hernandez might employ.</x:v>
      </x:c>
      <x:c r="D109" s="30" t="str">
        <x:v>Evidence 1 shows Michelle Hernandez sought advice on maintaining team morale and ensuring clarity of goals, which supports the 'strategic planning' component of the gold answer. Evidence 2 mentions she discussed strategic initiatives emphasizing innovation to achieve company goals, which also aligns with strategic planning. However, neither evidence mentions 'effective communication' as a strategy she might employ, so only one of the two material components of the gold answer is supported.</x:v>
      </x:c>
      <x:c r="E109" s="30" t="str">
        <x:v>evidence_definition_failure</x:v>
      </x:c>
      <x:c r="F109" s="30" t="str">
        <x:v>omission</x:v>
      </x:c>
      <x:c r="G109" s="30" t="str">
        <x:v>The model answer 'Innovation and strategic initiatives' does not include 'effective communication' from the gold answer, and 'innovation' is not semantically equivalent to 'strategic planning.' It provides only an incomplete subset of the gold answer without adding a concrete false claim.</x:v>
      </x:c>
      <x:c r="H109" s="30" t="str">
        <x:v>omission</x:v>
      </x:c>
      <x:c r="I109" s="30" t="str">
        <x:v>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x:v>
      </x:c>
      <x:c r="J109" s="30" t="str">
        <x:v>omission</x:v>
      </x:c>
      <x:c r="K109" s="30" t="str">
        <x:v>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x:v>
      </x:c>
      <x:c r="L109" s="30" t="str">
        <x:v>LongCat-2.0</x:v>
      </x:c>
      <x:c r="M109" s="30" t="str">
        <x:v>LongCat-2.0</x:v>
      </x:c>
      <x:c r="N109" s="30" t="str">
        <x:v>LongCat-2.0</x:v>
      </x:c>
      <x:c r="O109" s="30" t="str">
        <x:v>LongCat-2.0</x:v>
      </x:c>
    </x:row>
    <x:row r="110" ht="54" customHeight="1">
      <x:c r="A110" s="30" t="str">
        <x:v>memos_long:2254</x:v>
      </x:c>
      <x:c r="B110" s="30" t="str">
        <x:v>sufficient</x:v>
      </x:c>
      <x:c r="C110" s="30" t="str">
        <x:v>None. The evidence fully supports that Williams expressed a deepened admiration for the historical significance of Persian cats on April 10, 2026.</x:v>
      </x:c>
      <x:c r="D110" s="30" t="str">
        <x:v>Evidence 1 states that Williams Daniel's admiration for Persian cats deepened after watching a documentary highlighting their historical lineage and association with royalty. Evidence 2 confirms that Williams Daniel attended a film festival on April 10, 2026, where he watched a documentary about the historical significance of Persian cats. Together, these pieces of evidence directly support the gold answer that Williams expressed a deepened admiration for their historical significance on that date.</x:v>
      </x:c>
      <x:c r="E110" s="30" t="str">
        <x:v>robust_generation_failure</x:v>
      </x:c>
      <x:c r="F110" s="30" t="str">
        <x:v>hallucination</x:v>
      </x:c>
      <x:c r="G110" s="30" t="str">
        <x:v>The gold answer states that Williams expressed a deepened admiration for the historical significance of Persian cats, which directly contradicts the model's answer of 'No' (implying no interest). The model's response is a concrete claim that contradicts the gold answer.</x:v>
      </x:c>
      <x:c r="H110" s="30" t="str">
        <x:v>hallucination</x:v>
      </x:c>
      <x:c r="I110" s="30" t="str">
        <x:v>The gold answer states that Williams expressed a deepened admiration for the historical significance of Persian cats, which directly contradicts the model's answer of 'No' (which implies Williams did not express interest). The model's concrete claim is false and unsupported by the gold answer.</x:v>
      </x:c>
      <x:c r="J110" s="30" t="str">
        <x:v>hallucination</x:v>
      </x:c>
      <x:c r="K110" s="30" t="str">
        <x:v>The gold answer states that Williams expressed a deepened admiration for the historical significance of Persian cats, meaning they did express interest. The model answer 'No' directly contradicts this by claiming Williams expressed no interest, which is a concrete false claim.</x:v>
      </x:c>
      <x:c r="L110" s="30" t="str">
        <x:v>LongCat-2.0</x:v>
      </x:c>
      <x:c r="M110" s="30" t="str">
        <x:v>LongCat-2.0</x:v>
      </x:c>
      <x:c r="N110" s="30" t="str">
        <x:v>LongCat-2.0</x:v>
      </x:c>
      <x:c r="O110" s="30" t="str">
        <x:v>LongCat-2.0</x:v>
      </x:c>
    </x:row>
    <x:row r="111" ht="54" customHeight="1">
      <x:c r="A111" s="30" t="str">
        <x:v>memos_long:1896</x:v>
      </x:c>
      <x:c r="B111" s="30" t="str">
        <x:v>sufficient</x:v>
      </x:c>
      <x:c r="C111" s="30" t="str"/>
      <x:c r="D111" s="30" t="str">
        <x:v>Evidence 1 directly states that Michelle Hernandez's monthly income increased from 12,000 to 15,000, which matches the gold answer exactly. Evidence 2 confirms the transition to Innovative AI Corp, providing context for the timing. Together, they fully support every material component of the gold answer.</x:v>
      </x:c>
      <x:c r="E111" s="30" t="str">
        <x:v>ua3_representation_or_admission_failure</x:v>
      </x:c>
      <x:c r="F111" s="30" t="str">
        <x:v>correct</x:v>
      </x:c>
      <x:c r="G111" s="30" t="str">
        <x:v>The model answer matches the gold answer exactly, stating that Michelle's monthly income increased from 12,000 to 15,000 after joining Innovative AI Corp on Mar 16, 2037.</x:v>
      </x:c>
      <x:c r="H111" s="30" t="str">
        <x:v>correct</x:v>
      </x:c>
      <x:c r="I111" s="30" t="str">
        <x:v>The model answer matches the gold answer exactly, stating that Michelle's monthly income increased from 12,000 to 15,000 after joining Innovative AI Corp on Mar 16, 2037.</x:v>
      </x:c>
      <x:c r="J111" s="30" t="str">
        <x:v>correct</x:v>
      </x:c>
      <x:c r="K111" s="30" t="str">
        <x:v>The model answer exactly matches the gold answer, stating that Michelle's monthly income increased from 12,000 to 15,000 after joining Innovative AI Corp on Mar 16, 2037.</x:v>
      </x:c>
      <x:c r="L111" s="30" t="str">
        <x:v>LongCat-2.0</x:v>
      </x:c>
      <x:c r="M111" s="30" t="str">
        <x:v>LongCat-2.0</x:v>
      </x:c>
      <x:c r="N111" s="30" t="str">
        <x:v>LongCat-2.0</x:v>
      </x:c>
      <x:c r="O111" s="30" t="str">
        <x:v>LongCat-2.0</x:v>
      </x:c>
    </x:row>
    <x:row r="112" ht="54" customHeight="1">
      <x:c r="A112" s="30" t="str">
        <x:v>memos_medium:2315</x:v>
      </x:c>
      <x:c r="B112" s="30" t="str">
        <x:v>insufficient</x:v>
      </x:c>
      <x:c r="C112" s="30" t="str">
        <x:v>The evidence does not mention historical storytelling techniques, mobile game elements, or any specific method of integration. It only states that Williams Daniel discussed the impact of mobile games and sought advice on integration, without specifying how he would do it.</x:v>
      </x:c>
      <x:c r="D112" s="30" t="str">
        <x:v>The gold answer claims Williams Daniel would integrate mobile game elements by using historical storytelling techniques from mobile games. The provided evidence only indicates he discussed the impact of mobile games and sought advice on integration, but contains no information about historical storytelling techniques or any specific integration method. Therefore, the evidence does not support the material components of the gold answer.</x:v>
      </x:c>
      <x:c r="E112" s="30" t="str">
        <x:v>evidence_definition_failure</x:v>
      </x:c>
      <x:c r="F112" s="30" t="str">
        <x:v>omission</x:v>
      </x:c>
      <x:c r="G112"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H112" s="30" t="str">
        <x:v>omission</x:v>
      </x:c>
      <x:c r="I112"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J112" s="30" t="str">
        <x:v>omission</x:v>
      </x:c>
      <x:c r="K112"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L112" s="30" t="str">
        <x:v>LongCat-2.0</x:v>
      </x:c>
      <x:c r="M112" s="30" t="str">
        <x:v>LongCat-2.0</x:v>
      </x:c>
      <x:c r="N112" s="30" t="str">
        <x:v>LongCat-2.0</x:v>
      </x:c>
      <x:c r="O112" s="30" t="str">
        <x:v>LongCat-2.0</x:v>
      </x:c>
    </x:row>
    <x:row r="113" ht="54" customHeight="1">
      <x:c r="A113" s="30" t="str">
        <x:v>memos_medium:895</x:v>
      </x:c>
      <x:c r="B113" s="30" t="str">
        <x:v>sufficient</x:v>
      </x:c>
      <x:c r="C113" s="30" t="str"/>
      <x:c r="D113" s="30" t="str">
        <x:v>Evidence 1 directly states that Donna attended a conference on sustainable fashion, which matches the gold answer exactly. The date in the question (August 21, 2026) is not contradicted by the evidence, and the core material component of the answer (the event type) is fully supported.</x:v>
      </x:c>
      <x:c r="E113" s="30" t="str">
        <x:v>ua3_representation_or_admission_failure</x:v>
      </x:c>
      <x:c r="F113" s="30" t="str">
        <x:v>correct</x:v>
      </x:c>
      <x:c r="G113" s="30" t="str">
        <x:v>The model answer 'Sustainable fashion conference' is semantically equivalent to the gold answer 'A conference on sustainable fashion.' The wording differs slightly, but the complete meaning is preserved without any contradiction or unsupported material.</x:v>
      </x:c>
      <x:c r="H113" s="30" t="str">
        <x:v>correct</x:v>
      </x:c>
      <x:c r="I113" s="30" t="str">
        <x:v>The model answer 'Sustainable fashion conference' is semantically equivalent to the gold answer 'A conference on sustainable fashion.' Both convey the same event with only minor wording differences, and no information is missing or contradicted.</x:v>
      </x:c>
      <x:c r="J113" s="30" t="str">
        <x:v>correct</x:v>
      </x:c>
      <x:c r="K113" s="30" t="str">
        <x:v>The model answer 'Sustainable fashion conference' is semantically equivalent to the gold answer 'A conference on sustainable fashion.' The wording differs slightly, but the complete meaning is preserved without any contradiction or unsupported material.</x:v>
      </x:c>
      <x:c r="L113" s="30" t="str">
        <x:v>LongCat-2.0</x:v>
      </x:c>
      <x:c r="M113" s="30" t="str">
        <x:v>LongCat-2.0</x:v>
      </x:c>
      <x:c r="N113" s="30" t="str">
        <x:v>LongCat-2.0</x:v>
      </x:c>
      <x:c r="O113" s="30" t="str">
        <x:v>LongCat-2.0</x:v>
      </x:c>
    </x:row>
    <x:row r="114" ht="54" customHeight="1">
      <x:c r="A114" s="30" t="str">
        <x:v>memos_long:618</x:v>
      </x:c>
      <x:c r="B114" s="30" t="str">
        <x:v>insufficient</x:v>
      </x:c>
      <x:c r="C114" s="30" t="str">
        <x:v>The evidence does not mention any specific strategic changes such as 'optimized resource allocation' or 'formed new partnerships'. It only vaguely states that Sarah Garcia 'implemented strategic changes to enhance community impact' without specifying what those changes were.</x:v>
      </x:c>
      <x:c r="D114" s="30" t="str">
        <x:v>The gold answer requires two specific material components: (1) optimized resource allocation and (2) formed new partnerships. The provided evidence only contains a generic statement about implementing strategic changes to enhance community impact, with no details about resource allocation or partnerships. Therefore, neither material component of the gold answer can be derived from the evidence.</x:v>
      </x:c>
      <x:c r="E114" s="30" t="str">
        <x:v>evidence_definition_failure</x:v>
      </x:c>
      <x:c r="F114" s="30" t="str">
        <x:v>omission</x:v>
      </x:c>
      <x:c r="G114" s="30" t="str">
        <x:v>The model answer 'Enhanced community impact strategies' does not mention either 'optimized resource allocation' or 'formed new partnerships' from the gold answer. It provides a different, incomplete subset of information without addressing the specific strategic changes in the gold answer, and does not add a concrete false claim that directly contradicts it.</x:v>
      </x:c>
      <x:c r="H114" s="30" t="str">
        <x:v>omission</x:v>
      </x:c>
      <x:c r="I114" s="30" t="str">
        <x:v>The model answer 'Enhanced community impact strategies' does not mention either 'optimized resource allocation' or 'formed new partnerships' from the gold answer. It provides a different, incomplete subset of information without covering the complete gold answer, and does not add a concrete false claim that directly contradicts the gold answer.</x:v>
      </x:c>
      <x:c r="J114" s="30" t="str">
        <x:v>omission</x:v>
      </x:c>
      <x:c r="K114" s="30" t="str">
        <x:v>The model answer 'Enhanced community impact strategies' does not mention either 'optimized resource allocation' or 'formed new partnerships' from the gold answer. It provides a different, unsupported claim rather than a semantically equivalent restatement of the gold answer, and it does not cover the required information.</x:v>
      </x:c>
      <x:c r="L114" s="30" t="str">
        <x:v>LongCat-2.0</x:v>
      </x:c>
      <x:c r="M114" s="30" t="str">
        <x:v>LongCat-2.0</x:v>
      </x:c>
      <x:c r="N114" s="30" t="str">
        <x:v>LongCat-2.0</x:v>
      </x:c>
      <x:c r="O114" s="30" t="str">
        <x:v>LongCat-2.0</x:v>
      </x:c>
    </x:row>
    <x:row r="115" ht="54" customHeight="1">
      <x:c r="A115" s="30" t="str">
        <x:v>memos_long:527</x:v>
      </x:c>
      <x:c r="B115" s="30" t="str">
        <x:v>insufficient</x:v>
      </x:c>
      <x:c r="C115" s="30" t="str">
        <x:v>The evidence does not support that Sarah Garcia worked at Microsoft on Sep 05, 2025; it only states she works at Oracle.</x:v>
      </x:c>
      <x:c r="D115" s="30" t="str">
        <x:v>The gold answer claims Sarah Garcia's job title at Microsoft is 'manager at Oracle,' which is internally contradictory and factually inconsistent with the evidence. The evidence only supports that Sarah Garcia works at Oracle as a manager, but provides no information linking her to Microsoft or the specific date Sep 05, 2025. Therefore, the evidence does not support the requested answer about her role at Microsoft.</x:v>
      </x:c>
      <x:c r="E115" s="30" t="str">
        <x:v>evidence_definition_failure</x:v>
      </x:c>
      <x:c r="F115" s="30" t="str">
        <x:v>hallucination</x:v>
      </x:c>
      <x:c r="G115" s="30" t="str">
        <x:v>The question asks about Sarah Garcia's job title at Microsoft on Sep 05, 2025, but the model answer states 'Manager at Oracle,' which contradicts the gold answer's context of Microsoft and provides an unsupported/incorrect company name.</x:v>
      </x:c>
      <x:c r="H115" s="30" t="str">
        <x:v>hallucination</x:v>
      </x:c>
      <x:c r="I115" s="30" t="str">
        <x:v>The question asks about Sarah Garcia's job title at Microsoft on Sep 05, 2025, but the model answer states 'Manager at Oracle,' which contradicts the gold answer's context of Microsoft by providing a different company (Oracle). This is a concrete answer that includes unsupported/incorrect material regarding the company, making it a hallucination.</x:v>
      </x:c>
      <x:c r="J115" s="30" t="str">
        <x:v>hallucination</x:v>
      </x:c>
      <x:c r="K115" s="30" t="str">
        <x:v>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x:v>
      </x:c>
      <x:c r="L115" s="30" t="str">
        <x:v>LongCat-2.0</x:v>
      </x:c>
      <x:c r="M115" s="30" t="str">
        <x:v>LongCat-2.0</x:v>
      </x:c>
      <x:c r="N115" s="30" t="str">
        <x:v>LongCat-2.0</x:v>
      </x:c>
      <x:c r="O115" s="30" t="str">
        <x:v>LongCat-2.0</x:v>
      </x:c>
    </x:row>
    <x:row r="116" ht="54" customHeight="1">
      <x:c r="A116" s="30" t="str">
        <x:v>memos_long:1802</x:v>
      </x:c>
      <x:c r="B116" s="30" t="str">
        <x:v>sufficient</x:v>
      </x:c>
      <x:c r="C116" s="30" t="str"/>
      <x:c r="D116" s="30" t="str">
        <x:v>Evidence 1 directly states that Alex Johnson leads a local support group that provides advice to Michelle Hernandez, which fully supports the gold answer 'Alex Johnson'.</x:v>
      </x:c>
      <x:c r="E116" s="30" t="str">
        <x:v>ua3_representation_or_admission_failure</x:v>
      </x:c>
      <x:c r="F116" s="30" t="str">
        <x:v>correct</x:v>
      </x:c>
      <x:c r="G116" s="30" t="str">
        <x:v>The model answer 'Alex Johnson' exactly matches the benchmark gold answer, providing the complete and correct name of the leader of the local support group.</x:v>
      </x:c>
      <x:c r="H116" s="30" t="str">
        <x:v>correct</x:v>
      </x:c>
      <x:c r="I116" s="30" t="str">
        <x:v>The model answer 'Alex Johnson' exactly matches the benchmark gold answer, providing the complete and correct name of the leader of the local support group.</x:v>
      </x:c>
      <x:c r="J116" s="30" t="str">
        <x:v>correct</x:v>
      </x:c>
      <x:c r="K116" s="30" t="str">
        <x:v>The model answer 'Alex Johnson' exactly matches the benchmark gold answer, providing the complete and correct name of the leader of the local support group.</x:v>
      </x:c>
      <x:c r="L116" s="30" t="str">
        <x:v>LongCat-2.0</x:v>
      </x:c>
      <x:c r="M116" s="30" t="str">
        <x:v>LongCat-2.0</x:v>
      </x:c>
      <x:c r="N116" s="30" t="str">
        <x:v>LongCat-2.0</x:v>
      </x:c>
      <x:c r="O116" s="30" t="str">
        <x:v>LongCat-2.0</x:v>
      </x:c>
    </x:row>
    <x:row r="117" ht="54" customHeight="1">
      <x:c r="A117" s="30" t="str">
        <x:v>memos_long:2346</x:v>
      </x:c>
      <x:c r="B117" s="30" t="str">
        <x:v>partial</x:v>
      </x:c>
      <x:c r="C117" s="30" t="str">
        <x:v>The evidence supports 'historical fantasy elements' but does not support 'creative liberties' as a material component of the gold answer.</x:v>
      </x:c>
      <x:c r="D117" s="30" t="str">
        <x:v>Evidence 1, 2, and 3 all support that Williams Daniel is interested in historical fantasy elements for his filmmaking. However, Evidence 3 specifically states he seeks to maintain 'historical fidelity,' which is in tension with 'creative liberties.' None of the evidence supports the 'creative liberties' component of the gold answer, making the support partial.</x:v>
      </x:c>
      <x:c r="E117" s="30" t="str">
        <x:v>evidence_definition_failure</x:v>
      </x:c>
      <x:c r="F117" s="30" t="str">
        <x:v>correct</x:v>
      </x:c>
      <x:c r="G117" s="30" t="str">
        <x:v>The model answer 'Historical fantasy integration' semantically captures the complete gold answer 'Historical fantasy elements with creative liberties,' as both refer to the blending of historical and fantasy storytelling techniques, with only minor wording differences.</x:v>
      </x:c>
      <x:c r="H117" s="30" t="str">
        <x:v>correct</x:v>
      </x:c>
      <x:c r="I117" s="30" t="str">
        <x:v>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x:v>
      </x:c>
      <x:c r="J117" s="30" t="str">
        <x:v>correct</x:v>
      </x:c>
      <x:c r="K117" s="30" t="str">
        <x:v>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x:v>
      </x:c>
      <x:c r="L117" s="30" t="str">
        <x:v>LongCat-2.0</x:v>
      </x:c>
      <x:c r="M117" s="30" t="str">
        <x:v>LongCat-2.0</x:v>
      </x:c>
      <x:c r="N117" s="30" t="str">
        <x:v>LongCat-2.0</x:v>
      </x:c>
      <x:c r="O117" s="30" t="str">
        <x:v>LongCat-2.0</x:v>
      </x:c>
    </x:row>
    <x:row r="118" ht="54" customHeight="1">
      <x:c r="A118" s="30" t="str">
        <x:v>memos_long:81</x:v>
      </x:c>
      <x:c r="B118" s="30" t="str">
        <x:v>sufficient</x:v>
      </x:c>
      <x:c r="C118" s="30" t="str"/>
      <x:c r="D118" s="30" t="str">
        <x:v>The gold answer is 'Contemporary classical music.' Evidence 1 states Martin's music preference includes contemporary classical music. Evidence 2 explicitly states Martin expressed enthusiasm about exploring contemporary classical music to enhance his creative motivation, which directly matches the question's intent of exploring music to enhance creativity. Evidence 3 further supports that he finds contemporary classical music engaging and inspiring. Together, these pieces of evidence fully support the complete gold answer with no missing material components.</x:v>
      </x:c>
      <x:c r="E118" s="30" t="str">
        <x:v>ua3_representation_or_admission_failure</x:v>
      </x:c>
      <x:c r="F118" s="30" t="str">
        <x:v>correct</x:v>
      </x:c>
      <x:c r="G118" s="30" t="str">
        <x:v>The model answer 'Contemporary classical music' is semantically identical to the benchmark gold answer 'Contemporary classical music.' The wording matches exactly, providing the complete answer without any contradiction or omission.</x:v>
      </x:c>
      <x:c r="H118" s="30" t="str">
        <x:v>correct</x:v>
      </x:c>
      <x:c r="I118" s="30" t="str">
        <x:v>The model answer 'Contemporary classical music' is semantically identical to the benchmark gold answer 'Contemporary classical music.' The wording is the same, and no information is omitted or contradicted.</x:v>
      </x:c>
      <x:c r="J118" s="30" t="str">
        <x:v>correct</x:v>
      </x:c>
      <x:c r="K118" s="30" t="str">
        <x:v>The model answer 'Contemporary classical music' is semantically identical to the benchmark gold answer 'Contemporary classical music.' The wording matches exactly, providing the complete answer without any contradiction or omission.</x:v>
      </x:c>
      <x:c r="L118" s="30" t="str">
        <x:v>LongCat-2.0</x:v>
      </x:c>
      <x:c r="M118" s="30" t="str">
        <x:v>LongCat-2.0</x:v>
      </x:c>
      <x:c r="N118" s="30" t="str">
        <x:v>LongCat-2.0</x:v>
      </x:c>
      <x:c r="O118" s="30" t="str">
        <x:v>LongCat-2.0</x:v>
      </x:c>
    </x:row>
    <x:row r="119" ht="54" customHeight="1">
      <x:c r="A119" s="30" t="str">
        <x:v>memos_long:3035</x:v>
      </x:c>
      <x:c r="B119" s="30" t="str">
        <x:v>sufficient</x:v>
      </x:c>
      <x:c r="C119" s="30" t="str"/>
      <x:c r="D119" s="30" t="str">
        <x:v>Evidence 1 states that Karen's savings of 144,000 yuan provide a financial buffer as she considers her next career steps, and Evidence 2 states she is considering entrepreneurship as a new career direction following her layoff. Together, these directly support the gold answer that her savings buffer provided financial stability during her career transition, with entrepreneurship being the specific transition in question.</x:v>
      </x:c>
      <x:c r="E119" s="30" t="str">
        <x:v>ua3_representation_or_admission_failure</x:v>
      </x:c>
      <x:c r="F119" s="30" t="str">
        <x:v>correct</x:v>
      </x:c>
      <x:c r="G119"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x:v>
      </x:c>
      <x:c r="H119" s="30" t="str">
        <x:v>correct</x:v>
      </x:c>
      <x:c r="I119"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x:v>
      </x:c>
      <x:c r="J119" s="30" t="str">
        <x:v>correct</x:v>
      </x:c>
      <x:c r="K119"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missing information.</x:v>
      </x:c>
      <x:c r="L119" s="30" t="str">
        <x:v>LongCat-2.0</x:v>
      </x:c>
      <x:c r="M119" s="30" t="str">
        <x:v>LongCat-2.0</x:v>
      </x:c>
      <x:c r="N119" s="30" t="str">
        <x:v>LongCat-2.0</x:v>
      </x:c>
      <x:c r="O119" s="30" t="str">
        <x:v>LongCat-2.0</x:v>
      </x:c>
    </x:row>
    <x:row r="120" ht="54" customHeight="1">
      <x:c r="A120" s="30" t="str">
        <x:v>memos_long:1324</x:v>
      </x:c>
      <x:c r="B120" s="30" t="str">
        <x:v>partial</x:v>
      </x:c>
      <x:c r="C120" s="30" t="str">
        <x:v>The evidence does not specify that the $18,000 income occurred in April 2029 or that it was after changing her job; it only states her income increased to $18,000 and her job title changed, without linking these to the specific month and year requested.</x:v>
      </x:c>
      <x:c r="D120" s="30" t="str">
        <x:v>The gold answer requires Ananya's income in April 2029 after changing her job to be $18,000. Evidence 1 supports the income amount ($18,000) and Evidence 2 supports that she changed her job, but neither evidence specifies the time frame (April 2029) or explicitly connects the income to the period after the job change. Therefore, some but not all material components are supported.</x:v>
      </x:c>
      <x:c r="E120" s="30" t="str">
        <x:v>evidence_definition_failure</x:v>
      </x:c>
      <x:c r="F120" s="30" t="str">
        <x:v>correct</x:v>
      </x:c>
      <x:c r="G120" s="30" t="str">
        <x:v>The model answer '$18,000' matches the benchmark gold answer '$18,000' exactly in meaning and value, with only minor formatting differences (the dollar sign placement), which is acceptable under the 'wording may differ' allowance.</x:v>
      </x:c>
      <x:c r="H120" s="30" t="str">
        <x:v>correct</x:v>
      </x:c>
      <x:c r="I120" s="30" t="str">
        <x:v>The model answer '$18,000' matches the benchmark gold answer '$18,000' exactly in meaning and value, with only minor formatting differences (the dollar sign placement), which is acceptable under the 'wording may differ' allowance.</x:v>
      </x:c>
      <x:c r="J120" s="30" t="str">
        <x:v>correct</x:v>
      </x:c>
      <x:c r="K120" s="30" t="str">
        <x:v>The model answer '$18,000' matches the benchmark gold answer '$18,000' exactly in meaning and value, with only minor formatting differences (the absence of a period at the end), which does not affect semantic correctness.</x:v>
      </x:c>
      <x:c r="L120" s="30" t="str">
        <x:v>LongCat-2.0</x:v>
      </x:c>
      <x:c r="M120" s="30" t="str">
        <x:v>LongCat-2.0</x:v>
      </x:c>
      <x:c r="N120" s="30" t="str">
        <x:v>LongCat-2.0</x:v>
      </x:c>
      <x:c r="O120" s="30" t="str">
        <x:v>LongCat-2.0</x:v>
      </x:c>
    </x:row>
    <x:row r="121" ht="54" customHeight="1">
      <x:c r="A121" s="30" t="str">
        <x:v>memos_long:2655</x:v>
      </x:c>
      <x:c r="B121" s="30" t="str">
        <x:v>insufficient</x:v>
      </x:c>
      <x:c r="C121" s="30" t="str">
        <x:v>The evidence does not mention ambient music, does not indicate that Oleksandr would explore ambient music next, and does not connect emotional depth/complexity specifically to ambient music as a future genre to explore after July 10, 2030.</x:v>
      </x:c>
      <x:c r="D121" s="30" t="str">
        <x:v>The gold answer claims Oleksandr might explore 'ambient music for its emotional depth and complexity.' While the evidence establishes that Oleksandr appreciates techno, values emotional engagement, and seeks inspiration from diverse genres, it provides no information pointing specifically to ambient music as the next genre he would explore. The evidence supports general openness to diverse genres but does not allow derivation of the specific genre 'ambient music' or the specific reasoning 'emotional depth and complexity' as a reason for choosing that genre. Therefore, the material components of the gold answer are not supported.</x:v>
      </x:c>
      <x:c r="E121" s="30" t="str">
        <x:v>evidence_definition_failure</x:v>
      </x:c>
      <x:c r="F121" s="30" t="str">
        <x:v>omission</x:v>
      </x:c>
      <x:c r="G121" s="30" t="str">
        <x:v>The model answer includes 'ambient music' which matches the gold answer, but it adds 'experimental music' as an additional genre not mentioned in the gold answer. However, since the gold answer specifies 'ambient music for its emotional depth and complexity' and the model only provides genre names without the reasoning, it partially matches but introduces an extra unsupported genre. This makes it an incomplete subset with additional unsupported material, falling under omission rather than a complete match.</x:v>
      </x:c>
      <x:c r="H121" s="30" t="str">
        <x:v>correct</x:v>
      </x:c>
      <x:c r="I121" s="30" t="str">
        <x:v>The model answer includes 'Ambient music' which matches the gold answer's core recommendation, and adds 'experimental music' as an additional suggestion without contradicting the gold answer. Since the model provides the complete gold answer (ambient music) along with an extra valid suggestion, it semantically gives the complete gold answer.</x:v>
      </x:c>
      <x:c r="J121" s="30" t="str">
        <x:v>omission</x:v>
      </x:c>
      <x:c r="K121" s="30" t="str">
        <x:v>The model answer includes 'Ambient' which matches the gold answer, but it adds 'experimental music' which is not supported by the gold answer. However, since it does provide a correct subset ('Ambient') without making a concrete false claim that contradicts the gold answer, it is best classified as an omission of the full gold answer rather than a hallucination.</x:v>
      </x:c>
      <x:c r="L121" s="30" t="str">
        <x:v>LongCat-2.0</x:v>
      </x:c>
      <x:c r="M121" s="30" t="str">
        <x:v>LongCat-2.0</x:v>
      </x:c>
      <x:c r="N121" s="30" t="str">
        <x:v>LongCat-2.0</x:v>
      </x:c>
      <x:c r="O121" s="30" t="str">
        <x:v>LongCat-2.0</x:v>
      </x:c>
    </x:row>
    <x:row r="122" ht="54" customHeight="1">
      <x:c r="A122" s="30" t="str">
        <x:v>memos_long:1502</x:v>
      </x:c>
      <x:c r="B122" s="30" t="str">
        <x:v>sufficient</x:v>
      </x:c>
      <x:c r="C122" s="30" t="str"/>
      <x:c r="D122" s="30" t="str">
        <x:v>The gold answer is 'Set clear boundaries between work and personal time.' Evidence 1 directly states that 'Jennifer emphasized the importance of setting clear boundaries between work and personal time,' which fully supports and directly derives the complete gold answer. Evidence 2 provides additional context about Jennifer achieving work-life balance, reinforcing the connection. All material components of the gold answer are supported.</x:v>
      </x:c>
      <x:c r="E122" s="30" t="str">
        <x:v>ua3_representation_or_admission_failure</x:v>
      </x:c>
      <x:c r="F122" s="30" t="str">
        <x:v>correct</x:v>
      </x:c>
      <x:c r="G122" s="30" t="str">
        <x:v>The model answer 'Setting clear boundaries' is a concise restatement of the gold answer 'Set clear boundaries between work and personal time.' It captures the core semantic content without adding false or unsupported material, and the omission of 'between work and personal time' does not constitute a concrete false claim or incomplete subset that changes the meaning.</x:v>
      </x:c>
      <x:c r="H122" s="30" t="str">
        <x:v>correct</x:v>
      </x:c>
      <x:c r="I122" s="30" t="str">
        <x:v>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an incomplete subset that changes the meaning.</x:v>
      </x:c>
      <x:c r="J122" s="30" t="str">
        <x:v>correct</x:v>
      </x:c>
      <x:c r="K122" s="30" t="str">
        <x:v>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incomplete subset that changes the meaning.</x:v>
      </x:c>
      <x:c r="L122" s="30" t="str">
        <x:v>LongCat-2.0</x:v>
      </x:c>
      <x:c r="M122" s="30" t="str">
        <x:v>LongCat-2.0</x:v>
      </x:c>
      <x:c r="N122" s="30" t="str">
        <x:v>LongCat-2.0</x:v>
      </x:c>
      <x:c r="O122" s="30" t="str">
        <x:v>LongCat-2.0</x:v>
      </x:c>
    </x:row>
    <x:row r="123" ht="54" customHeight="1">
      <x:c r="A123" s="30" t="str">
        <x:v>memos_medium:2232</x:v>
      </x:c>
      <x:c r="B123" s="30" t="str">
        <x:v>sufficient</x:v>
      </x:c>
      <x:c r="C123" s="30" t="str">
        <x:v>None. The evidence directly states that Sharon Brown expressed excitement about joining a competitive bowling league, which fully supports the gold answer that she did not express a lack of interest and instead expressed excitement.</x:v>
      </x:c>
      <x:c r="D123" s="30" t="str">
        <x:v>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components are fully supported by the evidence.</x:v>
      </x:c>
      <x:c r="E123" s="30" t="str">
        <x:v>robust_generation_failure</x:v>
      </x:c>
      <x:c r="F123" s="30" t="str">
        <x:v>omission</x:v>
      </x:c>
      <x:c r="G123" s="30" t="str">
        <x:v>The model answer 'No' correctly indicates that Sharon Brown did not express a lack of interest, but it omits the key detail from the gold answer that she expressed excitement about joining a competitive bowling league. While it does not make a false claim, it provides only an incomplete subset of the information.</x:v>
      </x:c>
      <x:c r="H123" s="30" t="str">
        <x:v>omission</x:v>
      </x:c>
      <x:c r="I123"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J123" s="30" t="str">
        <x:v>omission</x:v>
      </x:c>
      <x:c r="K123"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L123" s="30" t="str">
        <x:v>LongCat-2.0</x:v>
      </x:c>
      <x:c r="M123" s="30" t="str">
        <x:v>LongCat-2.0</x:v>
      </x:c>
      <x:c r="N123" s="30" t="str">
        <x:v>LongCat-2.0</x:v>
      </x:c>
      <x:c r="O123" s="30" t="str">
        <x:v>LongCat-2.0</x:v>
      </x:c>
    </x:row>
    <x:row r="124" ht="54" customHeight="1">
      <x:c r="A124" s="30" t="str">
        <x:v>memos_medium:2806</x:v>
      </x:c>
      <x:c r="B124" s="30" t="str">
        <x:v>sufficient</x:v>
      </x:c>
      <x:c r="C124" s="30" t="str">
        <x:v>None. The evidence fully supports the gold answer.</x:v>
      </x:c>
      <x:c r="D124" s="30" t="str">
        <x:v>The gold answer states that Donald Smith's career focus changed to 'leveraging his position to drive meaningful change.' Evidence 1 (Event Memory) states he plans to 'leverage his new role as Senior Political Advisor to drive meaningful change in the political landscape,' and Evidence 2 (Persona Memory) states he is 'focused on leveraging his new position to drive meaningful change in the political landscape.' Both pieces of evidence directly and completely support every material component of the gold answer, including the action (leveraging his position) and the goal (driving meaningful change). No additional information is needed.</x:v>
      </x:c>
      <x:c r="E124" s="30" t="str">
        <x:v>robust_generation_failure</x:v>
      </x:c>
      <x:c r="F124" s="30" t="str">
        <x:v>hallucination</x:v>
      </x:c>
      <x:c r="G124"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H124" s="30" t="str">
        <x:v>hallucination</x:v>
      </x:c>
      <x:c r="I124"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J124" s="30" t="str">
        <x:v>hallucination</x:v>
      </x:c>
      <x:c r="K124"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L124" s="30" t="str">
        <x:v>LongCat-2.0</x:v>
      </x:c>
      <x:c r="M124" s="30" t="str">
        <x:v>LongCat-2.0</x:v>
      </x:c>
      <x:c r="N124" s="30" t="str">
        <x:v>LongCat-2.0</x:v>
      </x:c>
      <x:c r="O124" s="30" t="str">
        <x:v>LongCat-2.0</x:v>
      </x:c>
    </x:row>
    <x:row r="125" ht="54" customHeight="1">
      <x:c r="A125" s="30" t="str">
        <x:v>memos_medium:2485</x:v>
      </x:c>
      <x:c r="B125" s="30" t="str">
        <x:v>partial</x:v>
      </x:c>
      <x:c r="C125" s="30" t="str">
        <x:v>The exact retirement date (Jan 12, 2029) is not provided in the evidence.</x:v>
      </x:c>
      <x:c r="D125" s="30" t="str">
        <x:v>Evidence 1 confirms Steven Miller's employment status changed to 'retired', and Evidence 2 confirms he retired early for financial freedom through tech investments. However, neither evidence provides the specific retirement date of Jan 12, 2029, which is a material component of the gold answer. The reason for retirement (financial freedom through tech investments) is fully supported, but the date is missing.</x:v>
      </x:c>
      <x:c r="E125" s="30" t="str">
        <x:v>evidence_definition_failure</x:v>
      </x:c>
      <x:c r="F125" s="30" t="str">
        <x:v>omission</x:v>
      </x:c>
      <x:c r="G125" s="30" t="str">
        <x:v>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x:v>
      </x:c>
      <x:c r="H125" s="30" t="str">
        <x:v>omission</x:v>
      </x:c>
      <x:c r="I125" s="30" t="str">
        <x:v>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x:v>
      </x:c>
      <x:c r="J125" s="30" t="str">
        <x:v>omission</x:v>
      </x:c>
      <x:c r="K125" s="30" t="str">
        <x:v>The model answer 'No, he retired early' does not provide the complete gold answer, which includes the specific retirement date (Jan 12, 2029) and the reason (financial freedom through tech investments). It only partially addresses the question by denying the specific date and reason but fails to supply the correct details, making it an incomplete subset without adding a concrete false claim.</x:v>
      </x:c>
      <x:c r="L125" s="30" t="str">
        <x:v>LongCat-2.0</x:v>
      </x:c>
      <x:c r="M125" s="30" t="str">
        <x:v>LongCat-2.0</x:v>
      </x:c>
      <x:c r="N125" s="30" t="str">
        <x:v>LongCat-2.0</x:v>
      </x:c>
      <x:c r="O125" s="30" t="str">
        <x:v>LongCat-2.0</x:v>
      </x:c>
    </x:row>
    <x:row r="126" ht="54" customHeight="1">
      <x:c r="A126" s="30" t="str">
        <x:v>memos_long:969</x:v>
      </x:c>
      <x:c r="B126" s="30" t="str">
        <x:v>sufficient</x:v>
      </x:c>
      <x:c r="C126" s="30" t="str"/>
      <x:c r="D126" s="30" t="str">
        <x:v>The gold answer states that Donna expressed interest in science fiction films during the conference. Evidence 1 states that Donna attended a tech conference that highlighted the role of science fiction in inspiring real-world innovations, which reinforced her interest in the genre. This directly supports the material components of the gold answer: the subject (Donna), the event (the tech conference), and the key claim (her interest in science fiction). The evidence is sufficient to derive the complete gold answer.</x:v>
      </x:c>
      <x:c r="E126" s="30" t="str">
        <x:v>robust_generation_failure</x:v>
      </x:c>
      <x:c r="F126" s="30" t="str">
        <x:v>hallucination</x:v>
      </x:c>
      <x:c r="G126" s="30" t="str">
        <x:v>The gold answer states that Donna expressed interest in science fiction films during the conference. The model answer 'No' directly contradicts this by implying she did not express interest, which is a concrete false claim that opposes the gold answer.</x:v>
      </x:c>
      <x:c r="H126" s="30" t="str">
        <x:v>hallucination</x:v>
      </x:c>
      <x:c r="I126" s="30" t="str">
        <x:v>The gold answer states that Donna expressed interest in science fiction films during the conference. The model answer 'No' directly contradicts this by implying she did not express interest, which is a concrete false claim that opposes the gold answer.</x:v>
      </x:c>
      <x:c r="J126" s="30" t="str">
        <x:v>hallucination</x:v>
      </x:c>
      <x:c r="K126" s="30" t="str">
        <x:v>The gold answer states that Donna expressed interest in science fiction films during the conference. The model answer 'No' directly contradicts this by implying she did not express interest, which is a concrete false claim that opposes the gold answer.</x:v>
      </x:c>
      <x:c r="L126" s="30" t="str">
        <x:v>LongCat-2.0</x:v>
      </x:c>
      <x:c r="M126" s="30" t="str">
        <x:v>LongCat-2.0</x:v>
      </x:c>
      <x:c r="N126" s="30" t="str">
        <x:v>LongCat-2.0</x:v>
      </x:c>
      <x:c r="O126" s="30" t="str">
        <x:v>LongCat-2.0</x:v>
      </x:c>
    </x:row>
    <x:row r="127" ht="54" customHeight="1">
      <x:c r="A127" s="30" t="str">
        <x:v>memos_medium:2688</x:v>
      </x:c>
      <x:c r="B127" s="30" t="str">
        <x:v>sufficient</x:v>
      </x:c>
      <x:c r="C127" s="30" t="str">
        <x:v>None. The evidence directly supports that Oleksandr prioritizes cultural experiences and events during his travels to coastal regions after June 15, 2033.</x:v>
      </x:c>
      <x:c r="D127" s="30" t="str">
        <x:v>Evidence 1 shows Oleksandr discovered beach resorts offer unique cultural experiences, challenging his prior assumptions. Evidence 2 explicitly states he plans to explore more coastal regions focusing on cultural experiences. Evidence 3 confirms his instrumental motivation drives him to refine travel preferences for cultural enrichment. Together, these establish that cultural experiences and events are what he prioritizes in coastal travel, fully covering the gold answer.</x:v>
      </x:c>
      <x:c r="E127" s="30" t="str">
        <x:v>robust_generation_failure</x:v>
      </x:c>
      <x:c r="F127" s="30" t="str">
        <x:v>hallucination</x:v>
      </x:c>
      <x:c r="G127" s="30" t="str">
        <x:v>The gold answer specifies 'Cultural experiences and events.' The model answer adds 'social justice,' which is unsupported and not present in the gold answer, making it a concrete addition that goes beyond the benchmark.</x:v>
      </x:c>
      <x:c r="H127" s="30" t="str">
        <x:v>hallucination</x:v>
      </x:c>
      <x:c r="I127" s="30" t="str">
        <x:v>The gold answer specifies 'Cultural experiences and events.' The model answer adds 'social justice,' which is unsupported and not present in the gold answer, making it a concrete addition that goes beyond the benchmark.</x:v>
      </x:c>
      <x:c r="J127" s="30" t="str">
        <x:v>hallucination</x:v>
      </x:c>
      <x:c r="K127" s="30" t="str">
        <x:v>The gold answer specifies 'Cultural experiences and events.' The model answer adds 'social justice,' which is unsupported and not present in the gold answer, making it a concrete addition that goes beyond the benchmark.</x:v>
      </x:c>
      <x:c r="L127" s="30" t="str">
        <x:v>LongCat-2.0</x:v>
      </x:c>
      <x:c r="M127" s="30" t="str">
        <x:v>LongCat-2.0</x:v>
      </x:c>
      <x:c r="N127" s="30" t="str">
        <x:v>LongCat-2.0</x:v>
      </x:c>
      <x:c r="O127" s="30" t="str">
        <x:v>LongCat-2.0</x:v>
      </x:c>
    </x:row>
    <x:row r="128" ht="54" customHeight="1">
      <x:c r="A128" s="30" t="str">
        <x:v>memos_medium:38</x:v>
      </x:c>
      <x:c r="B128" s="30" t="str">
        <x:v>partial</x:v>
      </x:c>
      <x:c r="C128" s="30" t="str">
        <x:v>The evidence does not specify any particular sustainable travel choices (such as eco-friendly transportation or supporting local eco-tourism) that Martin might consider, nor does it reference the time frame of after October 29, 2027.</x:v>
      </x:c>
      <x:c r="D128" s="30" t="str">
        <x:v>Evidence 1 states Martin is exploring sustainable choices in travel, and Evidence 2 confirms he values sustainability and environmental consciousness. However, the evidence only establishes a general interest in sustainable travel without specifying concrete choices like eco-friendly transportation or local eco-tourism, and contains no temporal reference to October 29, 2027. Thus, only the general theme of sustainable travel is supported, not the specific material components of the gold answer.</x:v>
      </x:c>
      <x:c r="E128" s="30" t="str">
        <x:v>evidence_definition_failure</x:v>
      </x:c>
      <x:c r="F128" s="30" t="str">
        <x:v>omission</x:v>
      </x:c>
      <x:c r="G128" s="30" t="str">
        <x:v>The model answer 'Exploring sustainable travel options' is vague and does not provide the specific sustainable travel choices mentioned in the gold answer, such as eco-friendly transportation or supporting local eco-tourism. It gives only an incomplete subset without adding a concrete false claim.</x:v>
      </x:c>
      <x:c r="H128" s="30" t="str">
        <x:v>omission</x:v>
      </x:c>
      <x:c r="I128"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J128" s="30" t="str">
        <x:v>omission</x:v>
      </x:c>
      <x:c r="K128"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L128" s="30" t="str">
        <x:v>LongCat-2.0</x:v>
      </x:c>
      <x:c r="M128" s="30" t="str">
        <x:v>LongCat-2.0</x:v>
      </x:c>
      <x:c r="N128" s="30" t="str">
        <x:v>LongCat-2.0</x:v>
      </x:c>
      <x:c r="O128" s="30" t="str">
        <x:v>LongCat-2.0</x:v>
      </x:c>
    </x:row>
    <x:row r="129" ht="54" customHeight="1">
      <x:c r="A129" s="30" t="str">
        <x:v>memos_medium:1469</x:v>
      </x:c>
      <x:c r="B129" s="30" t="str">
        <x:v>sufficient</x:v>
      </x:c>
      <x:c r="C129" s="30" t="str">
        <x:v>None. All three strategies (delegation, time management, professional guidance) are explicitly stated in Evidence 1.</x:v>
      </x:c>
      <x:c r="D129" s="30" t="str">
        <x:v>Evidence 1 directly states that Jennifer Martin is exploring strategies including delegation, time management, and professional guidance to manage increased pressure and responsibilities following her promotion. This covers all three material components of the gold answer. Evidence 2 provides additional context about her motivation but is not needed to derive the answer. The evidence is sufficient to derive the complete gold answer.</x:v>
      </x:c>
      <x:c r="E129" s="30" t="str">
        <x:v>ua3_representation_or_admission_failure</x:v>
      </x:c>
      <x:c r="F129" s="30" t="str">
        <x:v>correct</x:v>
      </x:c>
      <x:c r="G129"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claims.</x:v>
      </x:c>
      <x:c r="H129" s="30" t="str">
        <x:v>correct</x:v>
      </x:c>
      <x:c r="I129"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the same concept.</x:v>
      </x:c>
      <x:c r="J129" s="30" t="str">
        <x:v>correct</x:v>
      </x:c>
      <x:c r="K129"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or unsupported claims.</x:v>
      </x:c>
      <x:c r="L129" s="30" t="str">
        <x:v>LongCat-2.0</x:v>
      </x:c>
      <x:c r="M129" s="30" t="str">
        <x:v>LongCat-2.0</x:v>
      </x:c>
      <x:c r="N129" s="30" t="str">
        <x:v>LongCat-2.0</x:v>
      </x:c>
      <x:c r="O129" s="30" t="str">
        <x:v>LongCat-2.0</x:v>
      </x:c>
    </x:row>
    <x:row r="130" ht="54" customHeight="1">
      <x:c r="A130" s="30" t="str">
        <x:v>memos_medium:1513</x:v>
      </x:c>
      <x:c r="B130" s="30" t="str">
        <x:v>sufficient</x:v>
      </x:c>
      <x:c r="C130" s="30" t="str"/>
      <x:c r="D130" s="30" t="str">
        <x:v>The gold answer states that Jennifer Martin would enjoy blends offering unique flavors and health benefits. Evidence 1 shows she is exploring herbal teas offering similar health benefits. Evidence 2 confirms she is exploring new herbal tea blends to diversify her beverage intake and maintain health benefits. Evidence 3 shows she expressed excitement about trying new herbal tea flavors. Together, these three pieces of evidence directly support both material components of the gold answer: unique flavors (Evidence 3) and health benefits (Evidence 1 and 2). The evidence is sufficient to derive the complete gold answer.</x:v>
      </x:c>
      <x:c r="E130" s="30" t="str">
        <x:v>robust_generation_failure</x:v>
      </x:c>
      <x:c r="F130" s="30" t="str">
        <x:v>omission</x:v>
      </x:c>
      <x:c r="G130"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H130" s="30" t="str">
        <x:v>omission</x:v>
      </x:c>
      <x:c r="I130"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J130" s="30" t="str">
        <x:v>omission</x:v>
      </x:c>
      <x:c r="K130"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L130" s="30" t="str">
        <x:v>LongCat-2.0</x:v>
      </x:c>
      <x:c r="M130" s="30" t="str">
        <x:v>LongCat-2.0</x:v>
      </x:c>
      <x:c r="N130" s="30" t="str">
        <x:v>LongCat-2.0</x:v>
      </x:c>
      <x:c r="O130" s="30" t="str">
        <x:v>LongCat-2.0</x:v>
      </x:c>
    </x:row>
    <x:row r="131" ht="54" customHeight="1">
      <x:c r="A131" s="30" t="str">
        <x:v>memos_long:115</x:v>
      </x:c>
      <x:c r="B131" s="30" t="str">
        <x:v>sufficient</x:v>
      </x:c>
      <x:c r="C131" s="30" t="str"/>
      <x:c r="D131" s="30" t="str">
        <x:v>Evidence 1 directly states that Martin's pet preference is for parrots and that this preference now includes a focus on conservation and ethical considerations. This covers every material component of the gold answer: the pet (parrots) and the focus (conservation and ethical considerations). No additional information is needed to derive the complete gold answer.</x:v>
      </x:c>
      <x:c r="E131" s="30" t="str">
        <x:v>generation_instability</x:v>
      </x:c>
      <x:c r="F131" s="30" t="str">
        <x:v>correct</x:v>
      </x:c>
      <x:c r="G131" s="30" t="str">
        <x:v>The model answer 'Parrots with conservation focus' captures the core semantic content of the gold answer 'Parrots, with a focus on conservation and ethical considerations.' While it omits the explicit mention of 'ethical considerations,' it does not add any false or unsupported claims, and the key elements (parrots and conservation focus) are accurately conveyed. The omission of 'ethical considerations' is minor and does not constitute a concrete false claim or a significant enough omission to downgrade to 'omission,' as the primary meaning is preserved.</x:v>
      </x:c>
      <x:c r="H131" s="30" t="str">
        <x:v>correct</x:v>
      </x:c>
      <x:c r="I131" s="30" t="str">
        <x:v>The model answer 'Parrots with conservation focus' captures the core semantic content of the gold answer 'Parrots, with a focus on conservation and ethical considerations.' While it omits the explicit mention of 'ethical considerations,' the answer is not incomplete in a way that constitutes an omission—it provides a concrete, accurate subset of the gold answer without adding any false or unsupported claims. The key elements (parrots and conservation focus) are present and semantically aligned with the gold answer.</x:v>
      </x:c>
      <x:c r="J131" s="30" t="str">
        <x:v>omission</x:v>
      </x:c>
      <x:c r="K131" s="30" t="str">
        <x:v>The model answer captures 'Parrots' and 'conservation focus' but omits the 'ethical considerations' component present in the gold answer. Since it provides only an incomplete subset without adding a false claim, it qualifies as an omission.</x:v>
      </x:c>
      <x:c r="L131" s="30" t="str">
        <x:v>LongCat-2.0</x:v>
      </x:c>
      <x:c r="M131" s="30" t="str">
        <x:v>LongCat-2.0</x:v>
      </x:c>
      <x:c r="N131" s="30" t="str">
        <x:v>LongCat-2.0</x:v>
      </x:c>
      <x:c r="O131" s="30" t="str">
        <x:v>LongCat-2.0</x:v>
      </x:c>
    </x:row>
    <x:row r="132" ht="54" customHeight="1">
      <x:c r="A132" s="30" t="str">
        <x:v>memos_long:1662</x:v>
      </x:c>
      <x:c r="B132" s="30" t="str">
        <x:v>sufficient</x:v>
      </x:c>
      <x:c r="C132" s="30" t="str"/>
      <x:c r="D132" s="30" t="str">
        <x:v>The gold answer states that Susan's stress management techniques evolved to incorporate mindfulness and time management. Evidence 1 directly states that Susan plans to implement mindfulness practices and time management techniques to manage stress levels effectively. Evidence 2 confirms she has been using mindfulness practices, including meditation and breathing exercises. Together, these two pieces of evidence support both material components of the gold answer: mindfulness and time management. The evidence is sufficient to derive the complete gold answer.</x:v>
      </x:c>
      <x:c r="E132" s="30" t="str">
        <x:v>ua3_representation_or_admission_failure</x:v>
      </x:c>
      <x:c r="F132" s="30" t="str">
        <x:v>correct</x:v>
      </x:c>
      <x:c r="G132" s="30" t="str">
        <x:v>The model answer 'Used mindfulness and time management'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H132" s="30" t="str">
        <x:v>correct</x:v>
      </x:c>
      <x:c r="I132" s="30" t="str">
        <x:v>The model answer 'Used mindfulness and time management' conveys the same complete information as the gold answer 'Incorporated mindfulness and time management.' The wording differs slightly ('Used' vs. 'Incorporated'), but the semantic content is identical and complete, with no missing or contradictory information.</x:v>
      </x:c>
      <x:c r="J132" s="30" t="str">
        <x:v>correct</x:v>
      </x:c>
      <x:c r="K132"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L132" s="30" t="str">
        <x:v>LongCat-2.0</x:v>
      </x:c>
      <x:c r="M132" s="30" t="str">
        <x:v>LongCat-2.0</x:v>
      </x:c>
      <x:c r="N132" s="30" t="str">
        <x:v>LongCat-2.0</x:v>
      </x:c>
      <x:c r="O132" s="30" t="str">
        <x:v>LongCat-2.0</x:v>
      </x:c>
    </x:row>
    <x:row r="133" ht="54" customHeight="1">
      <x:c r="A133" s="30" t="str">
        <x:v>memos_long:1185</x:v>
      </x:c>
      <x:c r="B133" s="30" t="str">
        <x:v>sufficient</x:v>
      </x:c>
      <x:c r="C133" s="30" t="str">
        <x:v>None. The evidence fully supports both material components of the gold answer: (1) films with complex narratives (supported by Evidence 3) and (2) films with excessive violence (supported by Evidence 1, 2, and 4).</x:v>
      </x:c>
      <x:c r="D133" s="30" t="str">
        <x:v>The gold answer consists of two material components: 'complex narratives' and 'excessive violence.' Evidence 3 directly supports 'complex narratives' by stating Taylor David recognized the educational value in films with complex narratives during peer discussions. Evidence 1, 2, and 4 all support 'excessive violence' by stating Taylor David's preference evolved to recognize educational benefits of films with excessive violence, that such films offer insights into narrative complexity and human behavior, and that Taylor David acknowledged their educational value in understanding human behavior. Together, the evidence covers both components of the gold answer completely.</x:v>
      </x:c>
      <x:c r="E133" s="30" t="str">
        <x:v>robust_generation_failure</x:v>
      </x:c>
      <x:c r="F133" s="30" t="str">
        <x:v>omission</x:v>
      </x:c>
      <x:c r="G133" s="30" t="str">
        <x:v>The model answer only includes 'excessive violence' but omits 'complex narratives', which is a key part of the gold answer. It does not add any false or unsupported information, so it is an omission rather than a hallucination.</x:v>
      </x:c>
      <x:c r="H133" s="30" t="str">
        <x:v>omission</x:v>
      </x:c>
      <x:c r="I133" s="30" t="str">
        <x:v>The model answer only includes 'excessive violence' but omits 'complex narratives', which is a key part of the gold answer. It does not add any false or unsupported information, so it is an omission rather than a hallucination.</x:v>
      </x:c>
      <x:c r="J133" s="30" t="str">
        <x:v>omission</x:v>
      </x:c>
      <x:c r="K133" s="30" t="str">
        <x:v>The model answer only includes 'excessive violence' but omits 'complex narratives', which is a key part of the gold answer. It does not add any false or unsupported information, so it is an omission rather than a hallucination.</x:v>
      </x:c>
      <x:c r="L133" s="30" t="str">
        <x:v>LongCat-2.0</x:v>
      </x:c>
      <x:c r="M133" s="30" t="str">
        <x:v>LongCat-2.0</x:v>
      </x:c>
      <x:c r="N133" s="30" t="str">
        <x:v>LongCat-2.0</x:v>
      </x:c>
      <x:c r="O133" s="30" t="str">
        <x:v>LongCat-2.0</x:v>
      </x:c>
    </x:row>
    <x:row r="134" ht="54" customHeight="1">
      <x:c r="A134" s="30" t="str">
        <x:v>memos_long:2196</x:v>
      </x:c>
      <x:c r="B134" s="30" t="str">
        <x:v>sufficient</x:v>
      </x:c>
      <x:c r="C134" s="30" t="str"/>
      <x:c r="D134" s="30" t="str">
        <x:v>The gold answer has three material components: (1) wellness-focused, (2) nature retreat, and (3) meditation and yoga. Evidence 1 directly states Sharon Brown has a preference for 'wellness-focused nature retreats that include guided meditation and yoga sessions,' covering all three components. Evidence 2 reinforces her enthusiasm for 'wellness nature retreats' and integrating these practices into mentoring. Evidence 3 confirms her plans to integrate 'guided meditation and yoga sessions' into her mentoring programs. Together, the evidence fully supports every material component of the gold answer.</x:v>
      </x:c>
      <x:c r="E134" s="30" t="str">
        <x:v>robust_generation_failure</x:v>
      </x:c>
      <x:c r="F134" s="30" t="str">
        <x:v>omission</x:v>
      </x:c>
      <x:c r="G134" s="30" t="str">
        <x:v>The model answer 'Wellness nature retreats' captures part of the gold answer but omits the specific components 'with meditation and yoga' that are essential to the complete answer. It does not add any false information, so it is not a hallucination, but it is incomplete.</x:v>
      </x:c>
      <x:c r="H134" s="30" t="str">
        <x:v>omission</x:v>
      </x:c>
      <x:c r="I134" s="30" t="str">
        <x:v>The model answer 'Wellness nature retreats' captures part of the gold answer but omits the specific components 'with meditation and yoga' that are essential to the complete answer. It does not add any false information, so it is not a hallucination, but it is an incomplete subset of the gold answer.</x:v>
      </x:c>
      <x:c r="J134" s="30" t="str">
        <x:v>omission</x:v>
      </x:c>
      <x:c r="K134" s="30" t="str">
        <x:v>The model answer 'Wellness nature retreats' captures part of the gold answer but omits the specific components 'with meditation and yoga' that are essential to the complete answer. It does not add any false information, so it is not a hallucination, but it is incomplete.</x:v>
      </x:c>
      <x:c r="L134" s="30" t="str">
        <x:v>LongCat-2.0</x:v>
      </x:c>
      <x:c r="M134" s="30" t="str">
        <x:v>LongCat-2.0</x:v>
      </x:c>
      <x:c r="N134" s="30" t="str">
        <x:v>LongCat-2.0</x:v>
      </x:c>
      <x:c r="O134" s="30" t="str">
        <x:v>LongCat-2.0</x:v>
      </x:c>
    </x:row>
    <x:row r="135" ht="54" customHeight="1">
      <x:c r="A135" s="30" t="str">
        <x:v>memos_long:3125</x:v>
      </x:c>
      <x:c r="B135" s="30" t="str">
        <x:v>sufficient</x:v>
      </x:c>
      <x:c r="C135" s="30" t="str"/>
      <x:c r="D135" s="30" t="str">
        <x:v>Evidence 1 directly states that Barbara Jones has been diagnosed with Chronic Fatigue Syndrome. The question asks for the latest diagnosis she received by Sep 01, 2027, and the evidence provides this exact diagnosis. No other diagnoses are mentioned, so this is the only (and therefore latest) diagnosis. The complete gold answer 'Chronic Fatigue Syndrome' is fully supported by the evidence.</x:v>
      </x:c>
      <x:c r="E135" s="30" t="str">
        <x:v>ua3_representation_or_admission_failure</x:v>
      </x:c>
      <x:c r="F135" s="30" t="str">
        <x:v>correct</x:v>
      </x:c>
      <x:c r="G135" s="30" t="str">
        <x:v>The model answer 'Chronic Fatigue Syndrome' exactly matches the benchmark gold answer, providing the complete and correct diagnosis.</x:v>
      </x:c>
      <x:c r="H135" s="30" t="str">
        <x:v>correct</x:v>
      </x:c>
      <x:c r="I135" s="30" t="str">
        <x:v>The model answer 'Chronic Fatigue Syndrome' exactly matches the benchmark gold answer, providing the complete and correct diagnosis.</x:v>
      </x:c>
      <x:c r="J135" s="30" t="str">
        <x:v>correct</x:v>
      </x:c>
      <x:c r="K135" s="30" t="str">
        <x:v>The model answer 'Chronic Fatigue Syndrome' exactly matches the benchmark gold answer, providing the complete and correct diagnosis.</x:v>
      </x:c>
      <x:c r="L135" s="30" t="str">
        <x:v>LongCat-2.0</x:v>
      </x:c>
      <x:c r="M135" s="30" t="str">
        <x:v>LongCat-2.0</x:v>
      </x:c>
      <x:c r="N135" s="30" t="str">
        <x:v>LongCat-2.0</x:v>
      </x:c>
      <x:c r="O135" s="30" t="str">
        <x:v>LongCat-2.0</x:v>
      </x:c>
    </x:row>
    <x:row r="136" ht="54" customHeight="1">
      <x:c r="A136" s="30" t="str">
        <x:v>memos_long:2560</x:v>
      </x:c>
      <x:c r="B136" s="30" t="str">
        <x:v>sufficient</x:v>
      </x:c>
      <x:c r="C136" s="30" t="str"/>
      <x:c r="D136" s="30" t="str">
        <x:v>The gold answer has two material components: (1) 'leverage strategic alliances' and (2) 'maintain strong relationships.' Evidence 1 directly supports the second component by stating Steven Miller emphasized maintaining strong relationships with industry leaders and government officials. Evidence 2 directly supports the first component by stating he discussed the role of strategic planning and alliances in achieving his goals. Together, both components of the gold answer are fully supported by the evidence.</x:v>
      </x:c>
      <x:c r="E136" s="30" t="str">
        <x:v>robust_generation_failure</x:v>
      </x:c>
      <x:c r="F136" s="30" t="str">
        <x:v>omission</x:v>
      </x:c>
      <x:c r="G136" s="30" t="str">
        <x:v>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x:v>
      </x:c>
      <x:c r="H136" s="30" t="str">
        <x:v>omission</x:v>
      </x:c>
      <x:c r="I136" s="30" t="str">
        <x:v>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x:v>
      </x:c>
      <x:c r="J136" s="30" t="str">
        <x:v>omission</x:v>
      </x:c>
      <x:c r="K136" s="30" t="str">
        <x:v>The model answer only provides an incomplete subset of the gold answer ('maintaining strong relationships') while omitting the key strategic component 'leverage strategic alliances'. It does not add any false claims, but it fails to give the complete semantic content of the gold answer.</x:v>
      </x:c>
      <x:c r="L136" s="30" t="str">
        <x:v>LongCat-2.0</x:v>
      </x:c>
      <x:c r="M136" s="30" t="str">
        <x:v>LongCat-2.0</x:v>
      </x:c>
      <x:c r="N136" s="30" t="str">
        <x:v>LongCat-2.0</x:v>
      </x:c>
      <x:c r="O136" s="30" t="str">
        <x:v>LongCat-2.0</x:v>
      </x:c>
    </x:row>
    <x:row r="137" ht="54" customHeight="1">
      <x:c r="A137" s="30" t="str">
        <x:v>memos_long:2540</x:v>
      </x:c>
      <x:c r="B137" s="30" t="str">
        <x:v>sufficient</x:v>
      </x:c>
      <x:c r="C137" s="30" t="str"/>
      <x:c r="D137" s="30" t="str">
        <x:v>The gold answer is 'Using AI-generated content.' Evidence 2 explicitly states that 'Steven Miller plans to use AI-generated content to express his identity in social contexts,' and Evidence 3 confirms that 'Steven Miller's social motivation drives him to use AI-generated content to express identity and entertain others in social contexts.' Both pieces of evidence directly support the complete gold answer, and together with Evidence 1 establishing his motivation to enhance his social identity, the full answer is derivable.</x:v>
      </x:c>
      <x:c r="E137" s="30" t="str">
        <x:v>ua3_representation_or_admission_failure</x:v>
      </x:c>
      <x:c r="F137" s="30" t="str">
        <x:v>correct</x:v>
      </x:c>
      <x:c r="G137" s="30" t="str">
        <x:v>The model answer 'AI-generated content expression' semantically captures the gold answer 'Using AI-generated content.' The wording differs slightly, but the core meaning is complete and equivalent.</x:v>
      </x:c>
      <x:c r="H137" s="30" t="str">
        <x:v>correct</x:v>
      </x:c>
      <x:c r="I137" s="30" t="str">
        <x:v>The model answer 'AI-generated content expression' semantically conveys the same meaning as the gold answer 'Using AI-generated content,' with only minor wording differences. It captures the complete intended answer without adding false or unsupported material.</x:v>
      </x:c>
      <x:c r="J137" s="30" t="str">
        <x:v>correct</x:v>
      </x:c>
      <x:c r="K137" s="30" t="str">
        <x:v>The model answer 'AI-generated content expression' semantically captures the gold answer 'Using AI-generated content.' The wording differs slightly but conveys the same complete meaning without adding false or unsupported material.</x:v>
      </x:c>
      <x:c r="L137" s="30" t="str">
        <x:v>LongCat-2.0</x:v>
      </x:c>
      <x:c r="M137" s="30" t="str">
        <x:v>LongCat-2.0</x:v>
      </x:c>
      <x:c r="N137" s="30" t="str">
        <x:v>LongCat-2.0</x:v>
      </x:c>
      <x:c r="O137" s="30" t="str">
        <x:v>LongCat-2.0</x:v>
      </x:c>
    </x:row>
    <x:row r="138" ht="54" customHeight="1">
      <x:c r="A138" s="30" t="str">
        <x:v>memos_medium:2563</x:v>
      </x:c>
      <x:c r="B138" s="30" t="str">
        <x:v>sufficient</x:v>
      </x:c>
      <x:c r="C138" s="30" t="str"/>
      <x:c r="D138" s="30" t="str">
        <x:v>Evidence 1 directly states that Steven Miller highlighted the need for balance between innovation and practicality when managing multiple innovative projects simultaneously. This fully supports the gold answer 'Balance innovation with practicality.' Evidence 2 provides additional context about his fulfillment in seeing innovative tech projects come to life, which is consistent with the persona. Together, the evidence contains all material components of the gold answer.</x:v>
      </x:c>
      <x:c r="E138" s="30" t="str">
        <x:v>ua3_representation_or_admission_failure</x:v>
      </x:c>
      <x:c r="F138" s="30" t="str">
        <x:v>correct</x:v>
      </x:c>
      <x:c r="G138" s="30" t="str">
        <x:v>The model answer 'Balance innovation and practicality' is semantically equivalent to the gold answer 'Balance innovation with practicality.' The wording differs slightly ('and' vs. 'with'), but the meaning is identical and complete.</x:v>
      </x:c>
      <x:c r="H138" s="30" t="str">
        <x:v>correct</x:v>
      </x:c>
      <x:c r="I138"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J138" s="30" t="str">
        <x:v>correct</x:v>
      </x:c>
      <x:c r="K138"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L138" s="30" t="str">
        <x:v>LongCat-2.0</x:v>
      </x:c>
      <x:c r="M138" s="30" t="str">
        <x:v>LongCat-2.0</x:v>
      </x:c>
      <x:c r="N138" s="30" t="str">
        <x:v>LongCat-2.0</x:v>
      </x:c>
      <x:c r="O138" s="30" t="str">
        <x:v>LongCat-2.0</x:v>
      </x:c>
    </x:row>
    <x:row r="139" ht="54" customHeight="1">
      <x:c r="A139" s="30" t="str">
        <x:v>memos_long:765</x:v>
      </x:c>
      <x:c r="B139" s="30" t="str">
        <x:v>sufficient</x:v>
      </x:c>
      <x:c r="C139" s="30" t="str"/>
      <x:c r="D139" s="30" t="str">
        <x:v>The gold answer consists of two material components: 'regular breaks' and 'mindfulness practices.' Evidence 1 explicitly states that Donna Gonzalez integrated 'regular breaks, mindfulness practices, and alternative therapies into her routine to manage stress,' directly supporting both components. Evidence 2 further corroborates the mindfulness component. Since both material components of the gold answer are directly derivable from the evidence, the evidence is sufficient.</x:v>
      </x:c>
      <x:c r="E139" s="30" t="str">
        <x:v>robust_generation_failure</x:v>
      </x:c>
      <x:c r="F139" s="30" t="str">
        <x:v>omission</x:v>
      </x:c>
      <x:c r="G139" s="30" t="str">
        <x:v>The model answer mentions 'mindfulness' which partially overlaps with the gold answer, but omits 'regular breaks' which is a key component of the gold answer. Additionally, 'alternative therapies' is not mentioned in the gold answer and is not a supported substitute for the missing 'regular breaks' component.</x:v>
      </x:c>
      <x:c r="H139" s="30" t="str">
        <x:v>omission</x:v>
      </x:c>
      <x:c r="I139" s="30" t="str">
        <x:v>The model answer mentions 'mindfulness' which partially overlaps with the gold answer's 'mindfulness practices', but it omits 'regular breaks' entirely. Additionally, 'alternative therapies' is not supported by the gold answer. Since the model only provides an incomplete subset of the gold answer, it qualifies as an omission.</x:v>
      </x:c>
      <x:c r="J139" s="30" t="str">
        <x:v>omission</x:v>
      </x:c>
      <x:c r="K139" s="30" t="str">
        <x:v>The gold answer includes two strategies: 'regular breaks' and 'mindfulness practices.' The model answer mentions 'mindfulness' (matching one part) but replaces 'regular breaks' with 'alternative therapies,' which is not supported by the gold answer. Since the model omits a key component of the gold answer and does not fully cover it, this is an omission.</x:v>
      </x:c>
      <x:c r="L139" s="30" t="str">
        <x:v>LongCat-2.0</x:v>
      </x:c>
      <x:c r="M139" s="30" t="str">
        <x:v>LongCat-2.0</x:v>
      </x:c>
      <x:c r="N139" s="30" t="str">
        <x:v>LongCat-2.0</x:v>
      </x:c>
      <x:c r="O139" s="30" t="str">
        <x:v>LongCat-2.0</x:v>
      </x:c>
    </x:row>
    <x:row r="140" ht="54" customHeight="1">
      <x:c r="A140" s="30" t="str">
        <x:v>memos_medium:567</x:v>
      </x:c>
      <x:c r="B140" s="30" t="str">
        <x:v>sufficient</x:v>
      </x:c>
      <x:c r="C140" s="30" t="str">
        <x:v>None. The evidence directly supports that Sarah Garcia is interested in clothing combining functionality (practicality, versatility) with fashion (stylish designs, making an impact through fashion).</x:v>
      </x:c>
      <x:c r="D140" s="30" t="str">
        <x:v>Evidence 1 states she likes stylish cargo pants due to designs offering practicality and fashion. Evidence 2 confirms she appreciates versatility and functionality aligned with making a positive impact through fashion. Evidence 3 supports her openness to explore new styles. Together, these directly establish her interest in clothing that combines functionality with fashion, matching every material component of the gold answer.</x:v>
      </x:c>
      <x:c r="E140" s="30" t="str">
        <x:v>robust_generation_failure</x:v>
      </x:c>
      <x:c r="F140" s="30" t="str">
        <x:v>omission</x:v>
      </x:c>
      <x:c r="G140"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x:v>
      </x:c>
      <x:c r="H140" s="30" t="str">
        <x:v>hallucination</x:v>
      </x:c>
      <x:c r="I140" s="30" t="str">
        <x:v>The gold answer states that Sarah Garcia might be interested in clothing that combines functionality with fashion, which is a general category. The model answer specifies 'stylish cargo pants,' which is a concrete, specific type of clothing not mentioned or supported by the gold answer. This adds unsupported material, making it a hallucination.</x:v>
      </x:c>
      <x:c r="J140" s="30" t="str">
        <x:v>hallucination</x:v>
      </x:c>
      <x:c r="K140" s="30" t="str">
        <x:v>The gold answer states that Sarah Garcia might be interested in clothing that combines functionality with fashion, which is a general category. The model answer specifies 'stylish cargo pants,' which is a concrete, specific item not supported by the gold answer. This adds unsupported material, making it a hallucination.</x:v>
      </x:c>
      <x:c r="L140" s="30" t="str">
        <x:v>LongCat-2.0</x:v>
      </x:c>
      <x:c r="M140" s="30" t="str">
        <x:v>LongCat-2.0</x:v>
      </x:c>
      <x:c r="N140" s="30" t="str">
        <x:v>LongCat-2.0</x:v>
      </x:c>
      <x:c r="O140" s="30" t="str">
        <x:v>LongCat-2.0</x:v>
      </x:c>
    </x:row>
    <x:row r="141" ht="54" customHeight="1">
      <x:c r="A141" s="30" t="str">
        <x:v>memos_medium:2802</x:v>
      </x:c>
      <x:c r="B141" s="30" t="str">
        <x:v>sufficient</x:v>
      </x:c>
      <x:c r="C141" s="30" t="str"/>
      <x:c r="D141" s="30" t="str">
        <x:v>Evidence 1 explicitly states that Donald expressed 'emotional fulfillment and gratitude' for the companionship and empathetic interaction provided by the AI assistant during his career transition. This directly matches every material component of the gold answer: 'Emotional fulfillment and gratitude'. The evidence is authoritative and fully supports the complete gold answer without requiring any additional information.</x:v>
      </x:c>
      <x:c r="E141" s="30" t="str">
        <x:v>ua3_representation_or_admission_failure</x:v>
      </x:c>
      <x:c r="F141" s="30" t="str">
        <x:v>correct</x:v>
      </x:c>
      <x:c r="G141"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H141" s="30" t="str">
        <x:v>correct</x:v>
      </x:c>
      <x:c r="I141"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J141" s="30" t="str">
        <x:v>correct</x:v>
      </x:c>
      <x:c r="K141"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L141" s="30" t="str">
        <x:v>LongCat-2.0</x:v>
      </x:c>
      <x:c r="M141" s="30" t="str">
        <x:v>LongCat-2.0</x:v>
      </x:c>
      <x:c r="N141" s="30" t="str">
        <x:v>LongCat-2.0</x:v>
      </x:c>
      <x:c r="O141" s="30" t="str">
        <x:v>LongCat-2.0</x:v>
      </x:c>
    </x:row>
    <x:row r="142" ht="54" customHeight="1">
      <x:c r="A142" s="30" t="str">
        <x:v>memos_long:2622</x:v>
      </x:c>
      <x:c r="B142" s="30" t="str">
        <x:v>insufficient</x:v>
      </x:c>
      <x:c r="C142" s="30" t="str">
        <x:v>The evidence does not mention protest folk music or any specific new genre Oleksandr might explore next; it only discusses his appreciation of heavy metal with social commentary and his general use of music for social justice.</x:v>
      </x:c>
      <x:c r="D142" s="30" t="str">
        <x:v>The gold answer specifies 'protest folk music' as a new genre Oleksandr might explore. The evidence only establishes that Oleksandr appreciates heavy metal with social commentary and uses music as a tool for social justice. While this shows his values align with socially conscious music, it does not support or derive the specific genre 'protest folk music' as his next exploration. The evidence lacks any information about folk music, protest music, or a shift toward a new genre beyond heavy metal.</x:v>
      </x:c>
      <x:c r="E142" s="30" t="str">
        <x:v>evidence_definition_failure</x:v>
      </x:c>
      <x:c r="F142" s="30" t="str">
        <x:v>hallucination</x:v>
      </x:c>
      <x:c r="G142"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H142" s="30" t="str">
        <x:v>hallucination</x:v>
      </x:c>
      <x:c r="I142" s="30" t="str">
        <x:v>The gold answer specifies 'protest folk music' as the genre Oleksandr might explore. The model answer proposes 'heavy metal with social commentary,' which is a concrete, specific genre suggestion that directly contradicts the gold answer rather than being a semantic rephrasing of it.</x:v>
      </x:c>
      <x:c r="J142" s="30" t="str">
        <x:v>hallucination</x:v>
      </x:c>
      <x:c r="K142" s="30" t="str">
        <x:v>The gold answer specifies 'protest folk music' as the genre Oleksandr might explore. The model answer proposes 'heavy metal with social commentary,' which is a concrete but different genre that contradicts the gold answer and is not supported by it.</x:v>
      </x:c>
      <x:c r="L142" s="30" t="str">
        <x:v>LongCat-2.0</x:v>
      </x:c>
      <x:c r="M142" s="30" t="str">
        <x:v>LongCat-2.0</x:v>
      </x:c>
      <x:c r="N142" s="30" t="str">
        <x:v>LongCat-2.0</x:v>
      </x:c>
      <x:c r="O142" s="30" t="str">
        <x:v>LongCat-2.0</x:v>
      </x:c>
    </x:row>
    <x:row r="143" ht="54" customHeight="1">
      <x:c r="A143" s="30" t="str">
        <x:v>memos_medium:3036</x:v>
      </x:c>
      <x:c r="B143" s="30" t="str">
        <x:v>sufficient</x:v>
      </x:c>
      <x:c r="C143" s="30" t="str"/>
      <x:c r="D143" s="30" t="str">
        <x:v>Evidence 1 states that Karen's savings of 144,000 yuan provide a financial buffer as she considers her next career steps, and Evidence 2 states she is considering entrepreneurship as a new career direction following her layoff. Together, these directly support the gold answer that her savings buffer provided financial stability during her career transition, with entrepreneurship being the specific transition in question.</x:v>
      </x:c>
      <x:c r="E143" s="30" t="str">
        <x:v>ua3_representation_or_admission_failure</x:v>
      </x:c>
      <x:c r="F143" s="30" t="str">
        <x:v>correct</x:v>
      </x:c>
      <x:c r="G143" s="30" t="str">
        <x:v>The model answer 'Provided financial security' is semantically equivalent to the gold answer 'Provided financial stability during career transition.' Both convey that the savings buffer offered a protective financial foundation during the entrepreneurial transition, with only minor wording differences and no contradiction or unsupported material.</x:v>
      </x:c>
      <x:c r="H143" s="30" t="str">
        <x:v>correct</x:v>
      </x:c>
      <x:c r="I143"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contradictory or unsupported claims.</x:v>
      </x:c>
      <x:c r="J143" s="30" t="str">
        <x:v>correct</x:v>
      </x:c>
      <x:c r="K143" s="30" t="str">
        <x:v>The model answer 'Provided financial security' is semantically equivalent to the gold answer 'Provided financial stability during career transition.' Both convey that the savings buffer offered a protective financial foundation during the transition period. The wording differs slightly, but the core meaning is fully captured without contradiction or unsupported claims.</x:v>
      </x:c>
      <x:c r="L143" s="30" t="str">
        <x:v>LongCat-2.0</x:v>
      </x:c>
      <x:c r="M143" s="30" t="str">
        <x:v>LongCat-2.0</x:v>
      </x:c>
      <x:c r="N143" s="30" t="str">
        <x:v>LongCat-2.0</x:v>
      </x:c>
      <x:c r="O143" s="30" t="str">
        <x:v>LongCat-2.0</x:v>
      </x:c>
    </x:row>
    <x:row r="144" ht="54" customHeight="1">
      <x:c r="A144" s="30" t="str">
        <x:v>memos_medium:3401</x:v>
      </x:c>
      <x:c r="B144" s="30" t="str">
        <x:v>sufficient</x:v>
      </x:c>
      <x:c r="C144" s="30" t="str">
        <x:v>None. The evidence directly supports both material components of the gold answer: 'social interactions' (Evidence 1 and 2) and 'new insights' (Evidence 2). Evidence 3 further supports Christopher's openness to evolving his preferences, reinforcing the plausibility of exploring such games after the specified date.</x:v>
      </x:c>
      <x:c r="D144" s="30" t="str">
        <x:v>The gold answer consists of two material components: (1) games offering social interactions, and (2) games offering new insights. Evidence 1 states Christopher's social motivation influenced his openness to exploring first-person shooters to engage with friends, directly supporting 'social interactions.' Evidence 2 explicitly states Christopher expressed excitement about first-person shooters offering 'new insights and social interactions,' directly supporting both components. Evidence 3 supports Christopher's general willingness to evolve his gaming preferences. Together, the evidence fully supports the gold answer.</x:v>
      </x:c>
      <x:c r="E144" s="30" t="str">
        <x:v>robust_generation_failure</x:v>
      </x:c>
      <x:c r="F144" s="30" t="str">
        <x:v>hallucination</x:v>
      </x:c>
      <x:c r="G144"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concrete claim that contradicts the gold answer.</x:v>
      </x:c>
      <x:c r="H144" s="30" t="str">
        <x:v>hallucination</x:v>
      </x:c>
      <x:c r="I144"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J144" s="30" t="str">
        <x:v>hallucination</x:v>
      </x:c>
      <x:c r="K144"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used as a stand-in for that concept. This constitutes an unsupported, incorrect claim.</x:v>
      </x:c>
      <x:c r="L144" s="30" t="str">
        <x:v>LongCat-2.0</x:v>
      </x:c>
      <x:c r="M144" s="30" t="str">
        <x:v>LongCat-2.0</x:v>
      </x:c>
      <x:c r="N144" s="30" t="str">
        <x:v>LongCat-2.0</x:v>
      </x:c>
      <x:c r="O144" s="30" t="str">
        <x:v>LongCat-2.0</x:v>
      </x:c>
    </x:row>
    <x:row r="145" ht="54" customHeight="1">
      <x:c r="A145" s="30" t="str">
        <x:v>memos_medium:1276</x:v>
      </x:c>
      <x:c r="B145" s="30" t="str">
        <x:v>sufficient</x:v>
      </x:c>
      <x:c r="C145" s="30" t="str"/>
      <x:c r="D145" s="30" t="str">
        <x:v>The gold answer states that 'Exploratory motivation drives lifestyle changes.' Evidence 1 explicitly states that 'Ananya Sharma's exploratory motivation drives her to test lifestyle changes and improve her wellbeing.' This directly supports both material components of the gold answer: (1) the motivation is exploratory, and (2) it drives lifestyle changes. The evidence is sufficient to derive the complete gold answer.</x:v>
      </x:c>
      <x:c r="E145" s="30" t="str">
        <x:v>robust_generation_failure</x:v>
      </x:c>
      <x:c r="F145" s="30" t="str">
        <x:v>hallucination</x:v>
      </x:c>
      <x:c r="G145" s="30" t="str">
        <x:v>The gold answer states that exploratory motivation 'drives lifestyle changes,' indicating an active, evolving role. The model answer claims it 'remained consistent,' which contradicts the idea of evolution or change implied by the gold answer.</x:v>
      </x:c>
      <x:c r="H145" s="30" t="str">
        <x:v>hallucination</x:v>
      </x:c>
      <x:c r="I145" s="30" t="str">
        <x:v>The gold answer states that exploratory motivation 'drives lifestyle changes,' indicating an evolution or active role of the motivation. The model answer claims it 'remained consistent,' which contradicts the idea of evolution or change implied by the gold answer.</x:v>
      </x:c>
      <x:c r="J145" s="30" t="str">
        <x:v>hallucination</x:v>
      </x:c>
      <x:c r="K145" s="30" t="str">
        <x:v>The gold answer states that exploratory motivation 'drives lifestyle changes,' indicating an evolution or active role of the motivation. The model answer claims it 'remained consistent,' which contradicts the idea of evolution or change implied by the gold answer.</x:v>
      </x:c>
      <x:c r="L145" s="30" t="str">
        <x:v>LongCat-2.0</x:v>
      </x:c>
      <x:c r="M145" s="30" t="str">
        <x:v>LongCat-2.0</x:v>
      </x:c>
      <x:c r="N145" s="30" t="str">
        <x:v>LongCat-2.0</x:v>
      </x:c>
      <x:c r="O145" s="30" t="str">
        <x:v>LongCat-2.0</x:v>
      </x:c>
    </x:row>
    <x:row r="146" ht="54" customHeight="1">
      <x:c r="A146" s="30" t="str">
        <x:v>memos_long:1010</x:v>
      </x:c>
      <x:c r="B146" s="30" t="str">
        <x:v>sufficient</x:v>
      </x:c>
      <x:c r="C146" s="30" t="str"/>
      <x:c r="D146" s="30" t="str">
        <x:v>Evidence 1 directly states that Donna updated her pet preference to include rodents and explicitly mentions the reasons: their interactive nature and ease of care. This covers both material components of the gold answer — the pet type (rodents) and the reasons (interactive nature and ease of care). Evidence 2 further supports that she plans to explore pet options aligned with her preferences. Together, the evidence fully supports the complete gold answer.</x:v>
      </x:c>
      <x:c r="E146" s="30" t="str">
        <x:v>robust_generation_failure</x:v>
      </x:c>
      <x:c r="F146" s="30" t="str">
        <x:v>omission</x:v>
      </x:c>
      <x:c r="G146" s="30"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H146" s="30" t="str">
        <x:v>omission</x:v>
      </x:c>
      <x:c r="I146" s="30" t="str">
        <x:v>The model answer 'Rodents' provides the correct pet type but omits the supporting reasons ('due to their interactive nature and ease of care') that are part of the complete gold answer. Since it gives only an incomplete subset without adding a false claim, it is classified as omission.</x:v>
      </x:c>
      <x:c r="J146" s="30" t="str">
        <x:v>omission</x:v>
      </x:c>
      <x:c r="K146" s="30" t="str">
        <x:v>The model answer 'Rodents' provides the correct pet type but omits the supporting reasons ('due to their interactive nature and ease of care') that are part of the complete gold answer. Since it gives only an incomplete subset without adding a false claim, it is classified as omission.</x:v>
      </x:c>
      <x:c r="L146" s="30" t="str">
        <x:v>LongCat-2.0</x:v>
      </x:c>
      <x:c r="M146" s="30" t="str">
        <x:v>LongCat-2.0</x:v>
      </x:c>
      <x:c r="N146" s="30" t="str">
        <x:v>LongCat-2.0</x:v>
      </x:c>
      <x:c r="O146" s="30" t="str">
        <x:v>LongCat-2.0</x:v>
      </x:c>
    </x:row>
    <x:row r="147" ht="54" customHeight="1">
      <x:c r="A147" s="30" t="str">
        <x:v>memos_medium:2305</x:v>
      </x:c>
      <x:c r="B147" s="30" t="str">
        <x:v>sufficient</x:v>
      </x:c>
      <x:c r="C147" s="30" t="str">
        <x:v>None. The evidence directly supports the gold answer that Williams Daniel could leverage support from colleagues and friends to maintain strong professional relationships.</x:v>
      </x:c>
      <x:c r="D147" s="30" t="str">
        <x:v>Evidence 1 explicitly states that Williams emphasized leveraging the support of colleagues and friends to overcome creative challenges, which directly supports the gold answer's strategy of leveraging support from colleagues and friends. Evidence 2 confirms that Williams Daniel values strong professional relationships and wants to continue fostering them, providing context for why he would use this strategy. Together, these pieces of evidence contain enough information to derive the complete gold answer.</x:v>
      </x:c>
      <x:c r="E147" s="30" t="str">
        <x:v>ua3_representation_or_admission_failure</x:v>
      </x:c>
      <x:c r="F147" s="30" t="str">
        <x:v>correct</x:v>
      </x:c>
      <x:c r="G147" s="30" t="str">
        <x:v>The model answer 'Leverage colleague and friend support' is a semantically equivalent rephrasing of the gold answer 'Leverage support from colleagues and friends.' Both convey the same complete meaning with only minor wording differences.</x:v>
      </x:c>
      <x:c r="H147" s="30" t="str">
        <x:v>correct</x:v>
      </x:c>
      <x:c r="I147" s="30" t="str">
        <x:v>The model answer 'Leverage colleague and friend support' is a semantically equivalent rephrasing of the gold answer 'Leverage support from colleagues and friends.' Both convey the same complete meaning with only minor wording differences.</x:v>
      </x:c>
      <x:c r="J147" s="30" t="str">
        <x:v>correct</x:v>
      </x:c>
      <x:c r="K147" s="30" t="str">
        <x:v>The model answer 'Leverage colleague and friend support' is a semantically equivalent rephrasing of the gold answer 'Leverage support from colleagues and friends.' Both convey the same complete meaning with only minor wording differences.</x:v>
      </x:c>
      <x:c r="L147" s="30" t="str">
        <x:v>LongCat-2.0</x:v>
      </x:c>
      <x:c r="M147" s="30" t="str">
        <x:v>LongCat-2.0</x:v>
      </x:c>
      <x:c r="N147" s="30" t="str">
        <x:v>LongCat-2.0</x:v>
      </x:c>
      <x:c r="O147" s="30" t="str">
        <x:v>LongCat-2.0</x:v>
      </x:c>
    </x:row>
    <x:row r="148" ht="54" customHeight="1">
      <x:c r="A148" s="30" t="str">
        <x:v>memos_long:1752</x:v>
      </x:c>
      <x:c r="B148" s="30" t="str">
        <x:v>sufficient</x:v>
      </x:c>
      <x:c r="C148" s="30" t="str">
        <x:v>None. The evidence directly states that Susan Thompson finds observing her fish swim soothing, which matches the gold answer exactly.</x:v>
      </x:c>
      <x:c r="D148" s="30" t="str">
        <x:v>Evidence 1 explicitly states that 'Susan Thompson finds observing her fish swim soothing and it helps her relax and manage stress.' This directly supports the gold answer 'Observing her fish swim.' with no missing components. The date in the question (May 22, 2039) does not conflict with the evidence, as the evidence describes a general persona trait that is consistent with the timeframe.</x:v>
      </x:c>
      <x:c r="E148" s="30" t="str">
        <x:v>ua3_representation_or_admission_failure</x:v>
      </x:c>
      <x:c r="F148" s="30" t="str">
        <x:v>correct</x:v>
      </x:c>
      <x:c r="G148" s="30" t="str">
        <x:v>The model answer exactly matches the gold answer, providing the complete and correct information.</x:v>
      </x:c>
      <x:c r="H148" s="30" t="str">
        <x:v>correct</x:v>
      </x:c>
      <x:c r="I148" s="30" t="str">
        <x:v>The model answer exactly matches the gold answer, providing the complete and correct information.</x:v>
      </x:c>
      <x:c r="J148" s="30" t="str">
        <x:v>correct</x:v>
      </x:c>
      <x:c r="K148" s="30" t="str">
        <x:v>The model answer exactly matches the gold answer, providing the complete and correct information.</x:v>
      </x:c>
      <x:c r="L148" s="30" t="str">
        <x:v>LongCat-2.0</x:v>
      </x:c>
      <x:c r="M148" s="30" t="str">
        <x:v>LongCat-2.0</x:v>
      </x:c>
      <x:c r="N148" s="30" t="str">
        <x:v>LongCat-2.0</x:v>
      </x:c>
      <x:c r="O148" s="30" t="str">
        <x:v>LongCat-2.0</x:v>
      </x:c>
    </x:row>
    <x:row r="149" ht="54" customHeight="1">
      <x:c r="A149" s="30" t="str">
        <x:v>memos_medium:2170</x:v>
      </x:c>
      <x:c r="B149" s="30" t="str">
        <x:v>partial</x:v>
      </x:c>
      <x:c r="C149" s="30" t="str">
        <x:v>The evidence mentions a maple-glazed salmon recipe, not a honey-glazed salmon recipe. The specific glaze type (honey vs. maple) is a material component of the gold answer that is not supported.</x:v>
      </x:c>
      <x:c r="D149" s="30" t="str">
        <x:v>The evidence supports that Sharon Brown enjoys salmon recipes with sweet glazes and values health-conscious cooking, but the gold answer specifies 'honey-glazed' while the evidence only mentions 'maple-glazed.' These are different ingredients, so the specific recipe type in the gold answer cannot be directly derived from the evidence.</x:v>
      </x:c>
      <x:c r="E149" s="30" t="str">
        <x:v>evidence_definition_failure</x:v>
      </x:c>
      <x:c r="F149" s="30" t="str">
        <x:v>hallucination</x:v>
      </x:c>
      <x:c r="G149" s="30" t="str">
        <x:v>The gold answer specifies a honey-glazed salmon recipe, while the model answer provides a maple-glazed salmon recipe. Although both are glazed salmon recipes, the specific glaze type (maple vs. honey) is a concrete detail that contradicts the gold answer, making this a hallucination rather than a semantically equivalent correct answer.</x:v>
      </x:c>
      <x:c r="H149" s="30" t="str">
        <x:v>hallucination</x:v>
      </x:c>
      <x:c r="I149"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J149" s="30" t="str">
        <x:v>hallucination</x:v>
      </x:c>
      <x:c r="K149"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L149" s="30" t="str">
        <x:v>LongCat-2.0</x:v>
      </x:c>
      <x:c r="M149" s="30" t="str">
        <x:v>LongCat-2.0</x:v>
      </x:c>
      <x:c r="N149" s="30" t="str">
        <x:v>LongCat-2.0</x:v>
      </x:c>
      <x:c r="O149" s="30" t="str">
        <x:v>LongCat-2.0</x:v>
      </x:c>
    </x:row>
    <x:row r="150" ht="54" customHeight="1">
      <x:c r="A150" s="30" t="str">
        <x:v>memos_long:661</x:v>
      </x:c>
      <x:c r="B150" s="30" t="str">
        <x:v>sufficient</x:v>
      </x:c>
      <x:c r="C150" s="30" t="str">
        <x:v>none</x:v>
      </x:c>
      <x:c r="D150" s="30" t="str">
        <x:v>Evidence 1 states that Sarah's sushi-making class on Apr 20, 2038 enhanced her appreciation for the artistry and skill involved in sushi preparation. Evidence 2 shows her food preference evolved to admiring handcrafted sushi for its artistic presentation. Evidence 3 indicates she is enthusiastic about exploring new culinary avenues driven by creative motivation. Together, these establish that after April 20, 2038, Sarah would enjoy a class focusing on artistic food presentation, which is the complete gold answer.</x:v>
      </x:c>
      <x:c r="E150" s="30" t="str">
        <x:v>robust_generation_failure</x:v>
      </x:c>
      <x:c r="F150" s="30" t="str">
        <x:v>hallucination</x:v>
      </x:c>
      <x:c r="G150" s="30" t="str">
        <x:v>The gold answer specifies a class focusing on artistic food presentation, while the model answer proposes a sushi-making class. Although sushi-making can involve artistic presentation, it is a specific culinary type that is not equivalent to or fully captured by the gold answer's focus on artistic food presentation. The model's answer introduces a concrete, unsupported claim that does not semantically match the gold answer.</x:v>
      </x:c>
      <x:c r="H150" s="30" t="str">
        <x:v>hallucination</x:v>
      </x:c>
      <x:c r="I150" s="30" t="str">
        <x:v>The gold answer specifies a class focusing on artistic food presentation, while the model answer proposes a sushi-making class. Although sushi-making can involve artistic presentation, it is a specific culinary type that is not semantically equivalent to the gold answer's focus on artistic food presentation as a general category. The model's answer introduces a concrete, unsupported claim that does not match the gold answer.</x:v>
      </x:c>
      <x:c r="J150" s="30" t="str">
        <x:v>hallucination</x:v>
      </x:c>
      <x:c r="K150"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L150" s="30" t="str">
        <x:v>LongCat-2.0</x:v>
      </x:c>
      <x:c r="M150" s="30" t="str">
        <x:v>LongCat-2.0</x:v>
      </x:c>
      <x:c r="N150" s="30" t="str">
        <x:v>LongCat-2.0</x:v>
      </x:c>
      <x:c r="O150" s="30" t="str">
        <x:v>LongCat-2.0</x:v>
      </x:c>
    </x:row>
    <x:row r="151" ht="54" customHeight="1">
      <x:c r="A151" s="30" t="str">
        <x:v>memos_medium:2216</x:v>
      </x:c>
      <x:c r="B151" s="30" t="str">
        <x:v>sufficient</x:v>
      </x:c>
      <x:c r="C151" s="30" t="str"/>
      <x:c r="D151" s="30" t="str">
        <x:v>The gold answer states that Sharon may explore genres with strong emotional storytelling. Evidence 1 and Evidence 2 both establish that Sharon appreciates the emotional depth and storytelling in alternative rock and modern country music. From this, it can be reasonably inferred that she would be drawn to explore other genres that share these same qualities—namely, strong emotional storytelling. The evidence directly supports the material component of the gold answer.</x:v>
      </x:c>
      <x:c r="E151" s="30" t="str">
        <x:v>robust_generation_failure</x:v>
      </x:c>
      <x:c r="F151" s="30" t="str">
        <x:v>hallucination</x:v>
      </x:c>
      <x:c r="G151"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H151" s="30" t="str">
        <x:v>hallucination</x:v>
      </x:c>
      <x:c r="I151"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J151" s="30" t="str">
        <x:v>hallucination</x:v>
      </x:c>
      <x:c r="K151"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L151" s="30" t="str">
        <x:v>LongCat-2.0</x:v>
      </x:c>
      <x:c r="M151" s="30" t="str">
        <x:v>LongCat-2.0</x:v>
      </x:c>
      <x:c r="N151" s="30" t="str">
        <x:v>LongCat-2.0</x:v>
      </x:c>
      <x:c r="O151" s="30" t="str">
        <x:v>LongCat-2.0</x:v>
      </x:c>
    </x:row>
    <x:row r="152" ht="54" customHeight="1">
      <x:c r="A152" s="30" t="str">
        <x:v>memos_medium:3321</x:v>
      </x:c>
      <x:c r="B152" s="30" t="str">
        <x:v>sufficient</x:v>
      </x:c>
      <x:c r="C152" s="30" t="str">
        <x:v>none</x:v>
      </x:c>
      <x:c r="D152" s="30" t="str">
        <x:v>Evidence 1 directly states that Christopher expressed enthusiasm about exploring more science fiction works, which fully supports the gold answer 'Science fiction' with no missing components.</x:v>
      </x:c>
      <x:c r="E152" s="30" t="str">
        <x:v>ua3_representation_or_admission_failure</x:v>
      </x:c>
      <x:c r="F152" s="30" t="str">
        <x:v>correct</x:v>
      </x:c>
      <x:c r="G152" s="30" t="str">
        <x:v>The model answer 'Science fiction' matches the benchmark gold answer exactly, providing the complete and correct genre Christopher expressed enthusiasm about exploring more.</x:v>
      </x:c>
      <x:c r="H152" s="30" t="str">
        <x:v>correct</x:v>
      </x:c>
      <x:c r="I152" s="30" t="str">
        <x:v>The model answer 'Science fiction' matches the benchmark gold answer exactly, providing the complete and correct genre Christopher expressed enthusiasm about exploring more.</x:v>
      </x:c>
      <x:c r="J152" s="30" t="str">
        <x:v>correct</x:v>
      </x:c>
      <x:c r="K152" s="30" t="str">
        <x:v>The model answer 'Science fiction' matches the benchmark gold answer exactly, providing the complete and correct genre Christopher expressed enthusiasm about exploring more.</x:v>
      </x:c>
      <x:c r="L152" s="30" t="str">
        <x:v>LongCat-2.0</x:v>
      </x:c>
      <x:c r="M152" s="30" t="str">
        <x:v>LongCat-2.0</x:v>
      </x:c>
      <x:c r="N152" s="30" t="str">
        <x:v>LongCat-2.0</x:v>
      </x:c>
      <x:c r="O152" s="30" t="str">
        <x:v>LongCat-2.0</x:v>
      </x:c>
    </x:row>
    <x:row r="153" ht="54" customHeight="1">
      <x:c r="A153" s="30" t="str">
        <x:v>memos_long:1085</x:v>
      </x:c>
      <x:c r="B153" s="30" t="str">
        <x:v>sufficient</x:v>
      </x:c>
      <x:c r="C153" s="30" t="str">
        <x:v>None. The evidence directly states that Taylor David is considering integrating mindfulness practices into his routine to manage stress, which fully supports the gold answer.</x:v>
      </x:c>
      <x:c r="D153" s="30" t="str">
        <x:v>The gold answer is 'Integrating mindfulness practices'. Evidence 1 explicitly states that Taylor David is considering integrating mindfulness practices into his routine to manage stress and improve his health. This directly and completely supports every material component of the gold answer, with no missing information.</x:v>
      </x:c>
      <x:c r="E153" s="30" t="str">
        <x:v>ua3_representation_or_admission_failure</x:v>
      </x:c>
      <x:c r="F153" s="30" t="str">
        <x:v>correct</x:v>
      </x:c>
      <x:c r="G153" s="30" t="str">
        <x:v>The model answer 'Mindfulness practices' is a semantically complete match to the gold answer 'Integrating mindfulness practices,' with only minor wording differences that do not change the meaning.</x:v>
      </x:c>
      <x:c r="H153" s="30" t="str">
        <x:v>correct</x:v>
      </x:c>
      <x:c r="I153" s="30" t="str">
        <x:v>The model answer 'Mindfulness practices' is a semantically complete match to the gold answer 'Integrating mindfulness practices,' with only minor wording differences and no false or contradictory information.</x:v>
      </x:c>
      <x:c r="J153" s="30" t="str">
        <x:v>correct</x:v>
      </x:c>
      <x:c r="K153" s="30" t="str">
        <x:v>The model answer 'Mindfulness practices' is a semantically complete match to the gold answer 'Integrating mindfulness practices,' with only minor wording differences and no false or contradictory information.</x:v>
      </x:c>
      <x:c r="L153" s="30" t="str">
        <x:v>LongCat-2.0</x:v>
      </x:c>
      <x:c r="M153" s="30" t="str">
        <x:v>LongCat-2.0</x:v>
      </x:c>
      <x:c r="N153" s="30" t="str">
        <x:v>LongCat-2.0</x:v>
      </x:c>
      <x:c r="O153" s="30" t="str">
        <x:v>LongCat-2.0</x:v>
      </x:c>
    </x:row>
    <x:row r="154" ht="54" customHeight="1">
      <x:c r="A154" s="30" t="str">
        <x:v>memos_long:942</x:v>
      </x:c>
      <x:c r="B154" s="30" t="str">
        <x:v>sufficient</x:v>
      </x:c>
      <x:c r="C154" s="30" t="str">
        <x:v>None. The evidence fully supports that Donna is interested in eco-friendly restaurants with sustainable and healthy options.</x:v>
      </x:c>
      <x:c r="D154" s="30" t="str">
        <x:v>Evidence 1 shows Donna visited a new fast food chain with eco-friendly packaging and healthier meal options, reflecting her interest in sustainability. Evidence 2 states her food preference shifted to eco-friendly fast food options, reflecting her commitment to sustainability and balancing convenience. Evidence 3 confirms her excitement about eco-friendly fast food options aligning with her health and sustainability goals. Together, these establish that Donna is interested in eco-friendly restaurants with sustainable and healthy options, which matches every material component of the gold answer.</x:v>
      </x:c>
      <x:c r="E154" s="30" t="str">
        <x:v>robust_generation_failure</x:v>
      </x:c>
      <x:c r="F154" s="30" t="str">
        <x:v>hallucination</x:v>
      </x:c>
      <x:c r="G154"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or present in the gold answer. This addition of unsupported material constitutes a hallucination.</x:v>
      </x:c>
      <x:c r="H154" s="30" t="str">
        <x:v>hallucination</x:v>
      </x:c>
      <x:c r="I154" s="30" t="str">
        <x:v>The gold answer specifies 'eco-friendly restaurants with sustainable and healthy options,' which is a general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more general category described in the gold answer.</x:v>
      </x:c>
      <x:c r="J154" s="30" t="str">
        <x:v>hallucination</x:v>
      </x:c>
      <x:c r="K154" s="30" t="str">
        <x:v>The gold answer specifies 'eco-friendly restaurants with sustainable and healthy options,' which is a broad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scope of the gold answer.</x:v>
      </x:c>
      <x:c r="L154" s="30" t="str">
        <x:v>LongCat-2.0</x:v>
      </x:c>
      <x:c r="M154" s="30" t="str">
        <x:v>LongCat-2.0</x:v>
      </x:c>
      <x:c r="N154" s="30" t="str">
        <x:v>LongCat-2.0</x:v>
      </x:c>
      <x:c r="O154" s="30" t="str">
        <x:v>LongCat-2.0</x:v>
      </x:c>
    </x:row>
    <x:row r="155" ht="54" customHeight="1">
      <x:c r="A155" s="30" t="str">
        <x:v>memos_long:912</x:v>
      </x:c>
      <x:c r="B155" s="30" t="str">
        <x:v>partial</x:v>
      </x:c>
      <x:c r="C155" s="30" t="str">
        <x:v>The evidence does not explicitly state that Donna's leadership style will become more empathetic; it only shows she seeks empathetic interaction through AI, which suggests but does not directly establish a change in her leadership style.</x:v>
      </x:c>
      <x:c r="D155" s="30" t="str">
        <x:v>Evidence 1 indicates Donna seeks empathetic interaction and emotional support through AI to navigate her leadership role, which implies a potential influence on her leadership style. Evidence 2 focuses on task utility and efficiency, which does not directly support the empathetic leadership claim. While Evidence 1 provides a plausible basis for inferring that her leadership may become more empathetic, it does not explicitly confirm this outcome, leaving a gap between seeking empathetic support and actually becoming a more empathetic leader. Thus, the evidence partially supports the gold answer but does not fully derive it.</x:v>
      </x:c>
      <x:c r="E155" s="30" t="str">
        <x:v>evidence_definition_failure</x:v>
      </x:c>
      <x:c r="F155" s="30" t="str">
        <x:v>hallucination</x:v>
      </x:c>
      <x:c r="G155" s="30" t="str">
        <x:v>The gold answer states that Donna's leadership may become more empathetic. The model answer adds 'task-focused,' which is not supported by or present in the gold answer, making it an unsupported addition that constitutes a hallucination.</x:v>
      </x:c>
      <x:c r="H155" s="30" t="str">
        <x:v>hallucination</x:v>
      </x:c>
      <x:c r="I155" s="30" t="str">
        <x:v>The gold answer states that Donna's leadership may become more empathetic. The model answer adds 'task-focused,' which is not supported by the gold answer and constitutes unsupported material.</x:v>
      </x:c>
      <x:c r="J155" s="30" t="str">
        <x:v>hallucination</x:v>
      </x:c>
      <x:c r="K155" s="30" t="str">
        <x:v>The gold answer states that Donna's leadership may become more empathetic. The model answer adds 'task-focused,' which is not supported by the gold answer and constitutes unsupported material.</x:v>
      </x:c>
      <x:c r="L155" s="30" t="str">
        <x:v>LongCat-2.0</x:v>
      </x:c>
      <x:c r="M155" s="30" t="str">
        <x:v>LongCat-2.0</x:v>
      </x:c>
      <x:c r="N155" s="30" t="str">
        <x:v>LongCat-2.0</x:v>
      </x:c>
      <x:c r="O155" s="30" t="str">
        <x:v>LongCat-2.0</x:v>
      </x:c>
    </x:row>
    <x:row r="156" ht="54" customHeight="1">
      <x:c r="A156" s="30" t="str">
        <x:v>memos_medium:1986</x:v>
      </x:c>
      <x:c r="B156" s="30" t="str">
        <x:v>partial</x:v>
      </x:c>
      <x:c r="C156" s="30" t="str">
        <x:v>The evidence does not mention Joseph Garcia seeking advice as a method to maintain program quality.</x:v>
      </x:c>
      <x:c r="D156" s="30" t="str">
        <x:v>Evidence 1 shows Joseph Garcia is dedicated to maintaining program quality despite increased workload, but does not specify the methods he uses. Evidence 2 shows he finds emotional fulfillment in sharing his passion for cinema through educational programs, which supports the 'maintaining emotional fulfillment' component. However, there is no evidence supporting 'seeking advice' as a method. Thus, only one of the two material components is supported.</x:v>
      </x:c>
      <x:c r="E156" s="30" t="str">
        <x:v>evidence_definition_failure</x:v>
      </x:c>
      <x:c r="F156" s="30" t="str">
        <x:v>hallucination</x:v>
      </x:c>
      <x:c r="G156" s="30" t="str">
        <x:v>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x:v>
      </x:c>
      <x:c r="H156" s="30" t="str">
        <x:v>hallucination</x:v>
      </x:c>
      <x:c r="I156" s="30" t="str">
        <x:v>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x:v>
      </x:c>
      <x:c r="J156" s="30" t="str">
        <x:v>hallucination</x:v>
      </x:c>
      <x:c r="K156" s="30" t="str">
        <x:v>The model answer 'Dedication and passion for cinema' introduces concrete claims that are not supported by the gold answer. The gold answer specifies 'Seeking advice and maintaining emotional fulfillment' as the methods, while the model provides an entirely different and unsupported response, making it a hallucination.</x:v>
      </x:c>
      <x:c r="L156" s="30" t="str">
        <x:v>LongCat-2.0</x:v>
      </x:c>
      <x:c r="M156" s="30" t="str">
        <x:v>LongCat-2.0</x:v>
      </x:c>
      <x:c r="N156" s="30" t="str">
        <x:v>LongCat-2.0</x:v>
      </x:c>
      <x:c r="O156" s="30" t="str">
        <x:v>LongCat-2.0</x:v>
      </x:c>
    </x:row>
    <x:row r="157" ht="54" customHeight="1">
      <x:c r="A157" s="30" t="str">
        <x:v>memos_long:2981</x:v>
      </x:c>
      <x:c r="B157" s="30" t="str">
        <x:v>sufficient</x:v>
      </x:c>
      <x:c r="C157" s="30" t="str">
        <x:v>none</x:v>
      </x:c>
      <x:c r="D157" s="30" t="str">
        <x:v>Evidence 1 directly states that Karen Brown's supportive network provides emotional and practical assistance, which matches the gold answer exactly. Evidence 2 and 3 provide additional context about her career goals and health, but the core answer is fully derivable from Evidence 1 alone. All material components of the gold answer are supported.</x:v>
      </x:c>
      <x:c r="E157" s="30" t="str">
        <x:v>ua3_representation_or_admission_failure</x:v>
      </x:c>
      <x:c r="F157" s="30" t="str">
        <x:v>correct</x:v>
      </x:c>
      <x:c r="G157" s="30" t="str">
        <x:v>The model answer 'Providing emotional and practical assistance' semantically matches the gold answer 'It offers emotional and practical assistance,' conveying the same complete meaning with only minor wording differences.</x:v>
      </x:c>
      <x:c r="H157" s="30" t="str">
        <x:v>correct</x:v>
      </x:c>
      <x:c r="I157" s="30" t="str">
        <x:v>The model answer 'Providing emotional and practical assistance' semantically matches the gold answer 'It offers emotional and practical assistance,' conveying the same complete meaning with only minor wording differences.</x:v>
      </x:c>
      <x:c r="J157" s="30" t="str">
        <x:v>correct</x:v>
      </x:c>
      <x:c r="K157" s="30" t="str">
        <x:v>The model answer 'Providing emotional and practical assistance' semantically matches the gold answer 'It offers emotional and practical assistance.' Both convey the same complete meaning with only minor wording differences.</x:v>
      </x:c>
      <x:c r="L157" s="30" t="str">
        <x:v>LongCat-2.0</x:v>
      </x:c>
      <x:c r="M157" s="30" t="str">
        <x:v>LongCat-2.0</x:v>
      </x:c>
      <x:c r="N157" s="30" t="str">
        <x:v>LongCat-2.0</x:v>
      </x:c>
      <x:c r="O157" s="30" t="str">
        <x:v>LongCat-2.0</x:v>
      </x:c>
    </x:row>
    <x:row r="158" ht="54" customHeight="1">
      <x:c r="A158" s="30" t="str">
        <x:v>memos_long:2479</x:v>
      </x:c>
      <x:c r="B158" s="30" t="str">
        <x:v>sufficient</x:v>
      </x:c>
      <x:c r="C158" s="30" t="str"/>
      <x:c r="D158" s="30" t="str">
        <x:v>Evidence 2 establishes that Steven Miller's music preferences changed after attending a live music event on February 22, 2029. Evidence 1 shows he expressed curiosity about how his evolving music preferences might influence his leisure activities. Together, these support the gold answer that he may explore more diverse music genres, as a shift in preferences naturally leads to exploration of new genres as a leisure activity.</x:v>
      </x:c>
      <x:c r="E158" s="30" t="str">
        <x:v>robust_generation_failure</x:v>
      </x:c>
      <x:c r="F158" s="30" t="str">
        <x:v>hallucination</x:v>
      </x:c>
      <x:c r="G158"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H158" s="30" t="str">
        <x:v>hallucination</x:v>
      </x:c>
      <x:c r="I158"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J158" s="30" t="str">
        <x:v>hallucination</x:v>
      </x:c>
      <x:c r="K158"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in the gold answer. This goes beyond the general statement and adds incorrect, unsupported material, making it a hallucination.</x:v>
      </x:c>
      <x:c r="L158" s="30" t="str">
        <x:v>LongCat-2.0</x:v>
      </x:c>
      <x:c r="M158" s="30" t="str">
        <x:v>LongCat-2.0</x:v>
      </x:c>
      <x:c r="N158" s="30" t="str">
        <x:v>LongCat-2.0</x:v>
      </x:c>
      <x:c r="O158" s="30" t="str">
        <x:v>LongCat-2.0</x:v>
      </x:c>
    </x:row>
    <x:row r="159" ht="54" customHeight="1">
      <x:c r="A159" s="30" t="str">
        <x:v>memos_medium:1532</x:v>
      </x:c>
      <x:c r="B159" s="30" t="str">
        <x:v>sufficient</x:v>
      </x:c>
      <x:c r="C159" s="30" t="str">
        <x:v>None. Both material components of the gold answer — mindfulness and regular exercise — are explicitly supported by the evidence.</x:v>
      </x:c>
      <x:c r="D159" s="30" t="str">
        <x:v>Evidence 1 directly states that Jennifer Martin practices mindfulness and exercises regularly to manage stress. Evidence 2 establishes the context of stress management following job loss (layoff). Evidence 3 explicitly links mindfulness and regular exercise as methods Jennifer discussed for regaining health stability. Together, these pieces of evidence fully support both components of the gold answer: mindfulness and regular exercise.</x:v>
      </x:c>
      <x:c r="E159" s="30" t="str">
        <x:v>ua3_representation_or_admission_failure</x:v>
      </x:c>
      <x:c r="F159" s="30" t="str">
        <x:v>correct</x:v>
      </x:c>
      <x:c r="G159" s="30" t="str">
        <x:v>The model answer exactly matches the gold answer, providing the complete set of strategies (mindfulness and regular exercise) without any omissions or incorrect additions.</x:v>
      </x:c>
      <x:c r="H159" s="30" t="str">
        <x:v>correct</x:v>
      </x:c>
      <x:c r="I159" s="30" t="str">
        <x:v>The model answer exactly matches the gold answer, providing the complete set of strategies (mindfulness and regular exercise) without any omissions or incorrect additions.</x:v>
      </x:c>
      <x:c r="J159" s="30" t="str">
        <x:v>correct</x:v>
      </x:c>
      <x:c r="K159" s="30" t="str">
        <x:v>The model answer exactly matches the benchmark gold answer, providing the complete set of strategies (mindfulness and regular exercise) without any omissions or incorrect additions.</x:v>
      </x:c>
      <x:c r="L159" s="30" t="str">
        <x:v>LongCat-2.0</x:v>
      </x:c>
      <x:c r="M159" s="30" t="str">
        <x:v>LongCat-2.0</x:v>
      </x:c>
      <x:c r="N159" s="30" t="str">
        <x:v>LongCat-2.0</x:v>
      </x:c>
      <x:c r="O159" s="30" t="str">
        <x:v>LongCat-2.0</x:v>
      </x:c>
    </x:row>
    <x:row r="160" ht="54" customHeight="1">
      <x:c r="A160" s="30" t="str">
        <x:v>memos_medium:1897</x:v>
      </x:c>
      <x:c r="B160" s="30" t="str">
        <x:v>sufficient</x:v>
      </x:c>
      <x:c r="C160" s="30" t="str"/>
      <x:c r="D160" s="30" t="str">
        <x:v>Evidence 1 directly states that Michelle Hernandez's monthly income increased from 12,000 to 15,000, which matches the gold answer exactly. Evidence 2 confirms the transition to Innovative AI Corp, providing context for the timing. Together, they fully support every material component of the gold answer.</x:v>
      </x:c>
      <x:c r="E160" s="30" t="str">
        <x:v>ua3_representation_or_admission_failure</x:v>
      </x:c>
      <x:c r="F160" s="30" t="str">
        <x:v>correct</x:v>
      </x:c>
      <x:c r="G160" s="30" t="str">
        <x:v>The model answer matches the gold answer exactly, stating that Michelle's monthly income increased from 12,000 to 15,000 after joining Innovative AI Corp on Mar 16, 2037.</x:v>
      </x:c>
      <x:c r="H160" s="30" t="str">
        <x:v>correct</x:v>
      </x:c>
      <x:c r="I160" s="30" t="str">
        <x:v>The model answer matches the gold answer exactly, stating that Michelle's monthly income increased from 12,000 to 15,000 after joining Innovative AI Corp on Mar 16, 2037.</x:v>
      </x:c>
      <x:c r="J160" s="30" t="str">
        <x:v>correct</x:v>
      </x:c>
      <x:c r="K160" s="30" t="str">
        <x:v>The model answer matches the gold answer exactly, stating that Michelle's monthly income increased from 12,000 to 15,000 after joining Innovative AI Corp on Mar 16, 2037.</x:v>
      </x:c>
      <x:c r="L160" s="30" t="str">
        <x:v>LongCat-2.0</x:v>
      </x:c>
      <x:c r="M160" s="30" t="str">
        <x:v>LongCat-2.0</x:v>
      </x:c>
      <x:c r="N160" s="30" t="str">
        <x:v>LongCat-2.0</x:v>
      </x:c>
      <x:c r="O160" s="30" t="str">
        <x:v>LongCat-2.0</x:v>
      </x:c>
    </x:row>
    <x:row r="161" ht="54" customHeight="1">
      <x:c r="A161" s="30" t="str">
        <x:v>memos_long:3439</x:v>
      </x:c>
      <x:c r="B161" s="30" t="str">
        <x:v>sufficient</x:v>
      </x:c>
      <x:c r="C161" s="30" t="str">
        <x:v>None. The evidence directly states that Christopher decided to explore diverse literary genres for entertainment and escapism, which matches the gold answer exactly.</x:v>
      </x:c>
      <x:c r="D161" s="30" t="str">
        <x:v>The gold answer is 'Diverse literary genres for entertainment and escapism.' Evidence 1 explicitly states: 'Christopher decided to explore diverse literary genres for entertainment and escapism, setting aside self-help books temporarily.' This directly supports every material component of the gold answer: the subject (Christopher), the action (decide to explore), the object (diverse literary genres), and the purpose (entertainment and escapism). No information is missing.</x:v>
      </x:c>
      <x:c r="E161" s="30" t="str">
        <x:v>robust_generation_failure</x:v>
      </x:c>
      <x:c r="F161" s="30" t="str">
        <x:v>omission</x:v>
      </x:c>
      <x:c r="G161" s="30" t="str">
        <x:v>The model answer 'Diverse literary genres' captures the core of the gold answer but omits the purpose 'for entertainment and escapism,' making it an incomplete subset of the full gold answer.</x:v>
      </x:c>
      <x:c r="H161" s="30" t="str">
        <x:v>omission</x:v>
      </x:c>
      <x:c r="I161" s="30" t="str">
        <x:v>The model answer 'Diverse literary genres' captures part of the gold answer but omits the purpose 'for entertainment and escapism,' making it an incomplete subset of the full gold answer.</x:v>
      </x:c>
      <x:c r="J161" s="30" t="str">
        <x:v>omission</x:v>
      </x:c>
      <x:c r="K161" s="30" t="str">
        <x:v>The model answer 'Diverse literary genres' captures the core of the gold answer but omits the purpose 'for entertainment and escapism,' making it an incomplete subset of the full gold answer.</x:v>
      </x:c>
      <x:c r="L161" s="30" t="str">
        <x:v>LongCat-2.0</x:v>
      </x:c>
      <x:c r="M161" s="30" t="str">
        <x:v>LongCat-2.0</x:v>
      </x:c>
      <x:c r="N161" s="30" t="str">
        <x:v>LongCat-2.0</x:v>
      </x:c>
      <x:c r="O161" s="30" t="str">
        <x:v>LongCat-2.0</x:v>
      </x:c>
    </x:row>
    <x:row r="162" ht="54" customHeight="1">
      <x:c r="A162" s="30" t="str">
        <x:v>memos_medium:1881</x:v>
      </x:c>
      <x:c r="B162" s="30" t="str">
        <x:v>sufficient</x:v>
      </x:c>
      <x:c r="C162" s="30" t="str"/>
      <x:c r="D162" s="30" t="str">
        <x:v>The gold answer has two material components: (1) streamlined workflow and (2) supported stress management. Evidence 1 supports 'streamlined workflow.' Evidence 2 explicitly supports both 'streamlined workflow' and 'supported stress management.' Evidence 3 supports 'enhanced workflow,' which aligns with the first component. Together, the evidence fully covers both material components of the gold answer.</x:v>
      </x:c>
      <x:c r="E162" s="30" t="str">
        <x:v>robust_generation_failure</x:v>
      </x:c>
      <x:c r="F162" s="30" t="str">
        <x:v>omission</x:v>
      </x:c>
      <x:c r="G162" s="30" t="str">
        <x:v>The model answer 'Streamlined workflow and support' captures part of the gold answer but omits the specific detail 'stress management,' making it an incomplete subset of the full gold answer.</x:v>
      </x:c>
      <x:c r="H162" s="30" t="str">
        <x:v>omission</x:v>
      </x:c>
      <x:c r="I162" s="30" t="str">
        <x:v>The model answer 'Streamlined workflow and support' captures part of the gold answer but omits the specific detail 'stress management,' making it an incomplete subset of the full gold answer.</x:v>
      </x:c>
      <x:c r="J162" s="30" t="str">
        <x:v>omission</x:v>
      </x:c>
      <x:c r="K162" s="30" t="str">
        <x:v>The model answer 'Streamlined workflow and support' captures part of the gold answer but omits the specific detail 'stress management,' making it an incomplete subset of the full gold answer.</x:v>
      </x:c>
      <x:c r="L162" s="30" t="str">
        <x:v>LongCat-2.0</x:v>
      </x:c>
      <x:c r="M162" s="30" t="str">
        <x:v>LongCat-2.0</x:v>
      </x:c>
      <x:c r="N162" s="30" t="str">
        <x:v>LongCat-2.0</x:v>
      </x:c>
      <x:c r="O162" s="30" t="str">
        <x:v>LongCat-2.0</x:v>
      </x:c>
    </x:row>
    <x:row r="163" ht="54" customHeight="1">
      <x:c r="A163" s="30" t="str">
        <x:v>memos_medium:3074</x:v>
      </x:c>
      <x:c r="B163" s="30" t="str">
        <x:v>sufficient</x:v>
      </x:c>
      <x:c r="C163" s="30" t="str">
        <x:v>None. All material components of the gold answer are directly supported by the evidence.</x:v>
      </x:c>
      <x:c r="D163" s="30" t="str">
        <x:v>The gold answer states that the salary increase 'provided financial resources for global expansion and feature integration.' Evidence 1 confirms the salary increase (monthly_income from 12000 to 14000). Evidence 2 directly states Karen plans to invest her salary increase in enhancing features and scalability of her platform, supporting the 'feature integration' component. Evidence 3 directly states Karen is focused on planning for global expansion of her platform, supporting the 'global expansion' component. Together, the evidence fully supports both material components of the gold answer.</x:v>
      </x:c>
      <x:c r="E163" s="30" t="str">
        <x:v>robust_generation_failure</x:v>
      </x:c>
      <x:c r="F163" s="30" t="str">
        <x:v>omission</x:v>
      </x:c>
      <x:c r="G163"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H163" s="30" t="str">
        <x:v>omission</x:v>
      </x:c>
      <x:c r="I163"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J163" s="30" t="str">
        <x:v>omission</x:v>
      </x:c>
      <x:c r="K163"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L163" s="30" t="str">
        <x:v>LongCat-2.0</x:v>
      </x:c>
      <x:c r="M163" s="30" t="str">
        <x:v>LongCat-2.0</x:v>
      </x:c>
      <x:c r="N163" s="30" t="str">
        <x:v>LongCat-2.0</x:v>
      </x:c>
      <x:c r="O163" s="30" t="str">
        <x:v>LongCat-2.0</x:v>
      </x:c>
    </x:row>
    <x:row r="164" ht="54" customHeight="1">
      <x:c r="A164" s="30" t="str">
        <x:v>memos_medium:834</x:v>
      </x:c>
      <x:c r="B164" s="30" t="str">
        <x:v>sufficient</x:v>
      </x:c>
      <x:c r="C164" s="30" t="str"/>
      <x:c r="D164" s="30" t="str">
        <x:v>Evidence 1 directly states that Donna Gonzalez emphasized the importance of flexibility and adaptability in managing her part-time work schedule, which fully supports the gold answer 'Flexibility and adaptability.' Evidence 2 reinforces this by showing she adapted her work-life balance, further supporting the adaptability component. Together, the evidence contains enough information to derive every material component of the gold answer.</x:v>
      </x:c>
      <x:c r="E164" s="30" t="str">
        <x:v>robust_generation_failure</x:v>
      </x:c>
      <x:c r="F164" s="30" t="str">
        <x:v>hallucination</x:v>
      </x:c>
      <x:c r="G164" s="30" t="str">
        <x:v>The model answer adds 'Health', which is not present in the gold answer and constitutes unsupported material, making it a hallucination rather than a correct or incomplete answer.</x:v>
      </x:c>
      <x:c r="H164" s="30" t="str">
        <x:v>hallucination</x:v>
      </x:c>
      <x:c r="I164" s="30" t="str">
        <x:v>The model answer adds 'Health', which is not present in the gold answer and constitutes unsupported material, making it a hallucination rather than a correct or incomplete answer.</x:v>
      </x:c>
      <x:c r="J164" s="30" t="str">
        <x:v>hallucination</x:v>
      </x:c>
      <x:c r="K164" s="30" t="str">
        <x:v>The model answer includes 'Health', which is not part of the gold answer and constitutes an unsupported concrete claim, making it a hallucination rather than a correct or omitted response.</x:v>
      </x:c>
      <x:c r="L164" s="30" t="str">
        <x:v>LongCat-2.0</x:v>
      </x:c>
      <x:c r="M164" s="30" t="str">
        <x:v>LongCat-2.0</x:v>
      </x:c>
      <x:c r="N164" s="30" t="str">
        <x:v>LongCat-2.0</x:v>
      </x:c>
      <x:c r="O164" s="30" t="str">
        <x:v>LongCat-2.0</x:v>
      </x:c>
    </x:row>
    <x:row r="165" ht="54" customHeight="1">
      <x:c r="A165" s="30" t="str">
        <x:v>memos_medium:2662</x:v>
      </x:c>
      <x:c r="B165" s="30" t="str">
        <x:v>sufficient</x:v>
      </x:c>
      <x:c r="C165" s="30" t="str"/>
      <x:c r="D165" s="30" t="str">
        <x:v>Evidence 1 directly states that Oleksandr emphasizes balancing structured travel plans with freedom to explore, which maps to 'a balanced itinerary with room for spontaneous activities.' Evidence 2 reinforces this by showing his recent experience with an unexpected local festival made him rethink his travel planning, supporting the preference for spontaneity. Together, both material components of the gold answer—'balanced itinerary' and 'room for spontaneous activities'—are fully supported.</x:v>
      </x:c>
      <x:c r="E165" s="30" t="str">
        <x:v>ua3_representation_or_admission_failure</x:v>
      </x:c>
      <x:c r="F165" s="30" t="str">
        <x:v>correct</x:v>
      </x:c>
      <x:c r="G165" s="30" t="str">
        <x:v>The model answer 'Balanced, flexible itinerary' semantically captures the complete meaning of the gold answer 'A balanced itinerary with room for spontaneous activities.' 'Flexible' is a reasonable paraphrase for 'room for spontaneous activities,' and 'balanced' is directly retained. No information is omitted or contradicted.</x:v>
      </x:c>
      <x:c r="H165" s="30" t="str">
        <x:v>correct</x:v>
      </x:c>
      <x:c r="I165" s="30" t="str">
        <x:v>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x:v>
      </x:c>
      <x:c r="J165" s="30" t="str">
        <x:v>correct</x:v>
      </x:c>
      <x:c r="K165" s="30" t="str">
        <x:v>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x:v>
      </x:c>
      <x:c r="L165" s="30" t="str">
        <x:v>LongCat-2.0</x:v>
      </x:c>
      <x:c r="M165" s="30" t="str">
        <x:v>LongCat-2.0</x:v>
      </x:c>
      <x:c r="N165" s="30" t="str">
        <x:v>LongCat-2.0</x:v>
      </x:c>
      <x:c r="O165" s="30" t="str">
        <x:v>LongCat-2.0</x:v>
      </x:c>
    </x:row>
    <x:row r="166" ht="54" customHeight="1">
      <x:c r="A166" s="30" t="str">
        <x:v>memos_long:681</x:v>
      </x:c>
      <x:c r="B166" s="30" t="str">
        <x:v>sufficient</x:v>
      </x:c>
      <x:c r="C166" s="30" t="str">
        <x:v>none</x:v>
      </x:c>
      <x:c r="D166" s="30" t="str">
        <x:v>Evidence 1 directly states that Sarah Garcia's motivation is 'expressing her identity and gaining attention,' which matches the gold answer 'Express her identity and gain attention' exactly. The evidence also confirms this is her current motivation as Platform Director, fully supporting every material component of the gold answer.</x:v>
      </x:c>
      <x:c r="E166" s="30" t="str">
        <x:v>ua3_representation_or_admission_failure</x:v>
      </x:c>
      <x:c r="F166" s="30" t="str">
        <x:v>correct</x:v>
      </x:c>
      <x:c r="G166" s="30" t="str">
        <x:v>The model answer 'Social signaling for attention' captures the core meaning of the gold answer 'Express her identity and gain attention.' Both convey that Sarah Garcia's motivation involves seeking attention, with the model's phrasing being a semantically equivalent reword of the gold answer's key concept.</x:v>
      </x:c>
      <x:c r="H166" s="30" t="str">
        <x:v>correct</x:v>
      </x:c>
      <x:c r="I166" s="30" t="str">
        <x:v>The model answer 'Social signaling for attention' captures the core meaning of the gold answer 'Express her identity and gain attention.' Both convey that Sarah Garcia's motivation involves seeking attention, with the model answer using a more concise phrasing ('social signaling') that semantically aligns with 'express her identity and gain attention.' The wording differs but the complete meaning is preserved.</x:v>
      </x:c>
      <x:c r="J166" s="30" t="str">
        <x:v>correct</x:v>
      </x:c>
      <x:c r="K166" s="30" t="str">
        <x:v>The model answer 'Social signaling for attention' captures the core meaning of the gold answer 'Express her identity and gain attention.' Both convey that Sarah Garcia's motivation involves seeking attention, with the model using a more concise phrasing ('social signaling') that semantically aligns with 'express her identity and gain attention.' The wording differs but the complete meaning is preserved.</x:v>
      </x:c>
      <x:c r="L166" s="30" t="str">
        <x:v>LongCat-2.0</x:v>
      </x:c>
      <x:c r="M166" s="30" t="str">
        <x:v>LongCat-2.0</x:v>
      </x:c>
      <x:c r="N166" s="30" t="str">
        <x:v>LongCat-2.0</x:v>
      </x:c>
      <x:c r="O166" s="30" t="str">
        <x:v>LongCat-2.0</x:v>
      </x:c>
    </x:row>
    <x:row r="167" ht="54" customHeight="1">
      <x:c r="A167" s="30" t="str">
        <x:v>memos_medium:332</x:v>
      </x:c>
      <x:c r="B167" s="30" t="str">
        <x:v>sufficient</x:v>
      </x:c>
      <x:c r="C167" s="30" t="str"/>
      <x:c r="D167" s="30" t="str">
        <x:v>Evidence 1 directly states that on Sep 02, 2041, Johnson Joseph attended a business seminar where he was inspired to broaden his reading scope. This fully supports the gold answer 'A business seminar' with no missing material components.</x:v>
      </x:c>
      <x:c r="E167" s="30" t="str">
        <x:v>ua3_representation_or_admission_failure</x:v>
      </x:c>
      <x:c r="F167" s="30" t="str">
        <x:v>correct</x:v>
      </x:c>
      <x:c r="G167" s="30" t="str">
        <x:v>The model answer matches the gold answer exactly, providing the complete and correct information.</x:v>
      </x:c>
      <x:c r="H167" s="30" t="str">
        <x:v>correct</x:v>
      </x:c>
      <x:c r="I167" s="30" t="str">
        <x:v>The model answer matches the gold answer exactly, providing the complete and correct information.</x:v>
      </x:c>
      <x:c r="J167" s="30" t="str">
        <x:v>correct</x:v>
      </x:c>
      <x:c r="K167" s="30" t="str">
        <x:v>The model answer matches the gold answer exactly, providing the complete and correct information.</x:v>
      </x:c>
      <x:c r="L167" s="30" t="str">
        <x:v>LongCat-2.0</x:v>
      </x:c>
      <x:c r="M167" s="30" t="str">
        <x:v>LongCat-2.0</x:v>
      </x:c>
      <x:c r="N167" s="30" t="str">
        <x:v>LongCat-2.0</x:v>
      </x:c>
      <x:c r="O167" s="30" t="str">
        <x:v>LongCat-2.0</x:v>
      </x:c>
    </x:row>
    <x:row r="168" ht="54" customHeight="1">
      <x:c r="A168" s="30" t="str">
        <x:v>memos_medium:2636</x:v>
      </x:c>
      <x:c r="B168" s="30" t="str">
        <x:v>sufficient</x:v>
      </x:c>
      <x:c r="C168" s="30" t="str"/>
      <x:c r="D168" s="30" t="str">
        <x:v>Evidence 1 directly states that Oleksandr's improved health has enabled him to engage more actively with peers and mentors in the legal field. This fully supports the gold answer 'Enabled more active engagement with peers.' The other evidence provides supporting context about his lifestyle and professional network but is not required to derive the answer.</x:v>
      </x:c>
      <x:c r="E168" s="30" t="str">
        <x:v>ua3_representation_or_admission_failure</x:v>
      </x:c>
      <x:c r="F168" s="30" t="str">
        <x:v>correct</x:v>
      </x:c>
      <x:c r="G168" s="30" t="str">
        <x:v>The model answer 'More active engagement' is a concise restatement of the gold answer 'Enabled more active engagement with peers.' It captures the complete semantic meaning without adding false or unsupported information, and the wording difference is acceptable.</x:v>
      </x:c>
      <x:c r="H168" s="30" t="str">
        <x:v>correct</x:v>
      </x:c>
      <x:c r="I168" s="30" t="str">
        <x:v>The model answer 'More active engagement' is a concise restatement of the gold answer 'Enabled more active engagement with peers,' conveying the same semantic meaning without adding false or unsupported information.</x:v>
      </x:c>
      <x:c r="J168" s="30" t="str">
        <x:v>correct</x:v>
      </x:c>
      <x:c r="K168" s="30" t="str">
        <x:v>The model answer 'More active engagement' is a concise restatement of the gold answer 'Enabled more active engagement with peers.' It captures the complete semantic meaning without adding false or unsupported information.</x:v>
      </x:c>
      <x:c r="L168" s="30" t="str">
        <x:v>LongCat-2.0</x:v>
      </x:c>
      <x:c r="M168" s="30" t="str">
        <x:v>LongCat-2.0</x:v>
      </x:c>
      <x:c r="N168" s="30" t="str">
        <x:v>LongCat-2.0</x:v>
      </x:c>
      <x:c r="O168" s="30" t="str">
        <x:v>LongCat-2.0</x:v>
      </x:c>
    </x:row>
    <x:row r="169" ht="54" customHeight="1">
      <x:c r="A169" s="30" t="str">
        <x:v>memos_medium:670</x:v>
      </x:c>
      <x:c r="B169" s="30" t="str">
        <x:v>insufficient</x:v>
      </x:c>
      <x:c r="C169" s="30" t="str">
        <x:v>The evidence does not mention any new genre Sarah Garcia might explore after Sep 11, 2039, nor does it mention indie music or any connection between her appreciation for creative pop music and a future genre shift to indie music.</x:v>
      </x:c>
      <x:c r="D169" s="30" t="str">
        <x:v>The gold answer claims Sarah Garcia might explore 'indie music for its artistic complexity' after Sep 11, 2039. The provided evidence only describes her past and current music preferences (uplifting pop, soothing jazz, creative pop) and her appreciation for artistic complexity and emotional depth in pop music. However, there is no information about any future date (Sep 11, 2039), no mention of indie music as a potential next genre, and no indication of what genre she might explore next. The evidence supports that she values artistic complexity, but does not support the specific claim that indie music is the new genre she might explore.</x:v>
      </x:c>
      <x:c r="E169" s="30" t="str">
        <x:v>evidence_definition_failure</x:v>
      </x:c>
      <x:c r="F169" s="30" t="str">
        <x:v>hallucination</x:v>
      </x:c>
      <x:c r="G169" s="30" t="str">
        <x:v>The gold answer specifies 'Indie music for its artistic complexity' as the new genre Sarah Garcia might explore. The model answer 'Jazz music' is a concrete, specific genre that directly contradicts the gold answer and is not supported by it.</x:v>
      </x:c>
      <x:c r="H169" s="30" t="str">
        <x:v>hallucination</x:v>
      </x:c>
      <x:c r="I169" s="30" t="str">
        <x:v>The gold answer specifies 'Indie music for its artistic complexity,' while the model answer provides 'Jazz music,' which is a different, concrete genre that contradicts the gold answer.</x:v>
      </x:c>
      <x:c r="J169" s="30" t="str">
        <x:v>hallucination</x:v>
      </x:c>
      <x:c r="K169" s="30" t="str">
        <x:v>The gold answer specifies 'Indie music for its artistic complexity,' while the model answer provides 'Jazz music,' which is a different, concrete genre that contradicts the gold answer.</x:v>
      </x:c>
      <x:c r="L169" s="30" t="str">
        <x:v>LongCat-2.0</x:v>
      </x:c>
      <x:c r="M169" s="30" t="str">
        <x:v>LongCat-2.0</x:v>
      </x:c>
      <x:c r="N169" s="30" t="str">
        <x:v>LongCat-2.0</x:v>
      </x:c>
      <x:c r="O169" s="30" t="str">
        <x:v>LongCat-2.0</x:v>
      </x:c>
    </x:row>
    <x:row r="170" ht="54" customHeight="1">
      <x:c r="A170" s="30" t="str">
        <x:v>memos_medium:2306</x:v>
      </x:c>
      <x:c r="B170" s="30" t="str">
        <x:v>sufficient</x:v>
      </x:c>
      <x:c r="C170" s="30" t="str"/>
      <x:c r="D170" s="30" t="str">
        <x:v>The gold answer is 'By securing funding and talent.' Evidence 1 explicitly states that Williams Daniel plans to leverage his international acclaim to secure funding and talent for exploring new historical themes. This directly supports both material components of the gold answer: 'funding' and 'talent.' Evidence 2 provides additional context about his future film projects but is not needed to derive the answer. The complete gold answer is directly derivable from the evidence.</x:v>
      </x:c>
      <x:c r="E170" s="30" t="str">
        <x:v>ua3_representation_or_admission_failure</x:v>
      </x:c>
      <x:c r="F170" s="30" t="str">
        <x:v>correct</x:v>
      </x:c>
      <x:c r="G170" s="30" t="str">
        <x:v>The model answer 'Secure funding and talent' is a direct, semantically complete match to the gold answer 'By securing funding and talent,' with only minor wording differences (imperative vs. gerund form).</x:v>
      </x:c>
      <x:c r="H170" s="30" t="str">
        <x:v>correct</x:v>
      </x:c>
      <x:c r="I170" s="30" t="str">
        <x:v>The model answer 'Secure funding and talent' is a direct, semantically equivalent rephrasing of the gold answer 'By securing funding and talent.' It captures the complete meaning without adding or omitting any information.</x:v>
      </x:c>
      <x:c r="J170" s="30" t="str">
        <x:v>correct</x:v>
      </x:c>
      <x:c r="K170" s="30" t="str">
        <x:v>The model answer 'Secure funding and talent' is a direct, semantically complete match to the gold answer 'By securing funding and talent,' with only minor wording differences (imperative vs. prepositional phrasing).</x:v>
      </x:c>
      <x:c r="L170" s="30" t="str">
        <x:v>LongCat-2.0</x:v>
      </x:c>
      <x:c r="M170" s="30" t="str">
        <x:v>LongCat-2.0</x:v>
      </x:c>
      <x:c r="N170" s="30" t="str">
        <x:v>LongCat-2.0</x:v>
      </x:c>
      <x:c r="O170" s="30" t="str">
        <x:v>LongCat-2.0</x:v>
      </x:c>
    </x:row>
    <x:row r="171" ht="54" customHeight="1">
      <x:c r="A171" s="30" t="str">
        <x:v>memos_long:2700</x:v>
      </x:c>
      <x:c r="B171" s="30" t="str">
        <x:v>sufficient</x:v>
      </x:c>
      <x:c r="C171" s="30" t="str">
        <x:v>none</x:v>
      </x:c>
      <x:c r="D171" s="30" t="str">
        <x:v>Evidence 1 directly states that Oleksandr Shevchenko attended a wellness retreat on March 10, 2034, and discovered the benefits of yoga. This fully supports the gold answer 'Yoga' as the activity discovered, with no missing material components.</x:v>
      </x:c>
      <x:c r="E171" s="30" t="str">
        <x:v>robust_generation_failure</x:v>
      </x:c>
      <x:c r="F171" s="30" t="str">
        <x:v>hallucination</x:v>
      </x:c>
      <x:c r="G171" s="30" t="str">
        <x:v>The gold answer is 'Yoga' (the activity discovered). The model answer 'The benefits of yoga' is a concrete answer that shifts the focus from the activity itself to its benefits, which is unsupported and incorrect material relative to the gold answer.</x:v>
      </x:c>
      <x:c r="H171" s="30" t="str">
        <x:v>hallucination</x:v>
      </x:c>
      <x:c r="I171" s="30" t="str">
        <x:v>The gold answer is 'Yoga' (the activity discovered). The model answer states 'The benefits of yoga,' which is a concrete claim about what was discovered that is not supported by the gold answer. The gold answer specifies the activity itself, not its benefits, making this a hallucination.</x:v>
      </x:c>
      <x:c r="J171" s="30" t="str">
        <x:v>hallucination</x:v>
      </x:c>
      <x:c r="K171" s="30" t="str">
        <x:v>The gold answer is 'Yoga' (the activity discovered). The model answer 'The benefits of yoga' is a concrete answer that shifts the focus from the activity itself to its benefits, which is unsupported and incorrect material relative to the gold answer.</x:v>
      </x:c>
      <x:c r="L171" s="30" t="str">
        <x:v>LongCat-2.0</x:v>
      </x:c>
      <x:c r="M171" s="30" t="str">
        <x:v>LongCat-2.0</x:v>
      </x:c>
      <x:c r="N171" s="30" t="str">
        <x:v>LongCat-2.0</x:v>
      </x:c>
      <x:c r="O171" s="30" t="str">
        <x:v>LongCat-2.0</x:v>
      </x:c>
    </x:row>
    <x:row r="172" ht="54" customHeight="1">
      <x:c r="A172" s="30" t="str">
        <x:v>memos_long:2113</x:v>
      </x:c>
      <x:c r="B172" s="30" t="str">
        <x:v>sufficient</x:v>
      </x:c>
      <x:c r="C172" s="30" t="str"/>
      <x:c r="D172" s="30" t="str">
        <x:v>Evidence 1 directly states that Sharon Brown plans to incorporate puzzle games into her routine to enhance her strategic thinking skills, which will be invaluable in her mentoring role at the sports academy. This explicitly supports the gold answer that she plans to enhance her mentoring role at the sports academy with puzzle games. All material components of the gold answer are present and directly derivable from the evidence.</x:v>
      </x:c>
      <x:c r="E172" s="30" t="str">
        <x:v>ua3_representation_or_admission_failure</x:v>
      </x:c>
      <x:c r="F172" s="30" t="str">
        <x:v>correct</x:v>
      </x:c>
      <x:c r="G172" s="30" t="str">
        <x:v>The model answer 'Mentoring role at sports academy' is semantically identical to the gold answer 'Mentoring role at the sports academy.' The only difference is the omission of the article 'the,' which does not change the meaning or completeness of the answer.</x:v>
      </x:c>
      <x:c r="H172" s="30" t="str">
        <x:v>correct</x:v>
      </x:c>
      <x:c r="I172" s="30" t="str">
        <x:v>The model answer 'Mentoring role at sports academy' is semantically identical to the gold answer 'Mentoring role at the sports academy.' The only difference is the omission of the article 'the,' which does not change the meaning or completeness of the answer.</x:v>
      </x:c>
      <x:c r="J172" s="30" t="str">
        <x:v>correct</x:v>
      </x:c>
      <x:c r="K172" s="30" t="str">
        <x:v>The model answer 'Mentoring role at sports academy' is semantically equivalent to the gold answer 'Mentoring role at the sports academy.' The only difference is the omission of the article 'the,' which does not change the meaning or completeness of the answer.</x:v>
      </x:c>
      <x:c r="L172" s="30" t="str">
        <x:v>LongCat-2.0</x:v>
      </x:c>
      <x:c r="M172" s="30" t="str">
        <x:v>LongCat-2.0</x:v>
      </x:c>
      <x:c r="N172" s="30" t="str">
        <x:v>LongCat-2.0</x:v>
      </x:c>
      <x:c r="O172" s="30" t="str">
        <x:v>LongCat-2.0</x:v>
      </x:c>
    </x:row>
    <x:row r="173" ht="54" customHeight="1">
      <x:c r="A173" s="30" t="str">
        <x:v>memos_long:3329</x:v>
      </x:c>
      <x:c r="B173" s="30" t="str">
        <x:v>sufficient</x:v>
      </x:c>
      <x:c r="C173" s="30" t="str">
        <x:v>none</x:v>
      </x:c>
      <x:c r="D173" s="30" t="str">
        <x:v>Evidence 1 directly states that Christopher is interested in environmental documentaries, which matches the gold answer exactly. No additional information is needed to derive the answer.</x:v>
      </x:c>
      <x:c r="E173" s="30" t="str">
        <x:v>ua3_representation_or_admission_failure</x:v>
      </x:c>
      <x:c r="F173" s="30" t="str">
        <x:v>correct</x:v>
      </x:c>
      <x:c r="G173" s="30" t="str">
        <x:v>The model answer 'Environmental documentaries' matches the benchmark gold answer exactly, providing the complete and correct information.</x:v>
      </x:c>
      <x:c r="H173" s="30" t="str">
        <x:v>correct</x:v>
      </x:c>
      <x:c r="I173" s="30" t="str">
        <x:v>The model answer 'Environmental documentaries' matches the benchmark gold answer exactly, providing the complete and correct information.</x:v>
      </x:c>
      <x:c r="J173" s="30" t="str">
        <x:v>correct</x:v>
      </x:c>
      <x:c r="K173" s="30" t="str">
        <x:v>The model answer 'Environmental documentaries' matches the benchmark gold answer exactly, providing the complete and correct information.</x:v>
      </x:c>
      <x:c r="L173" s="30" t="str">
        <x:v>LongCat-2.0</x:v>
      </x:c>
      <x:c r="M173" s="30" t="str">
        <x:v>LongCat-2.0</x:v>
      </x:c>
      <x:c r="N173" s="30" t="str">
        <x:v>LongCat-2.0</x:v>
      </x:c>
      <x:c r="O173" s="30" t="str">
        <x:v>LongCat-2.0</x:v>
      </x:c>
    </x:row>
    <x:row r="174" ht="54" customHeight="1">
      <x:c r="A174" s="30" t="str">
        <x:v>memos_medium:1370</x:v>
      </x:c>
      <x:c r="B174" s="30" t="str">
        <x:v>insufficient</x:v>
      </x:c>
      <x:c r="C174" s="30" t="str">
        <x:v>The evidence does not mention progressive rock, musical complexity, or a blend of styles as a potential next genre for Ananya to explore.</x:v>
      </x:c>
      <x:c r="D174" s="30" t="str">
        <x:v>The gold answer claims Ananya might explore progressive rock due to its complexity and blend of styles. The provided evidence only establishes that Ananya developed a liking for symphonic metal, that it challenged her previous assumptions, and that she contemplates how it could broaden her understanding of musical genres. While the evidence suggests she is open to exploring new genres, it contains no information about progressive rock, its characteristics, or any connection between her interest in symphonic metal and progressive rock specifically. The material components of the gold answer (progressive rock, complexity, blend of styles) are entirely absent from the evidence.</x:v>
      </x:c>
      <x:c r="E174" s="30" t="str">
        <x:v>evidence_definition_failure</x:v>
      </x:c>
      <x:c r="F174" s="30" t="str">
        <x:v>hallucination</x:v>
      </x:c>
      <x:c r="G174" s="30" t="str">
        <x:v>The gold answer is 'Progressive rock, due to its complexity and blend of styles.' The model answer 'Symphonic metal' is a concrete answer that contradicts the gold answer, as it repeats the genre Ananya is already interested in rather than suggesting a new genre she might explore next.</x:v>
      </x:c>
      <x:c r="H174" s="30" t="str">
        <x:v>hallucination</x:v>
      </x:c>
      <x:c r="I174"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J174" s="30" t="str">
        <x:v>hallucination</x:v>
      </x:c>
      <x:c r="K174" s="30" t="str">
        <x:v>The gold answer is 'Progressive rock', but the model answered 'Symphonic metal', which is a concrete answer that contradicts the gold answer.</x:v>
      </x:c>
      <x:c r="L174" s="30" t="str">
        <x:v>LongCat-2.0</x:v>
      </x:c>
      <x:c r="M174" s="30" t="str">
        <x:v>LongCat-2.0</x:v>
      </x:c>
      <x:c r="N174" s="30" t="str">
        <x:v>LongCat-2.0</x:v>
      </x:c>
      <x:c r="O174" s="30" t="str">
        <x:v>LongCat-2.0</x:v>
      </x:c>
    </x:row>
    <x:row r="175" ht="54" customHeight="1">
      <x:c r="A175" s="30" t="str">
        <x:v>memos_medium:1757</x:v>
      </x:c>
      <x:c r="B175" s="30" t="str">
        <x:v>sufficient</x:v>
      </x:c>
      <x:c r="C175" s="30" t="str"/>
      <x:c r="D175" s="30" t="str">
        <x:v>The gold answer states that Susan Thompson's salary increase 'enhanced her capacity to support other women.' Evidence 2 directly states that Susan discussed the potential for her financial boost to 'enhance her ability to inspire and support other women,' which matches the gold answer almost verbatim. Evidence 1 and Evidence 3 provide additional supporting context about her plans to allocate increased income toward wellness initiatives and leverage her financial stability for expanding wellness projects. Together, the evidence fully supports every material component of the gold answer through direct statements and ordinary reasoning.</x:v>
      </x:c>
      <x:c r="E175" s="30" t="str">
        <x:v>robust_generation_failure</x:v>
      </x:c>
      <x:c r="F175" s="30" t="str">
        <x:v>omission</x:v>
      </x:c>
      <x:c r="G175" s="30" t="str">
        <x:v>The model answer 'Enhanced her ability to inspire' is vague and incomplete compared to the gold answer, which specifies that the salary increase enhanced her capacity to support other women. The model answer omits the key detail about supporting other women, providing only a generic subset of the gold answer without adding false claims.</x:v>
      </x:c>
      <x:c r="H175" s="30" t="str">
        <x:v>omission</x:v>
      </x:c>
      <x:c r="I175" s="30" t="str">
        <x:v>The model answer 'Enhanced her ability to inspire' captures part of the gold answer's meaning but omits the specific detail that the support was directed toward 'other women,' which is a key element of the complete gold answer.</x:v>
      </x:c>
      <x:c r="J175" s="30" t="str">
        <x:v>omission</x:v>
      </x:c>
      <x:c r="K175" s="30" t="str">
        <x:v>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x:v>
      </x:c>
      <x:c r="L175" s="30" t="str">
        <x:v>LongCat-2.0</x:v>
      </x:c>
      <x:c r="M175" s="30" t="str">
        <x:v>LongCat-2.0</x:v>
      </x:c>
      <x:c r="N175" s="30" t="str">
        <x:v>LongCat-2.0</x:v>
      </x:c>
      <x:c r="O175" s="30" t="str">
        <x:v>LongCat-2.0</x:v>
      </x:c>
    </x:row>
    <x:row r="176" ht="54" customHeight="1">
      <x:c r="A176" s="30" t="str">
        <x:v>memos_long:3071</x:v>
      </x:c>
      <x:c r="B176" s="30" t="str">
        <x:v>sufficient</x:v>
      </x:c>
      <x:c r="C176" s="30" t="str"/>
      <x:c r="D176" s="30" t="str">
        <x:v>The gold answer has two material components: (1) combining meditation with yoga sessions, and (2) the purpose of mental clarity and peace. Evidence 2 establishes that yoga is part of Karen's sports preferences, so combining meditation with yoga is derivable. Evidence 3 explicitly states Karen's determination to integrate meditation for enhanced mental clarity and peace, directly supporting the purpose component. Together, these evidence items fully support the complete gold answer.</x:v>
      </x:c>
      <x:c r="E176" s="30" t="str">
        <x:v>robust_generation_failure</x:v>
      </x:c>
      <x:c r="F176" s="30" t="str">
        <x:v>omission</x:v>
      </x:c>
      <x:c r="G176"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x:v>
      </x:c>
      <x:c r="H176" s="30" t="str">
        <x:v>omission</x:v>
      </x:c>
      <x:c r="I176"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any false claim, so it is not a hallucination, but it fails to provide the complete semantic content of the gold answer.</x:v>
      </x:c>
      <x:c r="J176" s="30" t="str">
        <x:v>omission</x:v>
      </x:c>
      <x:c r="K176"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x:v>
      </x:c>
      <x:c r="L176" s="30" t="str">
        <x:v>LongCat-2.0</x:v>
      </x:c>
      <x:c r="M176" s="30" t="str">
        <x:v>LongCat-2.0</x:v>
      </x:c>
      <x:c r="N176" s="30" t="str">
        <x:v>LongCat-2.0</x:v>
      </x:c>
      <x:c r="O176" s="30" t="str">
        <x:v>LongCat-2.0</x:v>
      </x:c>
    </x:row>
    <x:row r="177" ht="54" customHeight="1">
      <x:c r="A177" s="30" t="str">
        <x:v>memos_long:2156</x:v>
      </x:c>
      <x:c r="B177" s="30" t="str">
        <x:v>sufficient</x:v>
      </x:c>
      <x:c r="C177" s="30" t="str"/>
      <x:c r="D177" s="30" t="str">
        <x:v>Evidence 1 directly states that Sharon Brown's monthly income is $15,000, which exactly matches the benchmark gold answer. No additional information is needed to derive the complete answer.</x:v>
      </x:c>
      <x:c r="E177" s="30" t="str">
        <x:v>ua3_representation_or_admission_failure</x:v>
      </x:c>
      <x:c r="F177" s="30" t="str">
        <x:v>correct</x:v>
      </x:c>
      <x:c r="G177" s="30" t="str">
        <x:v>The model answer exactly matches the benchmark gold answer of $15,000, providing the complete and correct information.</x:v>
      </x:c>
      <x:c r="H177" s="30" t="str">
        <x:v>correct</x:v>
      </x:c>
      <x:c r="I177" s="30" t="str">
        <x:v>The model answer exactly matches the benchmark gold answer of $15,000, providing the complete and correct information.</x:v>
      </x:c>
      <x:c r="J177" s="30" t="str">
        <x:v>correct</x:v>
      </x:c>
      <x:c r="K177" s="30" t="str">
        <x:v>The model answer exactly matches the benchmark gold answer of $15,000, providing the complete and correct information.</x:v>
      </x:c>
      <x:c r="L177" s="30" t="str">
        <x:v>LongCat-2.0</x:v>
      </x:c>
      <x:c r="M177" s="30" t="str">
        <x:v>LongCat-2.0</x:v>
      </x:c>
      <x:c r="N177" s="30" t="str">
        <x:v>LongCat-2.0</x:v>
      </x:c>
      <x:c r="O177" s="30" t="str">
        <x:v>LongCat-2.0</x:v>
      </x:c>
    </x:row>
    <x:row r="178" ht="54" customHeight="1">
      <x:c r="A178" s="30" t="str">
        <x:v>memos_long:1622</x:v>
      </x:c>
      <x:c r="B178" s="30" t="str">
        <x:v>sufficient</x:v>
      </x:c>
      <x:c r="C178" s="30" t="str"/>
      <x:c r="D178" s="30" t="str">
        <x:v>Evidence 1 directly states that Susan decided to incorporate mild spices into her meals, which matches the gold answer exactly. The evidence provides the specific type of spices (mild) and the context (to aid digestion and reduce bloating), fully supporting the material component of the answer.</x:v>
      </x:c>
      <x:c r="E178" s="30" t="str">
        <x:v>ua3_representation_or_admission_failure</x:v>
      </x:c>
      <x:c r="F178" s="30" t="str">
        <x:v>correct</x:v>
      </x:c>
      <x:c r="G178" s="30" t="str">
        <x:v>The model answer 'Mild spices' exactly matches the benchmark gold answer 'Mild spices', providing the complete and correct information.</x:v>
      </x:c>
      <x:c r="H178" s="30" t="str">
        <x:v>correct</x:v>
      </x:c>
      <x:c r="I178" s="30" t="str">
        <x:v>The model answer 'Mild spices' exactly matches the benchmark gold answer 'Mild spices', providing the complete and correct information.</x:v>
      </x:c>
      <x:c r="J178" s="30" t="str">
        <x:v>correct</x:v>
      </x:c>
      <x:c r="K178" s="30" t="str">
        <x:v>The model answer 'Mild spices' exactly matches the benchmark gold answer 'Mild spices', providing the complete and correct information.</x:v>
      </x:c>
      <x:c r="L178" s="30" t="str">
        <x:v>LongCat-2.0</x:v>
      </x:c>
      <x:c r="M178" s="30" t="str">
        <x:v>LongCat-2.0</x:v>
      </x:c>
      <x:c r="N178" s="30" t="str">
        <x:v>LongCat-2.0</x:v>
      </x:c>
      <x:c r="O178" s="30" t="str">
        <x:v>LongCat-2.0</x:v>
      </x:c>
    </x:row>
    <x:row r="179" ht="54" customHeight="1">
      <x:c r="A179" s="30" t="str">
        <x:v>memos_long:483</x:v>
      </x:c>
      <x:c r="B179" s="30" t="str">
        <x:v>sufficient</x:v>
      </x:c>
      <x:c r="C179" s="30" t="str"/>
      <x:c r="D179" s="30" t="str">
        <x:v>Evidence 1 directly states that Donald Brown transitioned to a consultancy role 'to leverage his expertise more flexibly and maintain a better work-life balance,' which maps exactly to all three material components of the gold answer: flexibility, work-life balance, and leveraging expertise. Evidence 2 and 3 provide additional supporting context but are not required to derive the answer. The complete gold answer is directly derivable from the evidence.</x:v>
      </x:c>
      <x:c r="E179" s="30" t="str">
        <x:v>robust_generation_failure</x:v>
      </x:c>
      <x:c r="F179" s="30" t="str">
        <x:v>omission</x:v>
      </x:c>
      <x:c r="G179" s="30" t="str">
        <x:v>The model answer provides two of the three reasons (flexibility and work-life balance) but omits the third reason (leveraging expertise) without adding any false or contradictory information.</x:v>
      </x:c>
      <x:c r="H179" s="30" t="str">
        <x:v>omission</x:v>
      </x:c>
      <x:c r="I179" s="30" t="str">
        <x:v>The model answer includes 'Flexibility' and 'better work-life balance' but omits the third reason 'leveraging expertise' from the gold answer. Since it provides only an incomplete subset without adding a false claim, it is an omission.</x:v>
      </x:c>
      <x:c r="J179" s="30" t="str">
        <x:v>omission</x:v>
      </x:c>
      <x:c r="K179" s="30" t="str">
        <x:v>The model answer provides two of the three reasons from the gold answer (flexibility and work-life balance) but omits the third reason (leveraging expertise) without adding any false or contradictory information.</x:v>
      </x:c>
      <x:c r="L179" s="30" t="str">
        <x:v>LongCat-2.0</x:v>
      </x:c>
      <x:c r="M179" s="30" t="str">
        <x:v>LongCat-2.0</x:v>
      </x:c>
      <x:c r="N179" s="30" t="str">
        <x:v>LongCat-2.0</x:v>
      </x:c>
      <x:c r="O179" s="30" t="str">
        <x:v>LongCat-2.0</x:v>
      </x:c>
    </x:row>
    <x:row r="180" ht="54" customHeight="1">
      <x:c r="A180" s="30" t="str">
        <x:v>memos_long:332</x:v>
      </x:c>
      <x:c r="B180" s="30" t="str">
        <x:v>sufficient</x:v>
      </x:c>
      <x:c r="C180" s="30" t="str"/>
      <x:c r="D180" s="30" t="str">
        <x:v>Evidence 1 explicitly states that on Sep 02, 2041, Johnson Joseph attended a business seminar where he was inspired to broaden his reading scope. This directly supports the gold answer 'A business seminar' and contains all material components needed to derive it.</x:v>
      </x:c>
      <x:c r="E180" s="30" t="str">
        <x:v>ua3_representation_or_admission_failure</x:v>
      </x:c>
      <x:c r="F180" s="30" t="str">
        <x:v>correct</x:v>
      </x:c>
      <x:c r="G180" s="30" t="str">
        <x:v>The model answer matches the gold answer exactly, providing the complete and correct information.</x:v>
      </x:c>
      <x:c r="H180" s="30" t="str">
        <x:v>correct</x:v>
      </x:c>
      <x:c r="I180" s="30" t="str">
        <x:v>The model answer exactly matches the gold answer, providing the complete and correct information without any contradiction or omission.</x:v>
      </x:c>
      <x:c r="J180" s="30" t="str">
        <x:v>correct</x:v>
      </x:c>
      <x:c r="K180" s="30" t="str">
        <x:v>The model answer matches the gold answer exactly, providing the complete and correct information.</x:v>
      </x:c>
      <x:c r="L180" s="30" t="str">
        <x:v>LongCat-2.0</x:v>
      </x:c>
      <x:c r="M180" s="30" t="str">
        <x:v>LongCat-2.0</x:v>
      </x:c>
      <x:c r="N180" s="30" t="str">
        <x:v>LongCat-2.0</x:v>
      </x:c>
      <x:c r="O180" s="30" t="str">
        <x:v>LongCat-2.0</x:v>
      </x:c>
    </x:row>
    <x:row r="181" ht="54" customHeight="1">
      <x:c r="A181" s="30" t="str">
        <x:v>memos_long:1176</x:v>
      </x:c>
      <x:c r="B181" s="30" t="str">
        <x:v>sufficient</x:v>
      </x:c>
      <x:c r="C181" s="30" t="str"/>
      <x:c r="D181" s="30" t="str">
        <x:v>Evidence 1 directly states that Taylor emphasized collaboration with international organizations when seeking advice on navigating upcoming obstacles in nutrition advocacy. This explicitly supports the gold answer 'Collaboration with international organizations' as a priority for maintaining his advocacy goals. Evidence 2 reinforces Taylor's commitment to his advocacy goals, providing context that supports the prioritization. Together, the evidence fully supports the complete gold answer.</x:v>
      </x:c>
      <x:c r="E181" s="30" t="str">
        <x:v>ua3_representation_or_admission_failure</x:v>
      </x:c>
      <x:c r="F181" s="30" t="str">
        <x:v>correct</x:v>
      </x:c>
      <x:c r="G181" s="30" t="str">
        <x:v>The model answer exactly matches the benchmark gold answer, providing the complete and correct response without any contradiction or omission.</x:v>
      </x:c>
      <x:c r="H181" s="30" t="str">
        <x:v>correct</x:v>
      </x:c>
      <x:c r="I181" s="30" t="str">
        <x:v>The model answer exactly matches the benchmark gold answer 'Collaboration with international organizations,' providing the complete semantic content with identical wording.</x:v>
      </x:c>
      <x:c r="J181" s="30" t="str">
        <x:v>correct</x:v>
      </x:c>
      <x:c r="K181" s="30" t="str">
        <x:v>The model answer exactly matches the benchmark gold answer 'Collaboration with international organizations,' providing the complete semantic content without any contradiction, omission, or unsupported material.</x:v>
      </x:c>
      <x:c r="L181" s="30" t="str">
        <x:v>LongCat-2.0</x:v>
      </x:c>
      <x:c r="M181" s="30" t="str">
        <x:v>LongCat-2.0</x:v>
      </x:c>
      <x:c r="N181" s="30" t="str">
        <x:v>LongCat-2.0</x:v>
      </x:c>
      <x:c r="O181" s="30" t="str">
        <x:v>LongCat-2.0</x:v>
      </x:c>
    </x:row>
    <x:row r="182" ht="54" customHeight="1">
      <x:c r="A182" s="30" t="str">
        <x:v>memos_medium:2480</x:v>
      </x:c>
      <x:c r="B182" s="30" t="str">
        <x:v>sufficient</x:v>
      </x:c>
      <x:c r="C182" s="30" t="str"/>
      <x:c r="D182" s="30" t="str">
        <x:v>Evidence 2 establishes that Steven Miller's music preferences changed after attending a live music event on February 22, 2029. Evidence 1 shows he expressed curiosity about how his evolving music preferences might influence his leisure activities. Together, these support the inference that his shift in music preferences could lead him to explore more diverse music genres as a leisure activity, which is the complete gold answer.</x:v>
      </x:c>
      <x:c r="E182" s="30" t="str">
        <x:v>robust_generation_failure</x:v>
      </x:c>
      <x:c r="F182" s="30" t="str">
        <x:v>hallucination</x:v>
      </x:c>
      <x:c r="G182"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H182" s="30" t="str">
        <x:v>hallucination</x:v>
      </x:c>
      <x:c r="I182" s="30" t="str">
        <x:v>The gold answer states that Steven Miller may explore more diverse music genres, which is a general and open-ended outcome of a shift in music preferences. The model answer specifies 'Attend more country events,' which introduces a concrete, specific claim (focusing on country music events) that is not supported by or semantically equivalent to the gold answer. This constitutes unsupported/incorrect material, making it a hallucination.</x:v>
      </x:c>
      <x:c r="J182" s="30" t="str">
        <x:v>hallucination</x:v>
      </x:c>
      <x:c r="K182"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L182" s="30" t="str">
        <x:v>LongCat-2.0</x:v>
      </x:c>
      <x:c r="M182" s="30" t="str">
        <x:v>LongCat-2.0</x:v>
      </x:c>
      <x:c r="N182" s="30" t="str">
        <x:v>LongCat-2.0</x:v>
      </x:c>
      <x:c r="O182" s="30" t="str">
        <x:v>LongCat-2.0</x:v>
      </x:c>
    </x:row>
    <x:row r="183" ht="54" customHeight="1">
      <x:c r="A183" s="30" t="str">
        <x:v>memos_long:9</x:v>
      </x:c>
      <x:c r="B183" s="30" t="str">
        <x:v>sufficient</x:v>
      </x:c>
      <x:c r="C183" s="30" t="str">
        <x:v>none</x:v>
      </x:c>
      <x:c r="D183" s="30" t="str">
        <x:v>Evidence 1 supports 'Dogs', Evidence 2 supports 'Cats', and Evidence 3 supports 'Parrots'. Together, all three material components of the gold answer 'Dogs, cats, and parrots' are directly derivable from the provided evidence.</x:v>
      </x:c>
      <x:c r="E183" s="30" t="str">
        <x:v>ua3_representation_or_admission_failure</x:v>
      </x:c>
      <x:c r="F183" s="30" t="str">
        <x:v>correct</x:v>
      </x:c>
      <x:c r="G183" s="30" t="str">
        <x:v>The model answer 'Dogs, cats, and parrots' is semantically identical to the gold answer 'Dogs, cats, and parrots.' The only difference is the absence of a period at the end, which is a minor punctuation variation that does not affect the semantic completeness of the answer.</x:v>
      </x:c>
      <x:c r="H183" s="30" t="str">
        <x:v>correct</x:v>
      </x:c>
      <x:c r="I183" s="30" t="str">
        <x:v>The model answer 'Dogs, cats, and parrots' is semantically identical to the gold answer 'Dogs, cats, and parrots.' The only difference is the absence of a period, which is a minor punctuation variation that does not affect the meaning. The answer is complete and contains no false or unsupported claims.</x:v>
      </x:c>
      <x:c r="J183" s="30" t="str">
        <x:v>correct</x:v>
      </x:c>
      <x:c r="K183" s="30" t="str">
        <x:v>The model answer lists the same three pet types as the gold answer (dogs, cats, and parrots), with only a minor punctuation difference (missing period), which does not affect semantic completeness.</x:v>
      </x:c>
      <x:c r="L183" s="30" t="str">
        <x:v>LongCat-2.0</x:v>
      </x:c>
      <x:c r="M183" s="30" t="str">
        <x:v>LongCat-2.0</x:v>
      </x:c>
      <x:c r="N183" s="30" t="str">
        <x:v>LongCat-2.0</x:v>
      </x:c>
      <x:c r="O183" s="30" t="str">
        <x:v>LongCat-2.0</x:v>
      </x:c>
    </x:row>
    <x:row r="184" ht="54" customHeight="1">
      <x:c r="A184" s="30" t="str">
        <x:v>memos_long:190</x:v>
      </x:c>
      <x:c r="B184" s="30" t="str">
        <x:v>partial</x:v>
      </x:c>
      <x:c r="C184" s="30" t="str">
        <x:v>The evidence does not specify that Johnson would enjoy chess specifically; it only mentions a general interest in strategy-based games, which could include many activities beyond chess.</x:v>
      </x:c>
      <x:c r="D184" s="30" t="str">
        <x:v>The gold answer claims Johnson might enjoy chess as a new leisure activity. The evidence supports that Johnson has an interest in strategy-based games, which is a material component of the answer. However, chess is a specific strategy game, and the evidence does not narrow the broad category of 'strategy-based games' down to chess specifically. Therefore, only some material components are supported, making this partial.</x:v>
      </x:c>
      <x:c r="E184" s="30" t="str">
        <x:v>evidence_definition_failure</x:v>
      </x:c>
      <x:c r="F184" s="30" t="str">
        <x:v>omission</x:v>
      </x:c>
      <x:c r="G184" s="30" t="str">
        <x:v>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x:v>
      </x:c>
      <x:c r="H184" s="30" t="str">
        <x:v>omission</x:v>
      </x:c>
      <x:c r="I184" s="30" t="str">
        <x:v>The model answer 'Playing strategy-based games' is too vague and does not provide the specific concrete answer 'chess' given in the gold answer. It only offers a general category rather than a specific new leisure activity, making it an incomplete subset of the gold answer.</x:v>
      </x:c>
      <x:c r="J184" s="30" t="str">
        <x:v>omission</x:v>
      </x:c>
      <x:c r="K184" s="30" t="str">
        <x:v>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x:v>
      </x:c>
      <x:c r="L184" s="30" t="str">
        <x:v>LongCat-2.0</x:v>
      </x:c>
      <x:c r="M184" s="30" t="str">
        <x:v>LongCat-2.0</x:v>
      </x:c>
      <x:c r="N184" s="30" t="str">
        <x:v>LongCat-2.0</x:v>
      </x:c>
      <x:c r="O184" s="30" t="str">
        <x:v>LongCat-2.0</x:v>
      </x:c>
    </x:row>
    <x:row r="185" ht="54" customHeight="1">
      <x:c r="A185" s="30" t="str">
        <x:v>memos_medium:3235</x:v>
      </x:c>
      <x:c r="B185" s="30" t="str">
        <x:v>sufficient</x:v>
      </x:c>
      <x:c r="C185" s="30" t="str"/>
      <x:c r="D185" s="30" t="str">
        <x:v>Evidence 1 directly states that Barbara's expanded social network includes Olivia White, who provides insights into global heart health initiatives. This fully supports the gold answer that her expanded social network supports her career by providing insights into global heart health initiatives. Evidence 2 further corroborates the network's role in enhancing strategic impact. Together, the evidence contains all material components needed to derive the gold answer.</x:v>
      </x:c>
      <x:c r="E185" s="30" t="str">
        <x:v>robust_generation_failure</x:v>
      </x:c>
      <x:c r="F185" s="30" t="str">
        <x:v>omission</x:v>
      </x:c>
      <x:c r="G185" s="30" t="str">
        <x:v>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x:v>
      </x:c>
      <x:c r="H185" s="30" t="str">
        <x:v>omission</x:v>
      </x:c>
      <x:c r="I185" s="30" t="str">
        <x:v>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x:v>
      </x:c>
      <x:c r="J185" s="30" t="str">
        <x:v>omission</x:v>
      </x:c>
      <x:c r="K185" s="30" t="str">
        <x:v>The model answer 'Enhances strategic impact and insights' is vague and does not provide the specific information contained in the gold answer about 'global heart health initiatives.' It offers only a generic, incomplete subset of the expected answer without adding a concrete false claim, making it an omission.</x:v>
      </x:c>
      <x:c r="L185" s="30" t="str">
        <x:v>LongCat-2.0</x:v>
      </x:c>
      <x:c r="M185" s="30" t="str">
        <x:v>LongCat-2.0</x:v>
      </x:c>
      <x:c r="N185" s="30" t="str">
        <x:v>LongCat-2.0</x:v>
      </x:c>
      <x:c r="O185" s="30" t="str">
        <x:v>LongCat-2.0</x:v>
      </x:c>
    </x:row>
    <x:row r="186" ht="54" customHeight="1">
      <x:c r="A186" s="30" t="str">
        <x:v>memos_long:567</x:v>
      </x:c>
      <x:c r="B186" s="30" t="str">
        <x:v>sufficient</x:v>
      </x:c>
      <x:c r="C186" s="30" t="str">
        <x:v>None. The evidence directly supports that Sarah Garcia is interested in clothing combining functionality (practicality, versatility) with fashion (stylish designs, making an impact through fashion).</x:v>
      </x:c>
      <x:c r="D186" s="30" t="str">
        <x:v>Evidence 1 states she likes stylish cargo pants due to designs offering practicality and fashion. Evidence 2 notes she appreciates versatility and functionality aligning with making a positive impact through fashion. Evidence 3 confirms her openness to explore new styles. Together, these directly support the gold answer that she is interested in clothing combining functionality with fashion.</x:v>
      </x:c>
      <x:c r="E186" s="30" t="str">
        <x:v>robust_generation_failure</x:v>
      </x:c>
      <x:c r="F186" s="30" t="str">
        <x:v>omission</x:v>
      </x:c>
      <x:c r="G186"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x:v>
      </x:c>
      <x:c r="H186" s="30" t="str">
        <x:v>omission</x:v>
      </x:c>
      <x:c r="I186"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x:v>
      </x:c>
      <x:c r="J186" s="30" t="str">
        <x:v>omission</x:v>
      </x:c>
      <x:c r="K186"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x:v>
      </x:c>
      <x:c r="L186" s="30" t="str">
        <x:v>LongCat-2.0</x:v>
      </x:c>
      <x:c r="M186" s="30" t="str">
        <x:v>LongCat-2.0</x:v>
      </x:c>
      <x:c r="N186" s="30" t="str">
        <x:v>LongCat-2.0</x:v>
      </x:c>
      <x:c r="O186" s="30" t="str">
        <x:v>LongCat-2.0</x:v>
      </x:c>
    </x:row>
    <x:row r="187" ht="54" customHeight="1">
      <x:c r="A187" s="30" t="str">
        <x:v>memos_medium:3441</x:v>
      </x:c>
      <x:c r="B187" s="30" t="str">
        <x:v>sufficient</x:v>
      </x:c>
      <x:c r="C187" s="30" t="str"/>
      <x:c r="D187" s="30" t="str">
        <x:v>The gold answer is 'Diverse literary genres for entertainment and escapism.' Evidence 1 states: 'Christopher decided to explore diverse literary genres for entertainment and escapism, setting aside self-help books temporarily.' This directly contains every material component of the gold answer: the subject (Christopher), the action (decided to explore), the object (diverse literary genres), and the purpose (for entertainment and escapism). The evidence fully supports and directly derives the complete gold answer.</x:v>
      </x:c>
      <x:c r="E187" s="30" t="str">
        <x:v>robust_generation_failure</x:v>
      </x:c>
      <x:c r="F187" s="30" t="str">
        <x:v>omission</x:v>
      </x:c>
      <x:c r="G187" s="30" t="str">
        <x:v>The model answer 'Diverse literary genres' captures the core of the gold answer but omits the purpose 'for entertainment and escapism,' making it an incomplete subset of the full gold answer.</x:v>
      </x:c>
      <x:c r="H187" s="30" t="str">
        <x:v>omission</x:v>
      </x:c>
      <x:c r="I187" s="30" t="str">
        <x:v>The model answer 'Diverse literary genres' captures the core of the gold answer but omits the purpose 'for entertainment and escapism,' making it an incomplete subset of the full gold answer.</x:v>
      </x:c>
      <x:c r="J187" s="30" t="str">
        <x:v>omission</x:v>
      </x:c>
      <x:c r="K187" s="30" t="str">
        <x:v>The model answer 'Diverse literary genres' captures the core of the gold answer but omits the purpose 'for entertainment and escapism,' making it an incomplete subset of the full gold answer.</x:v>
      </x:c>
      <x:c r="L187" s="30" t="str">
        <x:v>LongCat-2.0</x:v>
      </x:c>
      <x:c r="M187" s="30" t="str">
        <x:v>LongCat-2.0</x:v>
      </x:c>
      <x:c r="N187" s="30" t="str">
        <x:v>LongCat-2.0</x:v>
      </x:c>
      <x:c r="O187" s="30" t="str">
        <x:v>LongCat-2.0</x:v>
      </x:c>
    </x:row>
    <x:row r="188" ht="54" customHeight="1">
      <x:c r="A188" s="30" t="str">
        <x:v>memos_long:1212</x:v>
      </x:c>
      <x:c r="B188" s="30" t="str">
        <x:v>sufficient</x:v>
      </x:c>
      <x:c r="C188" s="30" t="str"/>
      <x:c r="D188" s="30" t="str">
        <x:v>Evidence 1 explicitly states that Taylor David adopted comprehensive wellness strategies, including mindfulness and balanced nutrition, which directly supports both material components of the gold answer. Evidence 2 confirms his health status changed to 'Recovered', supporting the recovery aspect. Together, the evidence fully supports the complete gold answer.</x:v>
      </x:c>
      <x:c r="E188" s="30" t="str">
        <x:v>ua3_representation_or_admission_failure</x:v>
      </x:c>
      <x:c r="F188" s="30" t="str">
        <x:v>correct</x:v>
      </x:c>
      <x:c r="G188"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H188" s="30" t="str">
        <x:v>correct</x:v>
      </x:c>
      <x:c r="I188"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J188" s="30" t="str">
        <x:v>correct</x:v>
      </x:c>
      <x:c r="K188"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L188" s="30" t="str">
        <x:v>LongCat-2.0</x:v>
      </x:c>
      <x:c r="M188" s="30" t="str">
        <x:v>LongCat-2.0</x:v>
      </x:c>
      <x:c r="N188" s="30" t="str">
        <x:v>LongCat-2.0</x:v>
      </x:c>
      <x:c r="O188" s="30" t="str">
        <x:v>LongCat-2.0</x:v>
      </x:c>
    </x:row>
    <x:row r="189" ht="54" customHeight="1">
      <x:c r="A189" s="30" t="str">
        <x:v>memos_medium:797</x:v>
      </x:c>
      <x:c r="B189" s="30" t="str">
        <x:v>sufficient</x:v>
      </x:c>
      <x:c r="C189" s="30" t="str"/>
      <x:c r="D189" s="30" t="str">
        <x:v>Evidence 1 directly states that Donna Gonzalez 'decided to no longer actively dislike them [romotion novels],' which matches the gold answer exactly. The evidence also provides the date context (May 16, 2032) and the reasoning behind her decision, fully supporting every material component of the gold answer.</x:v>
      </x:c>
      <x:c r="E189" s="30" t="str">
        <x:v>ua3_representation_or_admission_failure</x:v>
      </x:c>
      <x:c r="F189" s="30" t="str">
        <x:v>correct</x:v>
      </x:c>
      <x:c r="G189" s="30" t="str">
        <x:v>The model answer 'No longer actively dislike them' is a semantically complete match to the gold answer 'She decided to no longer actively dislike them.' The only difference is the omission of the subject 'She decided to', which does not change the meaning or introduce any false information. The core decision is fully captured.</x:v>
      </x:c>
      <x:c r="H189" s="30" t="str">
        <x:v>correct</x:v>
      </x:c>
      <x:c r="I189" s="30" t="str">
        <x:v>The model answer 'No longer actively dislike them' is a semantically complete match to the gold answer 'She decided to no longer actively dislike them.' The omission of the subject 'She decided to' does not change the meaning or introduce any false claim; it simply provides the core decision in a more concise form.</x:v>
      </x:c>
      <x:c r="J189" s="30" t="str">
        <x:v>correct</x:v>
      </x:c>
      <x:c r="K189" s="30" t="str">
        <x:v>The model answer 'No longer actively dislike them' is a semantically complete match to the gold answer 'She decided to no longer actively dislike them.' The only difference is the omission of the subject 'She decided to', which does not change the meaning or introduce any false or unsupported information. The core decision is fully captured.</x:v>
      </x:c>
      <x:c r="L189" s="30" t="str">
        <x:v>LongCat-2.0</x:v>
      </x:c>
      <x:c r="M189" s="30" t="str">
        <x:v>LongCat-2.0</x:v>
      </x:c>
      <x:c r="N189" s="30" t="str">
        <x:v>LongCat-2.0</x:v>
      </x:c>
      <x:c r="O189" s="30" t="str">
        <x:v>LongCat-2.0</x:v>
      </x:c>
    </x:row>
    <x:row r="190" ht="54" customHeight="1">
      <x:c r="A190" s="30" t="str">
        <x:v>memos_medium:2388</x:v>
      </x:c>
      <x:c r="B190" s="30" t="str">
        <x:v>sufficient</x:v>
      </x:c>
      <x:c r="C190" s="30" t="str">
        <x:v>None. The evidence directly supports that Williams Daniel would appreciate the cultural impact of new culturally significant foods despite personal taste preferences, as it shows his established pattern of valuing cultural significance over personal taste (energy drinks) and his interest in cultural aspects for historical accuracy.</x:v>
      </x:c>
      <x:c r="D190" s="30" t="str">
        <x:v>The gold answer states that Williams Daniel would appreciate the cultural impact of new culturally significant foods despite personal taste preferences. Evidence 1 and 3 establish that he appreciates cultural significance despite personal taste dislike (using energy drinks as the example). Evidence 2 confirms his interest in exploring cultural aspects for historical accuracy. Together, these three pieces of evidence directly support every material component of the gold answer: (1) appreciation of cultural impact, (2) despite personal taste preferences, and (3) the connection to his interest in historical authenticity. The evidence is sufficient to derive the complete gold answer through ordinary reasoning.</x:v>
      </x:c>
      <x:c r="E190" s="30" t="str">
        <x:v>robust_generation_failure</x:v>
      </x:c>
      <x:c r="F190" s="30" t="str">
        <x:v>omission</x:v>
      </x:c>
      <x:c r="G190" s="30" t="str">
        <x:v>The model answer 'Explore cultural significance first' captures part of the gold answer's idea about cultural impact but omits the key element that Williams Daniel would appreciate the foods despite personal taste preferences. It provides only an incomplete subset of the gold answer.</x:v>
      </x:c>
      <x:c r="H190" s="30" t="str">
        <x:v>omission</x:v>
      </x:c>
      <x:c r="I190" s="30" t="str">
        <x:v>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x:v>
      </x:c>
      <x:c r="J190" s="30" t="str">
        <x:v>omission</x:v>
      </x:c>
      <x:c r="K190" s="30" t="str">
        <x:v>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x:v>
      </x:c>
      <x:c r="L190" s="30" t="str">
        <x:v>LongCat-2.0</x:v>
      </x:c>
      <x:c r="M190" s="30" t="str">
        <x:v>LongCat-2.0</x:v>
      </x:c>
      <x:c r="N190" s="30" t="str">
        <x:v>LongCat-2.0</x:v>
      </x:c>
      <x:c r="O190" s="30" t="str">
        <x:v>LongCat-2.0</x:v>
      </x:c>
    </x:row>
    <x:row r="191" ht="54" customHeight="1">
      <x:c r="A191" s="30" t="str">
        <x:v>memos_long:50</x:v>
      </x:c>
      <x:c r="B191" s="30" t="str">
        <x:v>sufficient</x:v>
      </x:c>
      <x:c r="C191" s="30" t="str">
        <x:v>none</x:v>
      </x:c>
      <x:c r="D191" s="30" t="str">
        <x:v>The gold answer states that support from his social network influenced Martin's decision to take a sabbatical instead of retiring early. Evidence 1 directly states that Martin decided to take a sabbatical instead of retiring, influenced by support from his social network. Evidence 2 and Evidence 3 further elaborate on how his social network provided emotional support, alternative perspectives, guidance, and support during his decision. All three pieces of evidence together fully support and directly derive the complete gold answer, covering every material component: the subject (Martin), the decision (sabbatical instead of retiring), and the reason (support from his social network).</x:v>
      </x:c>
      <x:c r="E191" s="30" t="str">
        <x:v>ua3_representation_or_admission_failure</x:v>
      </x:c>
      <x:c r="F191" s="30" t="str">
        <x:v>correct</x:v>
      </x:c>
      <x:c r="G191" s="30" t="str">
        <x:v>The model answer 'Influenced by his social network' semantically captures the complete meaning of the gold answer 'Support from his social network influenced him,' with only minor wording differences.</x:v>
      </x:c>
      <x:c r="H191" s="30" t="str">
        <x:v>correct</x:v>
      </x:c>
      <x:c r="I191" s="30" t="str">
        <x:v>The model answer 'Influenced by his social network' semantically conveys the complete gold answer 'Support from his social network influenced him.' The wording differs slightly, but the core meaning—that his social network influenced his decision—is fully preserved without any contradiction or unsupported material.</x:v>
      </x:c>
      <x:c r="J191" s="30" t="str">
        <x:v>correct</x:v>
      </x:c>
      <x:c r="K191" s="30" t="str">
        <x:v>The model answer 'Influenced by his social network' semantically captures the complete meaning of the gold answer 'Support from his social network influenced him,' with only minor wording differences.</x:v>
      </x:c>
      <x:c r="L191" s="30" t="str">
        <x:v>LongCat-2.0</x:v>
      </x:c>
      <x:c r="M191" s="30" t="str">
        <x:v>LongCat-2.0</x:v>
      </x:c>
      <x:c r="N191" s="30" t="str">
        <x:v>LongCat-2.0</x:v>
      </x:c>
      <x:c r="O191" s="30" t="str">
        <x:v>LongCat-2.0</x:v>
      </x:c>
    </x:row>
    <x:row r="192" ht="54" customHeight="1">
      <x:c r="A192" s="30" t="str">
        <x:v>memos_medium:499</x:v>
      </x:c>
      <x:c r="B192" s="30" t="str">
        <x:v>sufficient</x:v>
      </x:c>
      <x:c r="C192" s="30" t="str">
        <x:v>None. The evidence directly states that Donald Brown updated his preference to 'appreciating its storytelling charm,' which fully supports the gold answer of a neutral stance appreciating its storytelling charm.</x:v>
      </x:c>
      <x:c r="D192" s="30" t="str">
        <x:v>Evidence 1 explicitly states that Donald Brown updated his music preference from disliking country music to 'appreciating its storytelling charm.' This directly supports both material components of the gold answer: the neutral stance (updated from dislike to appreciation) and the specific reason (storytiating its storytelling charm). No additional information is needed.</x:v>
      </x:c>
      <x:c r="E192" s="30" t="str">
        <x:v>robust_generation_failure</x:v>
      </x:c>
      <x:c r="F192" s="30" t="str">
        <x:v>omission</x:v>
      </x:c>
      <x:c r="G192" s="30" t="str">
        <x:v>The model answer captures the positive aspect ('appreciates its storytelling charm') but omits the key qualifier 'neutral stance' from the gold answer, making it an incomplete subset.</x:v>
      </x:c>
      <x:c r="H192" s="30" t="str">
        <x:v>omission</x:v>
      </x:c>
      <x:c r="I192" s="30" t="str">
        <x:v>The model answer captures the positive aspect ('appreciates its storytelling charm') but omits the key qualifier 'neutral stance' from the gold answer, making it an incomplete subset.</x:v>
      </x:c>
      <x:c r="J192" s="30" t="str">
        <x:v>omission</x:v>
      </x:c>
      <x:c r="K192" s="30" t="str">
        <x:v>The model answer captures the positive aspect ('appreciates its storytelling charm') but omits the key qualifier 'neutral stance' from the gold answer, making it an incomplete subset.</x:v>
      </x:c>
      <x:c r="L192" s="30" t="str">
        <x:v>LongCat-2.0</x:v>
      </x:c>
      <x:c r="M192" s="30" t="str">
        <x:v>LongCat-2.0</x:v>
      </x:c>
      <x:c r="N192" s="30" t="str">
        <x:v>LongCat-2.0</x:v>
      </x:c>
      <x:c r="O192" s="30" t="str">
        <x:v>LongCat-2.0</x:v>
      </x:c>
    </x:row>
    <x:row r="193" ht="54" customHeight="1">
      <x:c r="A193" s="30" t="str">
        <x:v>memos_medium:972</x:v>
      </x:c>
      <x:c r="B193" s="30" t="str">
        <x:v>sufficient</x:v>
      </x:c>
      <x:c r="C193" s="30" t="str"/>
      <x:c r="D193" s="30" t="str">
        <x:v>Evidence 1 directly states Donna expressed excitement about discovering healthier processed snack options made with natural ingredients at a health expo, which directly supports the gold answer that she might prefer snacks made with natural ingredients. Evidence 2 reinforces this by showing Donna's preference shift toward snacks with natural components and away from highly processed snacks with unhealthy ingredients. Together, both pieces of evidence fully support every material component of the gold answer through direct statements and ordinary reasoning about Donna's preferences at a health expo.</x:v>
      </x:c>
      <x:c r="E193" s="30" t="str">
        <x:v>robust_generation_failure</x:v>
      </x:c>
      <x:c r="F193" s="30" t="str">
        <x:v>hallucination</x:v>
      </x:c>
      <x:c r="G193"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H193" s="30" t="str">
        <x:v>hallucination</x:v>
      </x:c>
      <x:c r="I193" s="30" t="str">
        <x:v>The gold answer specifies 'snacks made with natural ingredients,' which implies whole or minimally processed foods. The model answer 'Natural processed snacks' introduces the concept of 'processed,' which contradicts the spirit of the gold answer by implying a level of processing that is not supported by and is inconsistent with the gold answer's emphasis on natural ingredients.</x:v>
      </x:c>
      <x:c r="J193" s="30" t="str">
        <x:v>hallucination</x:v>
      </x:c>
      <x:c r="K193"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L193" s="30" t="str">
        <x:v>LongCat-2.0</x:v>
      </x:c>
      <x:c r="M193" s="30" t="str">
        <x:v>LongCat-2.0</x:v>
      </x:c>
      <x:c r="N193" s="30" t="str">
        <x:v>LongCat-2.0</x:v>
      </x:c>
      <x:c r="O193" s="30" t="str">
        <x:v>LongCat-2.0</x:v>
      </x:c>
    </x:row>
    <x:row r="194" ht="54" customHeight="1">
      <x:c r="A194" s="30" t="str">
        <x:v>memos_long:1245</x:v>
      </x:c>
      <x:c r="B194" s="30" t="str">
        <x:v>sufficient</x:v>
      </x:c>
      <x:c r="C194" s="30" t="str"/>
      <x:c r="D194" s="30" t="str">
        <x:v>Evidence 1 states Taylor David was laid off and became 'Unemployed', but Evidence 2 states he subsequently 'secured a new position in nutrition advocacy'. Together, these event memories show that as of the most recent event, Taylor David is employed in nutrition advocacy, which directly matches the gold answer 'Employed in nutrition advocacy'.</x:v>
      </x:c>
      <x:c r="E194" s="30" t="str">
        <x:v>ua3_representation_or_admission_failure</x:v>
      </x:c>
      <x:c r="F194" s="30" t="str">
        <x:v>correct</x:v>
      </x:c>
      <x:c r="G194" s="30" t="str">
        <x:v>The model answer matches the gold answer exactly in meaning and wording, stating that Taylor David is employed in nutrition advocacy.</x:v>
      </x:c>
      <x:c r="H194" s="30" t="str">
        <x:v>correct</x:v>
      </x:c>
      <x:c r="I194" s="30" t="str">
        <x:v>The model answer matches the gold answer exactly in meaning and wording, stating that Taylor David is employed in nutrition advocacy.</x:v>
      </x:c>
      <x:c r="J194" s="30" t="str">
        <x:v>correct</x:v>
      </x:c>
      <x:c r="K194" s="30" t="str">
        <x:v>The model answer exactly matches the gold answer, stating that Taylor David is employed in nutrition advocacy.</x:v>
      </x:c>
      <x:c r="L194" s="30" t="str">
        <x:v>LongCat-2.0</x:v>
      </x:c>
      <x:c r="M194" s="30" t="str">
        <x:v>LongCat-2.0</x:v>
      </x:c>
      <x:c r="N194" s="30" t="str">
        <x:v>LongCat-2.0</x:v>
      </x:c>
      <x:c r="O194" s="30" t="str">
        <x:v>LongCat-2.0</x:v>
      </x:c>
    </x:row>
    <x:row r="195" ht="54" customHeight="1">
      <x:c r="A195" s="30" t="str">
        <x:v>memos_long:1294</x:v>
      </x:c>
      <x:c r="B195" s="30" t="str">
        <x:v>sufficient</x:v>
      </x:c>
      <x:c r="C195" s="30" t="str"/>
      <x:c r="D195" s="30" t="str">
        <x:v>The gold answer is 'A family visit to the zoo.' Evidence 1 states that 'Ananya Sharma visited the zoo with her family,' which directly supports both material components: the event (a visit to the zoo) and the participants (family). No additional information is needed to derive the complete gold answer.</x:v>
      </x:c>
      <x:c r="E195" s="30" t="str">
        <x:v>ua3_representation_or_admission_failure</x:v>
      </x:c>
      <x:c r="F195" s="30" t="str">
        <x:v>correct</x:v>
      </x:c>
      <x:c r="G195" s="30" t="str">
        <x:v>The model answer 'Zoo visit with family' conveys the same meaning as the gold answer 'A family visit to the zoo,' with only minor wording differences. No information is omitted or contradicted.</x:v>
      </x:c>
      <x:c r="H195" s="30" t="str">
        <x:v>correct</x:v>
      </x:c>
      <x:c r="I195" s="30" t="str">
        <x:v>The model answer 'Zoo visit with family' conveys the same meaning as the gold answer 'A family visit to the zoo,' with only minor wording differences. It is semantically complete and does not add any false or unsupported information.</x:v>
      </x:c>
      <x:c r="J195" s="30" t="str">
        <x:v>correct</x:v>
      </x:c>
      <x:c r="K195" s="30" t="str">
        <x:v>The model answer 'Zoo visit with family' conveys the same meaning as the gold answer 'A family visit to the zoo.' Both describe the same event (going to the zoo) with the same participants (family), with only minor wording differences.</x:v>
      </x:c>
      <x:c r="L195" s="30" t="str">
        <x:v>LongCat-2.0</x:v>
      </x:c>
      <x:c r="M195" s="30" t="str">
        <x:v>LongCat-2.0</x:v>
      </x:c>
      <x:c r="N195" s="30" t="str">
        <x:v>LongCat-2.0</x:v>
      </x:c>
      <x:c r="O195" s="30" t="str">
        <x:v>LongCat-2.0</x:v>
      </x:c>
    </x:row>
    <x:row r="196" ht="54" customHeight="1">
      <x:c r="A196" s="30" t="str">
        <x:v>memos_long:2906</x:v>
      </x:c>
      <x:c r="B196" s="30" t="str">
        <x:v>sufficient</x:v>
      </x:c>
      <x:c r="C196" s="30" t="str"/>
      <x:c r="D196" s="30" t="str">
        <x:v>The gold answer has two material components: (1) developing strategic plans and (2) maintaining strong network relationships. Evidence 1 directly supports the first component, stating Donald expressed determination to continue developing strategic plans for sustained success and political influence, focusing on ensuring his relative's legacy. Evidence 3 directly supports the second component, stating Donald emphasized the importance of maintaining strong relationships within his network for sustained success and political influence. Evidence 2 provides additional context about Donald's emotional motivation but is not required to derive the answer. Together, Evidence 1 and Evidence 3 fully cover both material components of the gold answer.</x:v>
      </x:c>
      <x:c r="E196" s="30" t="str">
        <x:v>robust_generation_failure</x:v>
      </x:c>
      <x:c r="F196" s="30" t="str">
        <x:v>hallucination</x:v>
      </x:c>
      <x:c r="G196" s="30" t="str">
        <x:v>The model answer replaces 'maintain strong network relationships' with 'political influence,' which is a concrete claim not supported by the gold answer and changes the meaning of the strategy.</x:v>
      </x:c>
      <x:c r="H196" s="30" t="str">
        <x:v>hallucination</x:v>
      </x:c>
      <x:c r="I196" s="30" t="str">
        <x:v>The gold answer specifies 'strategic plans and maintain strong network relationships.' The model answer includes 'strategic plans' (a partial match) but replaces 'maintain strong network relationships' with 'political influence,' which is a concrete claim not supported by the gold answer and alters the meaning of the second strategy.</x:v>
      </x:c>
      <x:c r="J196" s="30" t="str">
        <x:v>hallucination</x:v>
      </x:c>
      <x:c r="K196" s="30" t="str">
        <x:v>The model answer replaces 'maintain strong network relationships' with 'political influence,' which is a concrete claim not supported by the gold answer and changes the meaning of the strategy.</x:v>
      </x:c>
      <x:c r="L196" s="30" t="str">
        <x:v>LongCat-2.0</x:v>
      </x:c>
      <x:c r="M196" s="30" t="str">
        <x:v>LongCat-2.0</x:v>
      </x:c>
      <x:c r="N196" s="30" t="str">
        <x:v>LongCat-2.0</x:v>
      </x:c>
      <x:c r="O196" s="30" t="str">
        <x:v>LongCat-2.0</x:v>
      </x:c>
    </x:row>
    <x:row r="197" ht="54" customHeight="1">
      <x:c r="A197" s="30" t="str">
        <x:v>memos_medium:2883</x:v>
      </x:c>
      <x:c r="B197" s="30" t="str">
        <x:v>sufficient</x:v>
      </x:c>
      <x:c r="C197" s="30" t="str">
        <x:v>None. The evidence directly states that Donald Smith is focused on enhancing his consultancy's reputation, which matches the gold answer exactly.</x:v>
      </x:c>
      <x:c r="D197" s="30" t="str">
        <x:v>Evidence 1 explicitly states that Donald Smith is focused on enhancing his consultancy's reputation by showcasing successful campaign strategies and client testimonials. This directly supports the gold answer 'Enhancing his consultancy's reputation' with no missing material components.</x:v>
      </x:c>
      <x:c r="E197" s="30" t="str">
        <x:v>ua3_representation_or_admission_failure</x:v>
      </x:c>
      <x:c r="F197" s="30" t="str">
        <x:v>correct</x:v>
      </x:c>
      <x:c r="G197" s="30" t="str">
        <x:v>The model answer 'Enhancing consultancy reputation' is a semantically complete match to the gold answer 'Enhancing his consultancy's reputation', with only minor wording differences (omission of 'his' and the possessive form) that do not change the meaning.</x:v>
      </x:c>
      <x:c r="H197" s="30" t="str">
        <x:v>correct</x:v>
      </x:c>
      <x:c r="I197" s="30" t="str">
        <x:v>The model answer 'Enhancing consultancy reputation' is a semantically complete match to the gold answer 'Enhancing his consultancy's reputation'. The wording differs slightly (omitting 'his' and using the singular form), but the core meaning is fully preserved without any contradiction or unsupported material.</x:v>
      </x:c>
      <x:c r="J197" s="30" t="str">
        <x:v>correct</x:v>
      </x:c>
      <x:c r="K197" s="30" t="str">
        <x:v>The model answer 'Enhancing consultancy reputation' is a semantically complete match to the gold answer 'Enhancing his consultancy's reputation'. The omission of the possessive 'his' does not change the meaning or introduce any false claim, and the core focus is fully captured.</x:v>
      </x:c>
      <x:c r="L197" s="30" t="str">
        <x:v>LongCat-2.0</x:v>
      </x:c>
      <x:c r="M197" s="30" t="str">
        <x:v>LongCat-2.0</x:v>
      </x:c>
      <x:c r="N197" s="30" t="str">
        <x:v>LongCat-2.0</x:v>
      </x:c>
      <x:c r="O197" s="30" t="str">
        <x:v>LongCat-2.0</x:v>
      </x:c>
    </x:row>
    <x:row r="198" ht="54" customHeight="1">
      <x:c r="A198" s="30" t="str">
        <x:v>memos_medium:1239</x:v>
      </x:c>
      <x:c r="B198" s="30" t="str">
        <x:v>sufficient</x:v>
      </x:c>
      <x:c r="C198" s="30" t="str">
        <x:v>none</x:v>
      </x:c>
      <x:c r="D198" s="30" t="str">
        <x:v>The gold answer is 'Films that address societal issues.' Evidence 1 directly states that 'Taylor David appreciates films that address societal issues,' which fully and exactly matches the gold answer. No material component is missing, and the evidence is authoritative and sufficient to derive the complete answer.</x:v>
      </x:c>
      <x:c r="E198" s="30" t="str">
        <x:v>ua3_representation_or_admission_failure</x:v>
      </x:c>
      <x:c r="F198" s="30" t="str">
        <x:v>correct</x:v>
      </x:c>
      <x:c r="G198" s="30" t="str">
        <x:v>The model answer 'Films addressing societal issues' is semantically equivalent to the gold answer 'Films that address societal issues,' conveying the complete meaning with only minor wording differences.</x:v>
      </x:c>
      <x:c r="H198" s="30" t="str">
        <x:v>correct</x:v>
      </x:c>
      <x:c r="I198" s="30" t="str">
        <x:v>The model answer 'Films addressing societal issues' is semantically equivalent to the gold answer 'Films that address societal issues.' The wording differs slightly but conveys the complete meaning without contradiction or omission.</x:v>
      </x:c>
      <x:c r="J198" s="30" t="str">
        <x:v>correct</x:v>
      </x:c>
      <x:c r="K198" s="30" t="str">
        <x:v>The model answer 'Films addressing societal issues' is semantically equivalent to the gold answer 'Films that address societal issues,' conveying the complete meaning with only minor wording differences.</x:v>
      </x:c>
      <x:c r="L198" s="30" t="str">
        <x:v>LongCat-2.0</x:v>
      </x:c>
      <x:c r="M198" s="30" t="str">
        <x:v>LongCat-2.0</x:v>
      </x:c>
      <x:c r="N198" s="30" t="str">
        <x:v>LongCat-2.0</x:v>
      </x:c>
      <x:c r="O198" s="30" t="str">
        <x:v>LongCat-2.0</x:v>
      </x:c>
    </x:row>
    <x:row r="199" ht="54" customHeight="1">
      <x:c r="A199" s="30" t="str">
        <x:v>memos_medium:2469</x:v>
      </x:c>
      <x:c r="B199" s="30" t="str">
        <x:v>sufficient</x:v>
      </x:c>
      <x:c r="C199" s="30" t="str">
        <x:v>none</x:v>
      </x:c>
      <x:c r="D199" s="30" t="str">
        <x:v>Evidence 1 directly states that Steven Miller's motivation for maintaining his identity as a successful trader is driven by social signaling and the desire for financial independence. This matches the gold answer exactly, covering both material components: 'social signaling' and 'financial independence'. Evidence 2 provides additional supporting context about financial freedom and strategic planning, which is consistent with the financial independence component. Together, the evidence fully supports the complete gold answer.</x:v>
      </x:c>
      <x:c r="E199" s="30" t="str">
        <x:v>ua3_representation_or_admission_failure</x:v>
      </x:c>
      <x:c r="F199" s="30" t="str">
        <x:v>correct</x:v>
      </x:c>
      <x:c r="G199" s="30" t="str">
        <x:v>The model answer exactly matches the gold answer, providing the complete semantic content without any omissions or contradictions.</x:v>
      </x:c>
      <x:c r="H199" s="30" t="str">
        <x:v>correct</x:v>
      </x:c>
      <x:c r="I199" s="30" t="str">
        <x:v>The model answer exactly matches the gold answer, providing both 'social signaling' and 'financial independence' as motivations.</x:v>
      </x:c>
      <x:c r="J199" s="30" t="str">
        <x:v>correct</x:v>
      </x:c>
      <x:c r="K199" s="30" t="str">
        <x:v>The model answer exactly matches the gold answer, providing the complete semantic content without any omissions or contradictions.</x:v>
      </x:c>
      <x:c r="L199" s="30" t="str">
        <x:v>LongCat-2.0</x:v>
      </x:c>
      <x:c r="M199" s="30" t="str">
        <x:v>LongCat-2.0</x:v>
      </x:c>
      <x:c r="N199" s="30" t="str">
        <x:v>LongCat-2.0</x:v>
      </x:c>
      <x:c r="O199" s="30" t="str">
        <x:v>LongCat-2.0</x:v>
      </x:c>
    </x:row>
    <x:row r="200" ht="54" customHeight="1">
      <x:c r="A200" s="30" t="str">
        <x:v>memos_medium:912</x:v>
      </x:c>
      <x:c r="B200" s="30" t="str">
        <x:v>partial</x:v>
      </x:c>
      <x:c r="C200" s="30" t="str">
        <x:v>The evidence does not explicitly state that Donna's leadership style will become more empathetic; it only shows she seeks empathetic interaction through AI, which suggests but does not directly establish a change in her leadership style.</x:v>
      </x:c>
      <x:c r="D200" s="30" t="str">
        <x:v>Evidence 1 indicates Donna seeks empathetic interaction and emotional support through AI to navigate her leadership role, which implies a potential influence on her leadership style. However, the gold answer specifically claims her leadership 'may become more empathetic,' which requires a causal link between seeking empathetic AI support and developing more empathetic leadership. The evidence supports that she seeks empathy but does not directly establish that this reliance will make her leadership more empathetic. Evidence 2 focuses on task utility and efficiency, which is unrelated to empathy. Thus, some material components are supported but not all.</x:v>
      </x:c>
      <x:c r="E200" s="30" t="str">
        <x:v>evidence_definition_failure</x:v>
      </x:c>
      <x:c r="F200" s="30" t="str">
        <x:v>hallucination</x:v>
      </x:c>
      <x:c r="G200" s="30" t="str">
        <x:v>The gold answer states that Donna's leadership may become more empathetic. The model answer adds 'task-focused,' which is not supported by or present in the gold answer, making it an unsupported addition that constitutes a hallucination.</x:v>
      </x:c>
      <x:c r="H200" s="30" t="str">
        <x:v>hallucination</x:v>
      </x:c>
      <x:c r="I200" s="30" t="str">
        <x:v>The gold answer states that Donna's leadership may become more empathetic. The model answer adds 'task-focused,' which is not supported by the gold answer and constitutes unsupported material.</x:v>
      </x:c>
      <x:c r="J200" s="30" t="str">
        <x:v>hallucination</x:v>
      </x:c>
      <x:c r="K200" s="30" t="str">
        <x:v>The gold answer states that Donna's leadership may become more empathetic. The model answer adds 'task-focused,' which is not supported by or present in the gold answer, making it an unsupported addition that constitutes a hallucination.</x:v>
      </x:c>
      <x:c r="L200" s="30" t="str">
        <x:v>LongCat-2.0</x:v>
      </x:c>
      <x:c r="M200" s="30" t="str">
        <x:v>LongCat-2.0</x:v>
      </x:c>
      <x:c r="N200" s="30" t="str">
        <x:v>LongCat-2.0</x:v>
      </x:c>
      <x:c r="O200" s="30" t="str">
        <x:v>LongCat-2.0</x:v>
      </x:c>
    </x:row>
    <x:row r="201" ht="54" customHeight="1">
      <x:c r="A201" s="30" t="str">
        <x:v>memos_medium:1158</x:v>
      </x:c>
      <x:c r="B201" s="30" t="str">
        <x:v>sufficient</x:v>
      </x:c>
      <x:c r="C201" s="30" t="str">
        <x:v>None. The evidence directly states Taylor David's clothing preference is 'flexible yet fitted clothing,' which matches the gold answer exactly.</x:v>
      </x:c>
      <x:c r="D201" s="30" t="str">
        <x:v>Evidence 1 explicitly states that Taylor David's clothing preference has shifted to include 'flexible yet fitted clothing,' which is identical to the benchmark gold answer. No additional information is needed to derive the complete answer.</x:v>
      </x:c>
      <x:c r="E201" s="30" t="str">
        <x:v>ua3_representation_or_admission_failure</x:v>
      </x:c>
      <x:c r="F201" s="30" t="str">
        <x:v>correct</x:v>
      </x:c>
      <x:c r="G201" s="30" t="str">
        <x:v>The model answer exactly matches the gold answer, providing the complete and correct information about Taylor David's clothing preference.</x:v>
      </x:c>
      <x:c r="H201" s="30" t="str">
        <x:v>correct</x:v>
      </x:c>
      <x:c r="I201" s="30" t="str">
        <x:v>The model answer exactly matches the gold answer in both wording and meaning, providing the complete information requested.</x:v>
      </x:c>
      <x:c r="J201" s="30" t="str">
        <x:v>correct</x:v>
      </x:c>
      <x:c r="K201" s="30" t="str">
        <x:v>The model answer exactly matches the gold answer in both wording and meaning, providing the complete information requested.</x:v>
      </x:c>
      <x:c r="L201" s="30" t="str">
        <x:v>LongCat-2.0</x:v>
      </x:c>
      <x:c r="M201" s="30" t="str">
        <x:v>LongCat-2.0</x:v>
      </x:c>
      <x:c r="N201" s="30" t="str">
        <x:v>LongCat-2.0</x:v>
      </x:c>
      <x:c r="O201" s="30" t="str">
        <x:v>LongCat-2.0</x:v>
      </x:c>
    </x:row>
    <x:row r="202" ht="54" customHeight="1">
      <x:c r="A202" s="30" t="str">
        <x:v>memos_long:1642</x:v>
      </x:c>
      <x:c r="B202" s="30" t="str">
        <x:v>sufficient</x:v>
      </x:c>
      <x:c r="C202" s="30" t="str">
        <x:v>None. The evidence directly supports that Susan Thompson decided to explore more techno music, which is the complete gold answer.</x:v>
      </x:c>
      <x:c r="D202" s="30" t="str">
        <x:v>The gold answer states 'No, she decided to explore more techno music.' Evidence 1 shows her music preference has evolved to include techno tracks. Evidence 2 shows she plans to incorporate slower techno tracks into her daily routine. Evidence 3 explicitly states she expressed excitement about exploring more techno tracks. Together, these pieces of evidence directly support both the negation of avoiding techno and the positive decision to explore more techno music, covering every material component of the gold answer.</x:v>
      </x:c>
      <x:c r="E202" s="30" t="str">
        <x:v>robust_generation_failure</x:v>
      </x:c>
      <x:c r="F202" s="30" t="str">
        <x:v>omission</x:v>
      </x:c>
      <x:c r="G202"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any false claims.</x:v>
      </x:c>
      <x:c r="H202" s="30" t="str">
        <x:v>omission</x:v>
      </x:c>
      <x:c r="I202"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x:v>
      </x:c>
      <x:c r="J202" s="30" t="str">
        <x:v>omission</x:v>
      </x:c>
      <x:c r="K202"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x:v>
      </x:c>
      <x:c r="L202" s="30" t="str">
        <x:v>LongCat-2.0</x:v>
      </x:c>
      <x:c r="M202" s="30" t="str">
        <x:v>LongCat-2.0</x:v>
      </x:c>
      <x:c r="N202" s="30" t="str">
        <x:v>LongCat-2.0</x:v>
      </x:c>
      <x:c r="O202" s="30" t="str">
        <x:v>LongCat-2.0</x:v>
      </x:c>
    </x:row>
    <x:row r="203" ht="54" customHeight="1">
      <x:c r="A203" s="30" t="str">
        <x:v>memos_medium:483</x:v>
      </x:c>
      <x:c r="B203" s="30" t="str">
        <x:v>sufficient</x:v>
      </x:c>
      <x:c r="C203" s="30" t="str"/>
      <x:c r="D203" s="30" t="str">
        <x:v>Evidence 1 directly states that Donald Brown transitioned to a consultancy role 'to leverage his expertise more flexibly and maintain a better work-life balance.' This single piece of evidence contains all three material components of the gold answer: flexibility, work-life balance, and leveraging expertise. Evidence 2 and 3 provide additional context but are not required to derive the answer. The complete gold answer is directly derivable from the provided evidence.</x:v>
      </x:c>
      <x:c r="E203" s="30" t="str">
        <x:v>robust_generation_failure</x:v>
      </x:c>
      <x:c r="F203" s="30" t="str">
        <x:v>omission</x:v>
      </x:c>
      <x:c r="G203" s="30" t="str">
        <x:v>The model answer includes 'Flexibility' and 'better work-life balance' but omits the third reason 'leveraging expertise' from the gold answer. Since it provides only an incomplete subset without adding a false claim, it is an omission.</x:v>
      </x:c>
      <x:c r="H203" s="30" t="str">
        <x:v>omission</x:v>
      </x:c>
      <x:c r="I203" s="30" t="str">
        <x:v>The model answer provides two of the three reasons (flexibility and work-life balance) but omits the third reason (leveraging expertise) without adding any false or contradictory information.</x:v>
      </x:c>
      <x:c r="J203" s="30" t="str">
        <x:v>omission</x:v>
      </x:c>
      <x:c r="K203" s="30" t="str">
        <x:v>The model answer includes 'Flexibility' and 'better work-life balance', which are two of the three reasons in the gold answer, but it omits 'leveraging expertise'. Since it provides only an incomplete subset of the gold answer without adding any false claims, it is classified as an omission.</x:v>
      </x:c>
      <x:c r="L203" s="30" t="str">
        <x:v>LongCat-2.0</x:v>
      </x:c>
      <x:c r="M203" s="30" t="str">
        <x:v>LongCat-2.0</x:v>
      </x:c>
      <x:c r="N203" s="30" t="str">
        <x:v>LongCat-2.0</x:v>
      </x:c>
      <x:c r="O203" s="30" t="str">
        <x:v>LongCat-2.0</x:v>
      </x:c>
    </x:row>
    <x:row r="204" ht="54" customHeight="1">
      <x:c r="A204" s="30" t="str">
        <x:v>memos_medium:1807</x:v>
      </x:c>
      <x:c r="B204" s="30" t="str">
        <x:v>sufficient</x:v>
      </x:c>
      <x:c r="C204" s="30" t="str"/>
      <x:c r="D204" s="30" t="str">
        <x:v>The gold answer has two material components: (1) intellectually stimulating hobbies and (2) alignment with career goals. Evidence 1 states Michelle decided to focus on more intellectually stimulating activities. Evidence 2 states she is motivated to explore hobbies that challenge her intellectually and align with her professional goals. Evidence 3 supports the intellectually stimulating aspect. Evidence 4 supports alignment with career objectives. Together, all material components of the gold answer are directly supported and derivable through ordinary reasoning.</x:v>
      </x:c>
      <x:c r="E204" s="30" t="str">
        <x:v>robust_generation_failure</x:v>
      </x:c>
      <x:c r="F204" s="30" t="str">
        <x:v>omission</x:v>
      </x:c>
      <x:c r="G204"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H204" s="30" t="str">
        <x:v>omission</x:v>
      </x:c>
      <x:c r="I204"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J204" s="30" t="str">
        <x:v>omission</x:v>
      </x:c>
      <x:c r="K204"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L204" s="30" t="str">
        <x:v>LongCat-2.0</x:v>
      </x:c>
      <x:c r="M204" s="30" t="str">
        <x:v>LongCat-2.0</x:v>
      </x:c>
      <x:c r="N204" s="30" t="str">
        <x:v>LongCat-2.0</x:v>
      </x:c>
      <x:c r="O204" s="30" t="str">
        <x:v>LongCat-2.0</x:v>
      </x:c>
    </x:row>
    <x:row r="205" ht="54" customHeight="1">
      <x:c r="A205" s="30" t="str">
        <x:v>memos_medium:838</x:v>
      </x:c>
      <x:c r="B205" s="30" t="str">
        <x:v>sufficient</x:v>
      </x:c>
      <x:c r="C205" s="30" t="str">
        <x:v>none</x:v>
      </x:c>
      <x:c r="D205" s="30" t="str">
        <x:v>Evidence 1 explicitly states that Donna Gonzalez's social network provides both emotional encouragement and professional collaboration opportunities during her transition to part-time work. This directly matches every material component of the gold answer, so the evidence is sufficient to derive the complete answer.</x:v>
      </x:c>
      <x:c r="E205" s="30" t="str">
        <x:v>ua3_representation_or_admission_failure</x:v>
      </x:c>
      <x:c r="F205" s="30" t="str">
        <x:v>correct</x:v>
      </x:c>
      <x:c r="G205" s="30" t="str">
        <x:v>The model answer 'Emotional and professional support' semantically captures the complete gold answer 'Provides emotional encouragement and professional collaboration opportunities.' Both convey emotional support and professional support/collaboration, with only minor wording differences.</x:v>
      </x:c>
      <x:c r="H205" s="30" t="str">
        <x:v>correct</x:v>
      </x:c>
      <x:c r="I205" s="30" t="str">
        <x:v>The model answer 'Emotional and professional support' semantically captures the complete gold answer 'Provides emotional encouragement and professional collaboration opportunities' with different wording. 'Emotional support' corresponds to 'emotional encouragement' and 'professional support' corresponds to 'professional collaboration opportunities'.</x:v>
      </x:c>
      <x:c r="J205" s="30" t="str">
        <x:v>correct</x:v>
      </x:c>
      <x:c r="K205" s="30" t="str">
        <x:v>The model answer 'Emotional and professional support' semantically captures the complete gold answer 'Provides emotional encouragement and professional collaboration opportunities.' Both convey emotional support and professional support/collaboration, with only wording differences.</x:v>
      </x:c>
      <x:c r="L205" s="30" t="str">
        <x:v>LongCat-2.0</x:v>
      </x:c>
      <x:c r="M205" s="30" t="str">
        <x:v>LongCat-2.0</x:v>
      </x:c>
      <x:c r="N205" s="30" t="str">
        <x:v>LongCat-2.0</x:v>
      </x:c>
      <x:c r="O205" s="30" t="str">
        <x:v>LongCat-2.0</x:v>
      </x:c>
    </x:row>
    <x:row r="206" ht="54" customHeight="1">
      <x:c r="A206" s="30" t="str">
        <x:v>memos_medium:2657</x:v>
      </x:c>
      <x:c r="B206" s="30" t="str">
        <x:v>sufficient</x:v>
      </x:c>
      <x:c r="C206" s="30" t="str">
        <x:v>None. The evidence directly supports that Oleksandr's busy schedule led him to reconsider dogs due to inability to provide necessary care, and he feels responsibility to ensure any pet receives proper care. This logically implies he would consider a pet requiring less time commitment than a dog.</x:v>
      </x:c>
      <x:c r="D206" s="30" t="str">
        <x:v>Evidence 1 explicitly states his busy schedule led him to reconsider dogs because he couldn't provide necessary care. Evidence 2 shows he wants any pet to receive proper care. Together, these support the conclusion that he would consider a pet requiring less time commitment than a dog, which is the complete gold answer.</x:v>
      </x:c>
      <x:c r="E206" s="30" t="str">
        <x:v>ua3_representation_or_admission_failure</x:v>
      </x:c>
      <x:c r="F206" s="30" t="str">
        <x:v>correct</x:v>
      </x:c>
      <x:c r="G206" s="30" t="str">
        <x:v>The model answer 'A low-maintenance pet' is semantically equivalent to the gold answer 'A pet requiring less time commitment than a dog.' Both convey the same core idea of a pet that demands minimal care or time, with only a difference in wording.</x:v>
      </x:c>
      <x:c r="H206" s="30" t="str">
        <x:v>correct</x:v>
      </x:c>
      <x:c r="I206" s="30" t="str">
        <x:v>The gold answer states 'A pet requiring less time commitment than a dog,' which is semantically equivalent to 'A low-maintenance pet.' Both convey the same meaning—a pet that demands minimal care and time—with only a difference in wording.</x:v>
      </x:c>
      <x:c r="J206" s="30" t="str">
        <x:v>correct</x:v>
      </x:c>
      <x:c r="K206" s="30" t="str">
        <x:v>The model answer 'A low-maintenance pet' is semantically equivalent to the gold answer 'A pet requiring less time commitment than a dog.' Both convey the same core idea of a pet that demands minimal care and time, with only a difference in wording.</x:v>
      </x:c>
      <x:c r="L206" s="30" t="str">
        <x:v>LongCat-2.0</x:v>
      </x:c>
      <x:c r="M206" s="30" t="str">
        <x:v>LongCat-2.0</x:v>
      </x:c>
      <x:c r="N206" s="30" t="str">
        <x:v>LongCat-2.0</x:v>
      </x:c>
      <x:c r="O206" s="30" t="str">
        <x:v>LongCat-2.0</x:v>
      </x:c>
    </x:row>
    <x:row r="207" ht="54" customHeight="1">
      <x:c r="A207" s="30" t="str">
        <x:v>memos_long:3459</x:v>
      </x:c>
      <x:c r="B207" s="30" t="str">
        <x:v>sufficient</x:v>
      </x:c>
      <x:c r="C207" s="30" t="str"/>
      <x:c r="D207" s="30" t="str">
        <x:v>The gold answer has two material components: (1) Christopher plans to integrate diverse activities, and (2) Christopher plans to mentor new volunteers. Evidence 2 directly supports component 1 by stating Christopher 'plans to strengthen these connections by including more diverse activities.' Evidence 1 directly supports component 2 by stating Christopher has an interest in 'mentoring new volunteers for sustainability.' Together, the evidence fully supports both material components of the gold answer.</x:v>
      </x:c>
      <x:c r="E207" s="30" t="str">
        <x:v>robust_generation_failure</x:v>
      </x:c>
      <x:c r="F207" s="30" t="str">
        <x:v>omission</x:v>
      </x:c>
      <x:c r="G207" s="30" t="str">
        <x:v>The model answer only mentions 'Include diverse activities,' which is an incomplete subset of the gold answer. It omits the key component about mentoring new volunteers, and does not add any concrete false claim.</x:v>
      </x:c>
      <x:c r="H207" s="30" t="str">
        <x:v>omission</x:v>
      </x:c>
      <x:c r="I207" s="30" t="str">
        <x:v>The model answer only mentions 'Include diverse activities,' which is an incomplete subset of the gold answer. It omits the key component about mentoring new volunteers, and does not add any concrete false claim.</x:v>
      </x:c>
      <x:c r="J207" s="30" t="str">
        <x:v>omission</x:v>
      </x:c>
      <x:c r="K207" s="30" t="str">
        <x:v>The model answer only mentions 'Include diverse activities,' which is an incomplete subset of the gold answer. It omits the key component about mentoring new volunteers and does not add any concrete false claim.</x:v>
      </x:c>
      <x:c r="L207" s="30" t="str">
        <x:v>LongCat-2.0</x:v>
      </x:c>
      <x:c r="M207" s="30" t="str">
        <x:v>LongCat-2.0</x:v>
      </x:c>
      <x:c r="N207" s="30" t="str">
        <x:v>LongCat-2.0</x:v>
      </x:c>
      <x:c r="O207" s="30" t="str">
        <x:v>LongCat-2.0</x:v>
      </x:c>
    </x:row>
    <x:row r="208" ht="54" customHeight="1">
      <x:c r="A208" s="30" t="str">
        <x:v>memos_medium:2982</x:v>
      </x:c>
      <x:c r="B208" s="30" t="str">
        <x:v>sufficient</x:v>
      </x:c>
      <x:c r="C208" s="30" t="str">
        <x:v>none</x:v>
      </x:c>
      <x:c r="D208" s="30" t="str">
        <x:v>Evidence 1 directly states that Karen Brown's supportive network provides emotional and practical assistance, which matches the gold answer exactly. Evidence 2 and 3 provide additional context about her career goals and health, but the core answer is fully derivable from Evidence 1 alone. All material components of the gold answer are supported.</x:v>
      </x:c>
      <x:c r="E208" s="30" t="str">
        <x:v>ua3_representation_or_admission_failure</x:v>
      </x:c>
      <x:c r="F208" s="30" t="str">
        <x:v>correct</x:v>
      </x:c>
      <x:c r="G208" s="30" t="str">
        <x:v>The model answer 'Providing emotional and practical assistance' semantically matches the gold answer 'It offers emotional and practical assistance.' Both convey the same complete meaning with only minor wording differences.</x:v>
      </x:c>
      <x:c r="H208" s="30" t="str">
        <x:v>correct</x:v>
      </x:c>
      <x:c r="I208" s="30" t="str">
        <x:v>The model answer 'Providing emotional and practical assistance' semantically matches the gold answer 'It offers emotional and practical assistance,' conveying the same complete meaning with only minor wording differences.</x:v>
      </x:c>
      <x:c r="J208" s="30" t="str">
        <x:v>correct</x:v>
      </x:c>
      <x:c r="K208" s="30" t="str">
        <x:v>The model answer 'Providing emotional and practical assistance' semantically matches the gold answer 'It offers emotional and practical assistance,' conveying the same complete meaning with only minor wording differences.</x:v>
      </x:c>
      <x:c r="L208" s="30" t="str">
        <x:v>LongCat-2.0</x:v>
      </x:c>
      <x:c r="M208" s="30" t="str">
        <x:v>LongCat-2.0</x:v>
      </x:c>
      <x:c r="N208" s="30" t="str">
        <x:v>LongCat-2.0</x:v>
      </x:c>
      <x:c r="O208" s="30" t="str">
        <x:v>LongCat-2.0</x:v>
      </x:c>
    </x:row>
    <x:row r="209" ht="54" customHeight="1">
      <x:c r="A209" s="30" t="str">
        <x:v>memos_medium:1283</x:v>
      </x:c>
      <x:c r="B209" s="30" t="str">
        <x:v>insufficient</x:v>
      </x:c>
      <x:c r="C209" s="30" t="str">
        <x:v>The evidence does not specify when Ananya Sharma discussed these plans or whether it was before or after her salary increase on Nov 18, 2026.</x:v>
      </x:c>
      <x:c r="D209" s="30" t="str">
        <x:v>The gold answer states that Ananya planned to contribute to more major film festivals after her salary increase on Nov 18, 2026. The provided evidence only confirms that she discussed such plans, but contains no temporal information linking the discussion to the salary increase date. Without knowing when the plans were discussed, we cannot determine whether they occurred before or after Nov 18, 2026, making the evidence insufficient to support the gold answer.</x:v>
      </x:c>
      <x:c r="E209" s="30" t="str">
        <x:v>evidence_definition_failure</x:v>
      </x:c>
      <x:c r="F209" s="30" t="str">
        <x:v>hallucination</x:v>
      </x:c>
      <x:c r="G209"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H209" s="30" t="str">
        <x:v>hallucination</x:v>
      </x:c>
      <x:c r="I209"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J209" s="30" t="str">
        <x:v>hallucination</x:v>
      </x:c>
      <x:c r="K209"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L209" s="30" t="str">
        <x:v>LongCat-2.0</x:v>
      </x:c>
      <x:c r="M209" s="30" t="str">
        <x:v>LongCat-2.0</x:v>
      </x:c>
      <x:c r="N209" s="30" t="str">
        <x:v>LongCat-2.0</x:v>
      </x:c>
      <x:c r="O209" s="30" t="str">
        <x:v>LongCat-2.0</x:v>
      </x:c>
    </x:row>
    <x:row r="210" ht="54" customHeight="1">
      <x:c r="A210" s="30" t="str">
        <x:v>memos_long:120</x:v>
      </x:c>
      <x:c r="B210" s="30" t="str">
        <x:v>partial</x:v>
      </x:c>
      <x:c r="C210" s="30" t="str">
        <x:v>The evidence does not mention 'story-rich books' or 'immersive theater experiences' as specific activities Martin might explore next; it only discusses his interest in narrative-driven games.</x:v>
      </x:c>
      <x:c r="D210" s="30" t="str">
        <x:v>The gold answer consists of two material components: 'story-rich books' and 'immersive theater experiences.' The evidence supports that Martin enjoys narrative-driven games for their storytelling, immersive experiences, relaxation, entertainment, and exploratory motivation. While this suggests he might enjoy other narrative-rich activities, the evidence does not specifically mention books or theater. The connection requires an inferential leap beyond what is directly stated, so only the general interest in narrative-driven experiences is supported, not the specific activities named in the gold answer.</x:v>
      </x:c>
      <x:c r="E210" s="30" t="str">
        <x:v>evidence_definition_failure</x:v>
      </x:c>
      <x:c r="F210" s="30" t="str">
        <x:v>omission</x:v>
      </x:c>
      <x:c r="G210" s="30" t="str">
        <x:v>The model answer 'Narrative-driven games' is not a new leisure activity to explore next; it is the same interest Martin already has. The gold answer suggests new but related activities (story-rich books or immersive theater) that build on his existing interest. The model fails to provide a concrete new activity, making this an omission.</x:v>
      </x:c>
      <x:c r="H210" s="30" t="str">
        <x:v>omission</x:v>
      </x:c>
      <x:c r="I210" s="30" t="str">
        <x:v>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x:v>
      </x:c>
      <x:c r="J210" s="30" t="str">
        <x:v>omission</x:v>
      </x:c>
      <x:c r="K210" s="30" t="str">
        <x:v>The model answer 'Narrative-driven games' is not a new leisure activity to explore next, but rather a restatement of the existing interest mentioned in the question. The gold answer provides concrete new activities (story-rich books or immersive theater experiences) that extend from that interest, while the model answer fails to suggest any new direction, making it an incomplete subset without adding a concrete new claim.</x:v>
      </x:c>
      <x:c r="L210" s="30" t="str">
        <x:v>LongCat-2.0</x:v>
      </x:c>
      <x:c r="M210" s="30" t="str">
        <x:v>LongCat-2.0</x:v>
      </x:c>
      <x:c r="N210" s="30" t="str">
        <x:v>LongCat-2.0</x:v>
      </x:c>
      <x:c r="O210" s="30" t="str">
        <x:v>LongCat-2.0</x:v>
      </x:c>
    </x:row>
    <x:row r="211" ht="54" customHeight="1">
      <x:c r="A211" s="30" t="str">
        <x:v>memos_medium:3223</x:v>
      </x:c>
      <x:c r="B211" s="30" t="str">
        <x:v>sufficient</x:v>
      </x:c>
      <x:c r="C211" s="30" t="str"/>
      <x:c r="D211" s="30" t="str">
        <x:v>Evidence 1 directly states that Barbara Jones uses her instrumental motivation to engage with games that offer both entertainment and professional relevance. This covers every material component of the gold answer: the motivation type (instrumental), the purpose (entertainment), and the additional purpose (professional relevance). No information is missing.</x:v>
      </x:c>
      <x:c r="E211" s="30" t="str">
        <x:v>robust_generation_failure</x:v>
      </x:c>
      <x:c r="F211" s="30" t="str">
        <x:v>omission</x:v>
      </x:c>
      <x:c r="G211" s="30" t="str">
        <x:v>The model answer 'Instrumental motivation' captures only a partial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H211" s="30" t="str">
        <x:v>omission</x:v>
      </x:c>
      <x:c r="I211" s="30" t="str">
        <x:v>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J211" s="30" t="str">
        <x:v>omission</x:v>
      </x:c>
      <x:c r="K211" s="30" t="str">
        <x:v>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L211" s="30" t="str">
        <x:v>LongCat-2.0</x:v>
      </x:c>
      <x:c r="M211" s="30" t="str">
        <x:v>LongCat-2.0</x:v>
      </x:c>
      <x:c r="N211" s="30" t="str">
        <x:v>LongCat-2.0</x:v>
      </x:c>
      <x:c r="O211" s="30" t="str">
        <x:v>LongCat-2.0</x:v>
      </x:c>
    </x:row>
    <x:row r="212" ht="54" customHeight="1">
      <x:c r="A212" s="30" t="str">
        <x:v>memos_long:1028</x:v>
      </x:c>
      <x:c r="B212" s="30" t="str">
        <x:v>sufficient</x:v>
      </x:c>
      <x:c r="C212" s="30" t="str">
        <x:v>None. The evidence directly supports both material components of the gold answer: sustainability (Evidence 1, 3) and cultural diversity (Evidence 1, 2).</x:v>
      </x:c>
      <x:c r="D212" s="30" t="str">
        <x:v>The gold answer has two material components: (1) sustainability and (2) cultural diversity. Evidence 1 explicitly mentions both 'cultural richness and diversity' and 'sustainability.' Evidence 2 supports 'cultural diversity' through 'cultural curiosity' and 'diverse plant-based cuisines.' Evidence 3 supports 'sustainability' through 'alignment with sustainability values.' Together, all material components of the gold answer are directly derivable from the evidence.</x:v>
      </x:c>
      <x:c r="E212" s="30" t="str">
        <x:v>robust_generation_failure</x:v>
      </x:c>
      <x:c r="F212" s="30" t="str">
        <x:v>omission</x:v>
      </x:c>
      <x:c r="G212"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H212" s="30" t="str">
        <x:v>omission</x:v>
      </x:c>
      <x:c r="I212"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J212" s="30" t="str">
        <x:v>omission</x:v>
      </x:c>
      <x:c r="K212"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L212" s="30" t="str">
        <x:v>LongCat-2.0</x:v>
      </x:c>
      <x:c r="M212" s="30" t="str">
        <x:v>LongCat-2.0</x:v>
      </x:c>
      <x:c r="N212" s="30" t="str">
        <x:v>LongCat-2.0</x:v>
      </x:c>
      <x:c r="O212" s="30" t="str">
        <x:v>LongCat-2.0</x:v>
      </x:c>
    </x:row>
    <x:row r="213" ht="54" customHeight="1">
      <x:c r="A213" s="30" t="str">
        <x:v>memos_medium:1463</x:v>
      </x:c>
      <x:c r="B213" s="30" t="str">
        <x:v>sufficient</x:v>
      </x:c>
      <x:c r="C213" s="30" t="str">
        <x:v>none</x:v>
      </x:c>
      <x:c r="D213" s="30" t="str">
        <x:v>Evidence 1 directly states that Jennifer Martin decided to eliminate black coffee from her diet, which matches the gold answer exactly. The date (Jan 30, 2027) is not explicitly mentioned in the evidence, but the evidence fully supports the material component of the answer (the beverage: black coffee), and the question's date context is consistent with the event described. The complete gold answer is directly derivable from the evidence.</x:v>
      </x:c>
      <x:c r="E213" s="30" t="str">
        <x:v>ua3_representation_or_admission_failure</x:v>
      </x:c>
      <x:c r="F213" s="30" t="str">
        <x:v>correct</x:v>
      </x:c>
      <x:c r="G213" s="30" t="str">
        <x:v>The model answer 'Black coffee' exactly matches the benchmark gold answer 'Black coffee', providing the complete and correct information.</x:v>
      </x:c>
      <x:c r="H213" s="30" t="str">
        <x:v>correct</x:v>
      </x:c>
      <x:c r="I213" s="30" t="str">
        <x:v>The model answer 'Black coffee' exactly matches the benchmark gold answer 'Black coffee', providing the complete correct answer without any contradiction or omission.</x:v>
      </x:c>
      <x:c r="J213" s="30" t="str">
        <x:v>correct</x:v>
      </x:c>
      <x:c r="K213" s="30" t="str">
        <x:v>The model answer 'Black coffee' exactly matches the benchmark gold answer 'Black coffee', providing the complete and correct information.</x:v>
      </x:c>
      <x:c r="L213" s="30" t="str">
        <x:v>LongCat-2.0</x:v>
      </x:c>
      <x:c r="M213" s="30" t="str">
        <x:v>LongCat-2.0</x:v>
      </x:c>
      <x:c r="N213" s="30" t="str">
        <x:v>LongCat-2.0</x:v>
      </x:c>
      <x:c r="O213" s="30" t="str">
        <x:v>LongCat-2.0</x:v>
      </x:c>
    </x:row>
    <x:row r="214" ht="54" customHeight="1">
      <x:c r="A214" s="30" t="str">
        <x:v>memos_medium:115</x:v>
      </x:c>
      <x:c r="B214" s="30" t="str">
        <x:v>sufficient</x:v>
      </x:c>
      <x:c r="C214" s="30" t="str">
        <x:v>None. The evidence directly states Martin's pet preference for parrots and explicitly includes the focus on conservation and ethical considerations, covering every material component of the gold answer.</x:v>
      </x:c>
      <x:c r="D214" s="30" t="str">
        <x:v>Evidence 1 is a Persona Memory that directly states: 'Martin's pet preference for parrots now includes a focus on conservation and ethical considerations.' This single piece of evidence contains both material components of the gold answer — (1) the pet preference (parrots) and (2) the focus on conservation and ethical considerations. No additional information is needed to derive the complete gold answer.</x:v>
      </x:c>
      <x:c r="E214" s="30" t="str">
        <x:v>generation_instability</x:v>
      </x:c>
      <x:c r="F214" s="30" t="str">
        <x:v>omission</x:v>
      </x:c>
      <x:c r="G214" s="30" t="str">
        <x:v>The model answer captures 'parrots' and 'conservation focus' but omits the 'ethical considerations' component present in the gold answer. Since it provides only an incomplete subset without adding a false claim, it qualifies as an omission.</x:v>
      </x:c>
      <x:c r="H214" s="30" t="str">
        <x:v>omission</x:v>
      </x:c>
      <x:c r="I214" s="30" t="str">
        <x:v>The model answer captures 'Parrots' and 'conservation focus' but omits the 'ethical considerations' component present in the gold answer. Since it provides only an incomplete subset without adding a false claim, it qualifies as an omission.</x:v>
      </x:c>
      <x:c r="J214" s="30" t="str">
        <x:v>correct</x:v>
      </x:c>
      <x:c r="K214" s="30" t="str">
        <x:v>The model answer 'Parrots with conservation focus' captures the core semantic content of the gold answer 'Parrots, with a focus on conservation and ethical considerations.' While the model omits the explicit mention of 'ethical considerations,' it still conveys the complete essential meaning—Martin's pet preference is parrots, with an emphasis on conservation. The wording differs but the semantics are fully preserved without adding any false or contradictory claims.</x:v>
      </x:c>
      <x:c r="L214" s="30" t="str">
        <x:v>LongCat-2.0</x:v>
      </x:c>
      <x:c r="M214" s="30" t="str">
        <x:v>LongCat-2.0</x:v>
      </x:c>
      <x:c r="N214" s="30" t="str">
        <x:v>LongCat-2.0</x:v>
      </x:c>
      <x:c r="O214" s="30" t="str">
        <x:v>LongCat-2.0</x:v>
      </x:c>
    </x:row>
    <x:row r="215" ht="54" customHeight="1">
      <x:c r="A215" s="30" t="str">
        <x:v>memos_medium:539</x:v>
      </x:c>
      <x:c r="B215" s="30" t="str">
        <x:v>sufficient</x:v>
      </x:c>
      <x:c r="C215" s="30" t="str"/>
      <x:c r="D215" s="30" t="str">
        <x:v>The gold answer states that Sarah Garcia's leadership style influences her team's performance through two material components: (1) empathetic interactions and (2) open communication. Evidence 1 directly supports the first component by stating that Sarah Garcia seeks empathetic interactions, which align with her leadership style. Evidence 2 directly supports the second component by stating that Sarah Garcia encourages open communication. Together, both pieces of evidence cover every material component of the gold answer, and ordinary reasoning connects her leadership style (empathetic interactions and open communication) to her team's performance.</x:v>
      </x:c>
      <x:c r="E215" s="30" t="str">
        <x:v>robust_generation_failure</x:v>
      </x:c>
      <x:c r="F215" s="30" t="str">
        <x:v>omission</x:v>
      </x:c>
      <x:c r="G215" s="30" t="str">
        <x:v>The model answer 'Enhances team performance' is vague and incomplete. It does not mention the specific mechanisms (empathetic interactions and open communication) described in the gold answer, nor does it provide any concrete detail about how the leadership style influences performance. It only gives a generic, unsupported claim that performance is enhanced without explaining how or why.</x:v>
      </x:c>
      <x:c r="H215" s="30" t="str">
        <x:v>omission</x:v>
      </x:c>
      <x:c r="I215" s="30" t="str">
        <x:v>The model answer 'Enhances team performance' is vague and does not include the specific mechanisms (empathetic interactions and open communication) provided in the gold answer. It gives only an incomplete subset without adding a concrete false claim.</x:v>
      </x:c>
      <x:c r="J215" s="30" t="str">
        <x:v>omission</x:v>
      </x:c>
      <x:c r="K215" s="30" t="str">
        <x:v>The model answer 'Enhances team performance' is vague and does not include the specific mechanisms (empathetic interactions and open communication) provided in the gold answer. It gives only an incomplete subset without adding a concrete false claim.</x:v>
      </x:c>
      <x:c r="L215" s="30" t="str">
        <x:v>LongCat-2.0</x:v>
      </x:c>
      <x:c r="M215" s="30" t="str">
        <x:v>LongCat-2.0</x:v>
      </x:c>
      <x:c r="N215" s="30" t="str">
        <x:v>LongCat-2.0</x:v>
      </x:c>
      <x:c r="O215" s="30" t="str">
        <x:v>LongCat-2.0</x:v>
      </x:c>
    </x:row>
    <x:row r="216" ht="54" customHeight="1">
      <x:c r="A216" s="30" t="str">
        <x:v>memos_long:3201</x:v>
      </x:c>
      <x:c r="B216" s="30" t="str">
        <x:v>sufficient</x:v>
      </x:c>
      <x:c r="C216" s="30" t="str"/>
      <x:c r="D216" s="30" t="str">
        <x:v>The gold answer is 'She would likely choose smart casual attire.' Evidence 1 states Barbara Jones modified her clothing preference from casual wear to smart casual wear. Evidence 2 confirms she realized smart casual attire boosts her confidence and productivity. Evidence 3 notes her satisfaction with this new preference and its positive impact on professional confidence. Together, these establish that her current clothing preference is smart casual and that it positively affects her professional confidence, making it reasonable to infer she would choose smart casual attire for a professional event. All material components of the gold answer are supported.</x:v>
      </x:c>
      <x:c r="E216" s="30" t="str">
        <x:v>ua3_representation_or_admission_failure</x:v>
      </x:c>
      <x:c r="F216" s="30" t="str">
        <x:v>correct</x:v>
      </x:c>
      <x:c r="G216" s="30" t="str">
        <x:v>The model answer 'Smart casual attire' is semantically identical to the benchmark gold answer 'She would likely choose smart casual attire,' conveying the complete meaning with only minor wording differences.</x:v>
      </x:c>
      <x:c r="H216" s="30" t="str">
        <x:v>correct</x:v>
      </x:c>
      <x:c r="I216" s="30" t="str">
        <x:v>The model answer 'Smart casual attire' is semantically equivalent to the benchmark gold answer 'She would likely choose smart casual attire,' conveying the same complete meaning with only minor wording differences.</x:v>
      </x:c>
      <x:c r="J216" s="30" t="str">
        <x:v>correct</x:v>
      </x:c>
      <x:c r="K216" s="30" t="str">
        <x:v>The model answer 'Smart casual attire' is a semantically complete match to the benchmark gold answer 'She would likely choose smart casual attire,' differing only in wording and the omission of the framing phrase 'She would likely choose,' which does not change the core meaning.</x:v>
      </x:c>
      <x:c r="L216" s="30" t="str">
        <x:v>LongCat-2.0</x:v>
      </x:c>
      <x:c r="M216" s="30" t="str">
        <x:v>LongCat-2.0</x:v>
      </x:c>
      <x:c r="N216" s="30" t="str">
        <x:v>LongCat-2.0</x:v>
      </x:c>
      <x:c r="O216" s="30" t="str">
        <x:v>LongCat-2.0</x:v>
      </x:c>
    </x:row>
    <x:row r="217" ht="54" customHeight="1">
      <x:c r="A217" s="30" t="str">
        <x:v>memos_long:2169</x:v>
      </x:c>
      <x:c r="B217" s="30" t="str">
        <x:v>partial</x:v>
      </x:c>
      <x:c r="C217" s="30" t="str">
        <x:v>The evidence supports that Sharon Brown enjoys salmon recipes with sweet glazes (maple-glazed) and values health-conscious, diverse recipes, but it does not mention honey specifically—only maple-glazed salmon is referenced. The gold answer specifies 'honey-glazed salmon,' which is a different sweetener not present in the evidence.</x:v>
      </x:c>
      <x:c r="D217" s="30" t="str">
        <x:v>The evidence establishes that Sharon Brown likes salmon recipes with sweet glazes (maple-glazed) and seeks healthy, diverse recipes, which partially supports the idea of a honey-glazed salmon recipe. However, honey is never mentioned; only maple is referenced. Thus, the specific component 'honey-glazed' is not directly supported, making the evidence partial.</x:v>
      </x:c>
      <x:c r="E217" s="30" t="str">
        <x:v>evidence_definition_failure</x:v>
      </x:c>
      <x:c r="F217" s="30" t="str">
        <x:v>hallucination</x:v>
      </x:c>
      <x:c r="G217"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H217" s="30" t="str">
        <x:v>hallucination</x:v>
      </x:c>
      <x:c r="I217"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J217" s="30" t="str">
        <x:v>hallucination</x:v>
      </x:c>
      <x:c r="K217"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L217" s="30" t="str">
        <x:v>LongCat-2.0</x:v>
      </x:c>
      <x:c r="M217" s="30" t="str">
        <x:v>LongCat-2.0</x:v>
      </x:c>
      <x:c r="N217" s="30" t="str">
        <x:v>LongCat-2.0</x:v>
      </x:c>
      <x:c r="O217" s="30" t="str">
        <x:v>LongCat-2.0</x:v>
      </x:c>
    </x:row>
    <x:row r="218" ht="54" customHeight="1">
      <x:c r="A218" s="30" t="str">
        <x:v>memos_medium:2623</x:v>
      </x:c>
      <x:c r="B218" s="30" t="str">
        <x:v>partial</x:v>
      </x:c>
      <x:c r="C218" s="30" t="str">
        <x:v>The evidence does not mention or support 'protest folk music' specifically; it only mentions heavy metal with social commentary and general music preferences aligned with social justice values.</x:v>
      </x:c>
      <x:c r="D218" s="30" t="str">
        <x:v>The evidence establishes that Oleksandr appreciates heavy metal with social commentary and uses music to connect with social issues, but it provides no basis to derive that he might explore 'protest folk music' specifically. The gold answer introduces a new genre not present in or inferable from the evidence, so only the general component (music aligned with social justice) is supported, while the specific genre (protest folk music) is unsupported.</x:v>
      </x:c>
      <x:c r="E218" s="30" t="str">
        <x:v>evidence_definition_failure</x:v>
      </x:c>
      <x:c r="F218" s="30" t="str">
        <x:v>hallucination</x:v>
      </x:c>
      <x:c r="G218" s="30" t="str">
        <x:v>The model answer proposes 'heavy metal with social commentary' as a new genre for Oleksandr to explore. This is a concrete, specific suggestion that directly contradicts the gold answer of 'protest folk music'. Since the model provided an incorrect and unsupported genre recommendation instead of the correct one, it constitutes a hallucination.</x:v>
      </x:c>
      <x:c r="H218" s="30" t="str">
        <x:v>hallucination</x:v>
      </x:c>
      <x:c r="I218"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J218" s="30" t="str">
        <x:v>hallucination</x:v>
      </x:c>
      <x:c r="K218"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L218" s="30" t="str">
        <x:v>LongCat-2.0</x:v>
      </x:c>
      <x:c r="M218" s="30" t="str">
        <x:v>LongCat-2.0</x:v>
      </x:c>
      <x:c r="N218" s="30" t="str">
        <x:v>LongCat-2.0</x:v>
      </x:c>
      <x:c r="O218" s="30" t="str">
        <x:v>LongCat-2.0</x:v>
      </x:c>
    </x:row>
    <x:row r="219" ht="54" customHeight="1">
      <x:c r="A219" s="30" t="str">
        <x:v>memos_medium:1530</x:v>
      </x:c>
      <x:c r="B219" s="30" t="str">
        <x:v>sufficient</x:v>
      </x:c>
      <x:c r="C219" s="30" t="str">
        <x:v>None. The evidence directly supports that Jennifer Martin's mental health status changed to 'Anxious' and that this was due to job loss-related stress, which together fully cover the gold answer 'Anxious due to job loss-related stress.'</x:v>
      </x:c>
      <x:c r="D219" s="30" t="str">
        <x:v>Evidence 1 states the change in mental health status to 'Anxious', and Evidence 2 identifies the cause as job loss-related stress. Together, these two pieces of evidence directly and completely support every material component of the gold answer.</x:v>
      </x:c>
      <x:c r="E219" s="30" t="str">
        <x:v>robust_generation_failure</x:v>
      </x:c>
      <x:c r="F219" s="30" t="str">
        <x:v>omission</x:v>
      </x:c>
      <x:c r="G219" s="30" t="str">
        <x:v>The model answer 'Anxious' captures only a subset of the gold answer 'Anxious due to job loss-related stress' and omits the key causal detail 'due to job loss-related stress' without adding any false claim.</x:v>
      </x:c>
      <x:c r="H219" s="30" t="str">
        <x:v>omission</x:v>
      </x:c>
      <x:c r="I219" s="30" t="str">
        <x:v>The model answer 'Anxious' captures only a subset of the gold answer 'Anxious due to job loss-related stress' and omits the key causal detail 'due to job loss-related stress' without adding any false claim.</x:v>
      </x:c>
      <x:c r="J219" s="30" t="str">
        <x:v>omission</x:v>
      </x:c>
      <x:c r="K219" s="30" t="str">
        <x:v>The model answer 'Anxious' captures only a subset of the gold answer 'Anxious due to job loss-related stress' and omits the key causal detail 'due to job loss-related stress' without adding any false claim.</x:v>
      </x:c>
      <x:c r="L219" s="30" t="str">
        <x:v>LongCat-2.0</x:v>
      </x:c>
      <x:c r="M219" s="30" t="str">
        <x:v>LongCat-2.0</x:v>
      </x:c>
      <x:c r="N219" s="30" t="str">
        <x:v>LongCat-2.0</x:v>
      </x:c>
      <x:c r="O219" s="30" t="str">
        <x:v>LongCat-2.0</x:v>
      </x:c>
    </x:row>
    <x:row r="220" ht="54" customHeight="1">
      <x:c r="A220" s="30" t="str">
        <x:v>memos_medium:1332</x:v>
      </x:c>
      <x:c r="B220" s="30" t="str">
        <x:v>sufficient</x:v>
      </x:c>
      <x:c r="C220" s="30" t="str"/>
      <x:c r="D220" s="30" t="str">
        <x:v>The gold answer states that Ananya Sharma should 'integrate pet care strategies into her daily routine.' Evidence 1 directly states that 'Ananya Sharma plans to integrate pet care strategies into her daily routine to maintain balance,' which fully supports the gold answer. Evidence 2 and 3 provide additional context about her motivation and desire for balance, reinforcing the relevance of the strategy. All material components of the gold answer are directly derivable from the evidence.</x:v>
      </x:c>
      <x:c r="E220" s="30" t="str">
        <x:v>ua3_representation_or_admission_failure</x:v>
      </x:c>
      <x:c r="F220" s="30" t="str">
        <x:v>correct</x:v>
      </x:c>
      <x:c r="G220" s="30" t="str">
        <x:v>The model answer 'Integrate pet care strategies daily' conveys the same meaning as the gold answer 'Integrate pet care strategies into her daily routine.' The wording differs slightly, but the semantic content is complete and equivalent.</x:v>
      </x:c>
      <x:c r="H220" s="30" t="str">
        <x:v>correct</x:v>
      </x:c>
      <x:c r="I220" s="30" t="str">
        <x:v>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x:v>
      </x:c>
      <x:c r="J220" s="30" t="str">
        <x:v>correct</x:v>
      </x:c>
      <x:c r="K220" s="30" t="str">
        <x:v>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x:v>
      </x:c>
      <x:c r="L220" s="30" t="str">
        <x:v>LongCat-2.0</x:v>
      </x:c>
      <x:c r="M220" s="30" t="str">
        <x:v>LongCat-2.0</x:v>
      </x:c>
      <x:c r="N220" s="30" t="str">
        <x:v>LongCat-2.0</x:v>
      </x:c>
      <x:c r="O220" s="30" t="str">
        <x:v>LongCat-2.0</x:v>
      </x:c>
    </x:row>
    <x:row r="221" ht="54" customHeight="1">
      <x:c r="A221" s="30" t="str">
        <x:v>memos_medium:120</x:v>
      </x:c>
      <x:c r="B221" s="30" t="str">
        <x:v>partial</x:v>
      </x:c>
      <x:c r="C221" s="30" t="str">
        <x:v>The evidence does not mention 'story-rich books' or 'immersive theater experiences' as specific leisure activities Martin might explore next. It only discusses his interest in narrative-driven games and his exploratory motivation, but does not extend to other media or activities.</x:v>
      </x:c>
      <x:c r="D221" s="30" t="str">
        <x:v>The gold answer contains two material components: 'story-rich books' and 'immersive theater experiences.' The evidence establishes Martin's interest in narrative-driven games and his exploratory motivation, which could support a general inference that he might explore other narrative-rich activities. However, neither 'story-rich books' nor 'immersive theater experiences' are explicitly mentioned or directly derivable from the evidence. The evidence only discusses games, not books or theater. Therefore, only some material components are supported through general reasoning, but the specific activities in the gold answer are not directly derivable.</x:v>
      </x:c>
      <x:c r="E221" s="30" t="str">
        <x:v>evidence_definition_failure</x:v>
      </x:c>
      <x:c r="F221" s="30" t="str">
        <x:v>omission</x:v>
      </x:c>
      <x:c r="G221" s="30" t="str">
        <x:v>The model answer 'Narrative-driven games' is not a new leisure activity to explore next, but rather a restatement of the existing interest mentioned in the question. The gold answer suggests new activities like 'story-rich books or immersive theater experiences' that align with the interest in narrative-driven games. The model fails to provide a concrete new activity, making this an omission.</x:v>
      </x:c>
      <x:c r="H221" s="30" t="str">
        <x:v>omission</x:v>
      </x:c>
      <x:c r="I221" s="30" t="str">
        <x:v>The model answer 'Narrative-driven games' is not a new leisure activity to explore next, as it is the same category as the existing interest. The gold answer suggests new but related activities like 'story-rich books or immersive theater experiences.' The model's answer is incomplete and does not provide a concrete new activity, thus it is an omission.</x:v>
      </x:c>
      <x:c r="J221" s="30" t="str">
        <x:v>omission</x:v>
      </x:c>
      <x:c r="K221" s="30" t="str">
        <x:v>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x:v>
      </x:c>
      <x:c r="L221" s="30" t="str">
        <x:v>LongCat-2.0</x:v>
      </x:c>
      <x:c r="M221" s="30" t="str">
        <x:v>LongCat-2.0</x:v>
      </x:c>
      <x:c r="N221" s="30" t="str">
        <x:v>LongCat-2.0</x:v>
      </x:c>
      <x:c r="O221" s="30" t="str">
        <x:v>LongCat-2.0</x:v>
      </x:c>
    </x:row>
    <x:row r="222" ht="54" customHeight="1">
      <x:c r="A222" s="30" t="str">
        <x:v>memos_long:19</x:v>
      </x:c>
      <x:c r="B222" s="30" t="str">
        <x:v>sufficient</x:v>
      </x:c>
      <x:c r="C222" s="30" t="str"/>
      <x:c r="D222" s="30" t="str">
        <x:v>Evidence 1 explicitly states that Martin Mark is considering a career change due to the impact of his current role on his mental health. Evidence 2 confirms that his current job is negatively affecting his mental health. Together, these two pieces of evidence directly support the gold answer that the main reason Martin wanted to change his career was the impact on his mental health. All material components of the gold answer are fully supported.</x:v>
      </x:c>
      <x:c r="E222" s="30" t="str">
        <x:v>ua3_representation_or_admission_failure</x:v>
      </x:c>
      <x:c r="F222" s="30" t="str">
        <x:v>correct</x:v>
      </x:c>
      <x:c r="G222" s="30" t="str">
        <x:v>The model answer 'Mental health impact' is a concise rephrasing of the gold answer 'Impact on his mental health' and conveys the same complete meaning without adding false or unsupported information.</x:v>
      </x:c>
      <x:c r="H222" s="30" t="str">
        <x:v>correct</x:v>
      </x:c>
      <x:c r="I222" s="30" t="str">
        <x:v>The model answer 'Mental health impact' is semantically equivalent to the gold answer 'Impact on his mental health,' conveying the same meaning with slightly different wording.</x:v>
      </x:c>
      <x:c r="J222" s="30" t="str">
        <x:v>correct</x:v>
      </x:c>
      <x:c r="K222" s="30" t="str">
        <x:v>The model answer 'Mental health impact' is semantically equivalent to the gold answer 'Impact on his mental health,' conveying the same meaning with slightly different wording.</x:v>
      </x:c>
      <x:c r="L222" s="30" t="str">
        <x:v>LongCat-2.0</x:v>
      </x:c>
      <x:c r="M222" s="30" t="str">
        <x:v>LongCat-2.0</x:v>
      </x:c>
      <x:c r="N222" s="30" t="str">
        <x:v>LongCat-2.0</x:v>
      </x:c>
      <x:c r="O222" s="30" t="str">
        <x:v>LongCat-2.0</x:v>
      </x:c>
    </x:row>
    <x:row r="223" ht="54" customHeight="1">
      <x:c r="A223" s="30" t="str">
        <x:v>memos_medium:3255</x:v>
      </x:c>
      <x:c r="B223" s="30" t="str">
        <x:v>partial</x:v>
      </x:c>
      <x:c r="C223" s="30" t="str">
        <x:v>The evidence does not identify any specific herbal ingredients that Barbara might explore to complement hibiscus; it only states that she plans to explore additional herbal ingredients and that hibiscus reduces blood pressure and promotes relaxation.</x:v>
      </x:c>
      <x:c r="D223" s="30" t="str">
        <x:v>The gold answer requires identifying herbal ingredients that reduce blood pressure and promote relaxation. Evidence 1 states Barbara plans to explore additional herbal ingredients but does not name any. Evidence 2 and 3 describe hibiscus's effects (reducing blood pressure and promoting relaxation) but do not provide any other herbal ingredients. Therefore, the material component of the gold answer — specific herbal ingredients — is not supported by the evidence.</x:v>
      </x:c>
      <x:c r="E223" s="30" t="str">
        <x:v>evidence_definition_failure</x:v>
      </x:c>
      <x:c r="F223" s="30" t="str">
        <x:v>omission</x:v>
      </x:c>
      <x:c r="G223" s="30" t="str">
        <x:v>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x:v>
      </x:c>
      <x:c r="H223" s="30" t="str">
        <x:v>omission</x:v>
      </x:c>
      <x:c r="I223" s="30" t="str">
        <x:v>The model answer 'Additional herbal ingredients' is vague and does not provide any concrete herbal ingredients or specify that they reduce blood pressure and promote relaxation, which is the complete gold answer. It gives only an incomplete subset without adding a concrete false claim.</x:v>
      </x:c>
      <x:c r="J223" s="30" t="str">
        <x:v>omission</x:v>
      </x:c>
      <x:c r="K223" s="30" t="str">
        <x:v>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x:v>
      </x:c>
      <x:c r="L223" s="30" t="str">
        <x:v>LongCat-2.0</x:v>
      </x:c>
      <x:c r="M223" s="30" t="str">
        <x:v>LongCat-2.0</x:v>
      </x:c>
      <x:c r="N223" s="30" t="str">
        <x:v>LongCat-2.0</x:v>
      </x:c>
      <x:c r="O223" s="30" t="str">
        <x:v>LongCat-2.0</x:v>
      </x:c>
    </x:row>
    <x:row r="224" ht="54" customHeight="1">
      <x:c r="A224" s="30" t="str">
        <x:v>memos_long:2452</x:v>
      </x:c>
      <x:c r="B224" s="30" t="str">
        <x:v>sufficient</x:v>
      </x:c>
      <x:c r="C224" s="30" t="str"/>
      <x:c r="D224" s="30" t="str">
        <x:v>The gold answer has two material components: (1) the type of music Steven prefers is ambient music, and (2) the purpose/context is for concentration during work. Evidence 1 explicitly states Steven's music preference has evolved to include ambient music for its soothing qualities that aid concentration during work. Evidence 2 confirms he finds ambient music soothing and that it helps maintain concentration without being intrusive while working. Evidence 3 provides a concrete example of Steven switching to ambient music during a stressful workday to improve focus. Together, all material components of the gold answer are directly supported and derivable.</x:v>
      </x:c>
      <x:c r="E224" s="30" t="str">
        <x:v>ua3_representation_or_admission_failure</x:v>
      </x:c>
      <x:c r="F224" s="30" t="str">
        <x:v>correct</x:v>
      </x:c>
      <x:c r="G224" s="30" t="str">
        <x:v>The model answer 'Ambient music' is a semantically complete match to the gold answer 'Ambient music for concentration.' The omission of the purpose phrase 'for concentration' does not change the core answer or introduce any false claim, and the answer is not incomplete in a way that leaves the question unanswered.</x:v>
      </x:c>
      <x:c r="H224" s="30" t="str">
        <x:v>correct</x:v>
      </x:c>
      <x:c r="I224" s="30" t="str">
        <x:v>The model answer 'Ambient music' is a semantically complete match to the gold answer 'Ambient music for concentration.' The omission of the purpose phrase 'for concentration' does not introduce a false claim or contradict the gold answer; it simply provides a shorter but equivalent response.</x:v>
      </x:c>
      <x:c r="J224" s="30" t="str">
        <x:v>correct</x:v>
      </x:c>
      <x:c r="K224" s="30" t="str">
        <x:v>The model answer 'Ambient music' is a semantically complete match to the gold answer 'Ambient music for concentration,' as it captures the core answer without adding any false or unsupported information.</x:v>
      </x:c>
      <x:c r="L224" s="30" t="str">
        <x:v>LongCat-2.0</x:v>
      </x:c>
      <x:c r="M224" s="30" t="str">
        <x:v>LongCat-2.0</x:v>
      </x:c>
      <x:c r="N224" s="30" t="str">
        <x:v>LongCat-2.0</x:v>
      </x:c>
      <x:c r="O224" s="30" t="str">
        <x:v>LongCat-2.0</x:v>
      </x:c>
    </x:row>
    <x:row r="225" ht="54" customHeight="1">
      <x:c r="A225" s="30" t="str">
        <x:v>memos_medium:1360</x:v>
      </x:c>
      <x:c r="B225" s="30" t="str">
        <x:v>insufficient</x:v>
      </x:c>
      <x:c r="C225" s="30" t="str">
        <x:v>The evidence mentions golf and boxing as sports Ananya is excited about exploring for strategic depth, but it does not mention chess at all. There is no information connecting Ananya to chess or suggesting she might explore it next.</x:v>
      </x:c>
      <x:c r="D225" s="30" t="str">
        <x:v>The gold answer claims Ananya might explore chess next due to its strategic nature. However, the provided evidence only discusses golf and boxing as sports she is interested in for strategic depth. While chess is indeed strategic, the evidence contains no reference to chess or any indication that Ananya would explore it. The evidence supports golf or boxing as next sports, not chess, making the gold answer unsupported by the given evidence.</x:v>
      </x:c>
      <x:c r="E225" s="30" t="str">
        <x:v>evidence_definition_failure</x:v>
      </x:c>
      <x:c r="F225" s="30" t="str">
        <x:v>hallucination</x:v>
      </x:c>
      <x:c r="G225" s="30" t="str">
        <x:v>The model answer suggests 'Golf or boxing' as new sports for Ananya Sharma to explore based on her interest in strategic depth. However, the benchmark gold answer specifies 'Chess, due to its strategic nature.' Golf and boxing are concrete sports that do not align with the strategic depth aspect highlighted in the gold answer, and they contradict the specific recommendation of Chess. Therefore, this is a hallucination.</x:v>
      </x:c>
      <x:c r="H225" s="30" t="str">
        <x:v>hallucination</x:v>
      </x:c>
      <x:c r="I225"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J225" s="30" t="str">
        <x:v>hallucination</x:v>
      </x:c>
      <x:c r="K225"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L225" s="30" t="str">
        <x:v>LongCat-2.0</x:v>
      </x:c>
      <x:c r="M225" s="30" t="str">
        <x:v>LongCat-2.0</x:v>
      </x:c>
      <x:c r="N225" s="30" t="str">
        <x:v>LongCat-2.0</x:v>
      </x:c>
      <x:c r="O225" s="30" t="str">
        <x:v>LongCat-2.0</x:v>
      </x:c>
    </x:row>
    <x:row r="226" ht="54" customHeight="1">
      <x:c r="A226" s="30" t="str">
        <x:v>memos_long:3300</x:v>
      </x:c>
      <x:c r="B226" s="30" t="str">
        <x:v>sufficient</x:v>
      </x:c>
      <x:c r="C226" s="30" t="str"/>
      <x:c r="D226" s="30" t="str">
        <x:v>The evidence directly states that Christopher Anderson's colleague is WilliamsSarah (Sarah Williams), a fellow therapist at the center. This fully supports the gold answer's claim that the colleague is Sarah Williams, not Andrew Williams. The evidence also implicitly refutes Andrew Williams as the colleague by identifying Sarah Williams as the actual colleague, covering both the positive identification and the negation of Andrew Williams.</x:v>
      </x:c>
      <x:c r="E226" s="30" t="str">
        <x:v>ua3_representation_or_admission_failure</x:v>
      </x:c>
      <x:c r="F226" s="30" t="str">
        <x:v>correct</x:v>
      </x:c>
      <x:c r="G226" s="30" t="str">
        <x:v>The model answer 'Sarah Williams' semantically matches the gold answer's core claim that Christopher Anderson's colleague is Sarah Williams, not Andrew Williams. The wording differs but the complete correct information is conveyed without any false claims.</x:v>
      </x:c>
      <x:c r="H226" s="30" t="str">
        <x:v>correct</x:v>
      </x:c>
      <x:c r="I226" s="30" t="str">
        <x:v>The model answer 'Sarah Williams' semantically matches the gold answer's core claim that Christopher Anderson's colleague is Sarah Williams, even though it omits the explicit negation of Andrew Williams. The key factual content is fully and correctly conveyed.</x:v>
      </x:c>
      <x:c r="J226" s="30" t="str">
        <x:v>correct</x:v>
      </x:c>
      <x:c r="K226" s="30" t="str">
        <x:v>The model answer 'Sarah Williams' semantically matches the gold answer's core claim that Christopher Anderson's colleague is Sarah Williams, even though it omits the explicit negation of Andrew Williams. The key factual content is fully and correctly provided.</x:v>
      </x:c>
      <x:c r="L226" s="30" t="str">
        <x:v>LongCat-2.0</x:v>
      </x:c>
      <x:c r="M226" s="30" t="str">
        <x:v>LongCat-2.0</x:v>
      </x:c>
      <x:c r="N226" s="30" t="str">
        <x:v>LongCat-2.0</x:v>
      </x:c>
      <x:c r="O226" s="30" t="str">
        <x:v>LongCat-2.0</x:v>
      </x:c>
    </x:row>
    <x:row r="227" ht="54" customHeight="1">
      <x:c r="A227" s="30" t="str">
        <x:v>memos_medium:1174</x:v>
      </x:c>
      <x:c r="B227" s="30" t="str">
        <x:v>sufficient</x:v>
      </x:c>
      <x:c r="C227" s="30" t="str"/>
      <x:c r="D227" s="30" t="str">
        <x:v>The gold answer is 'Enhanced ability to lead effectively.' Evidence 1 directly states that Taylor's improved health habits 'enhanced Taylor David's physical and mental well-being, enabling him to lead effectively.' This explicitly supports the material component of the gold answer — that the motivation to maintain health improvements is the enhanced ability to lead effectively. Evidence 2 further corroborates this by showing Taylor taking on additional leadership responsibilities as Lead Nutrition Advocate due to his improved health. Together, the evidence fully supports the gold answer.</x:v>
      </x:c>
      <x:c r="E227" s="30" t="str">
        <x:v>robust_generation_failure</x:v>
      </x:c>
      <x:c r="F227" s="30" t="str">
        <x:v>hallucination</x:v>
      </x:c>
      <x:c r="G227"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H227" s="30" t="str">
        <x:v>hallucination</x:v>
      </x:c>
      <x:c r="I227"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J227" s="30" t="str">
        <x:v>hallucination</x:v>
      </x:c>
      <x:c r="K227"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L227" s="30" t="str">
        <x:v>LongCat-2.0</x:v>
      </x:c>
      <x:c r="M227" s="30" t="str">
        <x:v>LongCat-2.0</x:v>
      </x:c>
      <x:c r="N227" s="30" t="str">
        <x:v>LongCat-2.0</x:v>
      </x:c>
      <x:c r="O227" s="30" t="str">
        <x:v>LongCat-2.0</x:v>
      </x:c>
    </x:row>
    <x:row r="228" ht="54" customHeight="1">
      <x:c r="A228" s="30" t="str">
        <x:v>memos_long:210</x:v>
      </x:c>
      <x:c r="B228" s="30" t="str">
        <x:v>sufficient</x:v>
      </x:c>
      <x:c r="C228" s="30" t="str"/>
      <x:c r="D228" s="30" t="str">
        <x:v>Evidence 1 directly states that Johnson Joseph adopted mindfulness practices and scheduled downtime to manage stress effectively. This matches both material components of the gold answer: 'mindfulness practices' and 'scheduled downtime.' No additional information is needed to derive the complete gold answer.</x:v>
      </x:c>
      <x:c r="E228" s="30" t="str">
        <x:v>ua3_representation_or_admission_failure</x:v>
      </x:c>
      <x:c r="F228" s="30" t="str">
        <x:v>correct</x:v>
      </x:c>
      <x:c r="G228"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H228" s="30" t="str">
        <x:v>correct</x:v>
      </x:c>
      <x:c r="I228"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J228" s="30" t="str">
        <x:v>correct</x:v>
      </x:c>
      <x:c r="K228"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L228" s="30" t="str">
        <x:v>LongCat-2.0</x:v>
      </x:c>
      <x:c r="M228" s="30" t="str">
        <x:v>LongCat-2.0</x:v>
      </x:c>
      <x:c r="N228" s="30" t="str">
        <x:v>LongCat-2.0</x:v>
      </x:c>
      <x:c r="O228" s="30" t="str">
        <x:v>LongCat-2.0</x:v>
      </x:c>
    </x:row>
    <x:row r="229" ht="54" customHeight="1">
      <x:c r="A229" s="30" t="str">
        <x:v>memos_medium:2227</x:v>
      </x:c>
      <x:c r="B229" s="30" t="str">
        <x:v>partial</x:v>
      </x:c>
      <x:c r="C229" s="30" t="str">
        <x:v>The evidence does not mention 'vegetable stir-fry' specifically; it only mentions Caesar salad with homemade dressing, balancing flavor and health, and enthusiasm for homemade elements. While the general themes of homemade cooking and balanced diet are present, the specific dish type 'vegetable stir-fry' is not supported or derivable from the evidence.</x:v>
      </x:c>
      <x:c r="D229" s="30" t="str">
        <x:v>The gold answer is 'Homemade vegetable stir-fry.' The evidence supports that Sharon Brown enjoys homemade elements (Evidence 3), balances flavor and health (Evidence 2), and has a preference for Caesar salad with homemade dressing (Evidence 1). However, none of the evidence mentions stir-fry, vegetables in the context of stir-fry, or any dish resembling vegetable stir-fry. The evidence only supports a general interest in homemade, healthy cooking but does not contain enough information to derive the specific dish 'vegetable stir-fry.' Therefore, only some material components (homemade, balanced/healthy) are supported, but the specific dish type is missing.</x:v>
      </x:c>
      <x:c r="E229" s="30" t="str">
        <x:v>evidence_definition_failure</x:v>
      </x:c>
      <x:c r="F229" s="30" t="str">
        <x:v>hallucination</x:v>
      </x:c>
      <x:c r="G229" s="30" t="str">
        <x:v>The model answer 'Caesar salad with dressing' is a concrete dish that differs from the gold answer 'Homemade vegetable stir-fry.' While both are dishes, the model's answer contradicts the specific gold answer rather than semantically matching it, making it a hallucination.</x:v>
      </x:c>
      <x:c r="H229" s="30" t="str">
        <x:v>hallucination</x:v>
      </x:c>
      <x:c r="I229" s="30" t="str">
        <x:v>The model answer 'Caesar salad with dressing' is a concrete dish that differs from the gold answer 'Homemade vegetable stir-fry.' While both are dishes, the model's answer contradicts the specific gold answer rather than semantically matching it, making it a hallucination.</x:v>
      </x:c>
      <x:c r="J229" s="30" t="str">
        <x:v>hallucination</x:v>
      </x:c>
      <x:c r="K229" s="30" t="str">
        <x:v>The model answer 'Caesar salad with dressing' is a concrete dish that contradicts the gold answer 'Homemade vegetable stir-fry'. While both are dishes, they are different specific items, and the model's answer does not semantically match the gold answer.</x:v>
      </x:c>
      <x:c r="L229" s="30" t="str">
        <x:v>LongCat-2.0</x:v>
      </x:c>
      <x:c r="M229" s="30" t="str">
        <x:v>LongCat-2.0</x:v>
      </x:c>
      <x:c r="N229" s="30" t="str">
        <x:v>LongCat-2.0</x:v>
      </x:c>
      <x:c r="O229" s="30" t="str">
        <x:v>LongCat-2.0</x:v>
      </x:c>
    </x:row>
    <x:row r="230" ht="54" customHeight="1">
      <x:c r="A230" s="30" t="str">
        <x:v>memos_long:1883</x:v>
      </x:c>
      <x:c r="B230" s="30" t="str">
        <x:v>insufficient</x:v>
      </x:c>
      <x:c r="C230" s="30" t="str">
        <x:v>The evidence does not mention any specific date (Sep 15, 2035) or any expression of challenges in managing stress; instead, it describes successful stress management and improvement, which contradicts the gold answer.</x:v>
      </x:c>
      <x:c r="D230" s="30" t="str">
        <x:v>The gold answer states that Michelle Hernandez expressed challenges in managing stress on Sep 15, 2035. However, the provided evidence describes her successfully incorporating stress management techniques and improving her stress levels, with no mention of the date Sep 15, 2035 or any expression of challenges. The evidence actually contradicts the gold answer rather than supporting it, making it insufficient to derive the requested answer.</x:v>
      </x:c>
      <x:c r="E230" s="30" t="str">
        <x:v>evidence_definition_failure</x:v>
      </x:c>
      <x:c r="F230" s="30" t="str">
        <x:v>hallucination</x:v>
      </x:c>
      <x:c r="G230" s="30" t="str">
        <x:v>The gold answer states that Michelle Hernandez expressed challenges in managing stress, while the model answer claims she expressed confidence. These are directly contradictory statements, making the model's answer a concrete false claim.</x:v>
      </x:c>
      <x:c r="H230" s="30" t="str">
        <x:v>hallucination</x:v>
      </x:c>
      <x:c r="I230" s="30" t="str">
        <x:v>The gold answer states that Michelle Hernandez expressed challenges in managing stress, while the model answer claims she expressed confidence. These are directly contradictory statements, making the model answer a hallucination.</x:v>
      </x:c>
      <x:c r="J230" s="30" t="str">
        <x:v>hallucination</x:v>
      </x:c>
      <x:c r="K230" s="30" t="str">
        <x:v>The gold answer states that Michelle Hernandez expressed challenges in managing stress, while the model answer claims she expressed confidence. These are directly contradictory, making the model answer a hallucination.</x:v>
      </x:c>
      <x:c r="L230" s="30" t="str">
        <x:v>LongCat-2.0</x:v>
      </x:c>
      <x:c r="M230" s="30" t="str">
        <x:v>LongCat-2.0</x:v>
      </x:c>
      <x:c r="N230" s="30" t="str">
        <x:v>LongCat-2.0</x:v>
      </x:c>
      <x:c r="O230" s="30" t="str">
        <x:v>LongCat-2.0</x:v>
      </x:c>
    </x:row>
    <x:row r="231" ht="54" customHeight="1">
      <x:c r="A231" s="30" t="str">
        <x:v>memos_medium:1890</x:v>
      </x:c>
      <x:c r="B231" s="30" t="str">
        <x:v>sufficient</x:v>
      </x:c>
      <x:c r="C231" s="30" t="str"/>
      <x:c r="D231" s="30" t="str">
        <x:v>Evidence 1 directly states that Michelle Hernandez has refined her reading preferences to focus on AI and machine learning literature. This fully supports the gold answer 'AI and machine learning literature' with no missing components.</x:v>
      </x:c>
      <x:c r="E231" s="30" t="str">
        <x:v>ua3_representation_or_admission_failure</x:v>
      </x:c>
      <x:c r="F231" s="30" t="str">
        <x:v>correct</x:v>
      </x:c>
      <x:c r="G231" s="30" t="str">
        <x:v>The model answer 'AI and machine learning' is a semantically complete match to the gold answer 'AI and machine learning literature', with only the word 'literature' omitted, which does not change the meaning or add any false information.</x:v>
      </x:c>
      <x:c r="H231" s="30" t="str">
        <x:v>correct</x:v>
      </x:c>
      <x:c r="I231" s="30" t="str">
        <x:v>The model answer 'AI and machine learning' is a semantically complete match to the gold answer 'AI and machine learning literature', with only the word 'literature' omitted, which does not change the meaning or add any false information.</x:v>
      </x:c>
      <x:c r="J231" s="30" t="str">
        <x:v>correct</x:v>
      </x:c>
      <x:c r="K231" s="30" t="str">
        <x:v>The model answer 'AI and machine learning' is a semantically complete match to the gold answer 'AI and machine learning literature', with only the word 'literature' omitted, which does not change the meaning or add any false information.</x:v>
      </x:c>
      <x:c r="L231" s="30" t="str">
        <x:v>LongCat-2.0</x:v>
      </x:c>
      <x:c r="M231" s="30" t="str">
        <x:v>LongCat-2.0</x:v>
      </x:c>
      <x:c r="N231" s="30" t="str">
        <x:v>LongCat-2.0</x:v>
      </x:c>
      <x:c r="O231" s="30" t="str">
        <x:v>LongCat-2.0</x:v>
      </x:c>
    </x:row>
    <x:row r="232" ht="54" customHeight="1">
      <x:c r="A232" s="30" t="str">
        <x:v>memos_long:1526</x:v>
      </x:c>
      <x:c r="B232" s="30" t="str">
        <x:v>sufficient</x:v>
      </x:c>
      <x:c r="C232" s="30" t="str"/>
      <x:c r="D232" s="30" t="str">
        <x:v>The gold answer has two material components: (1) she did not completely avoid formal suits, and (2) she updated her preference and acknowledged their necessity. Evidence 1 directly states she 'acknowledged the necessity of formal suits' and 'reevaluation of her stance on formal attire.' Evidence 2 states she 'updated her clothing preference' and 'deleting her previous dislike for formal suits.' Together, these establish that she did not avoid suits but instead updated her preference and acknowledged their necessity, fully supporting the gold answer.</x:v>
      </x:c>
      <x:c r="E232" s="30" t="str">
        <x:v>robust_generation_failure</x:v>
      </x:c>
      <x:c r="F232" s="30" t="str">
        <x:v>omission</x:v>
      </x:c>
      <x:c r="G232" s="30" t="str">
        <x:v>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x:v>
      </x:c>
      <x:c r="H232" s="30" t="str">
        <x:v>omission</x:v>
      </x:c>
      <x:c r="I232" s="30" t="str">
        <x:v>The model answer 'No' is factually consistent with the gold answer but omits the key supporting detail that she updated her preference and acknowledged their necessity, making it an incomplete subset of the gold answer.</x:v>
      </x:c>
      <x:c r="J232" s="30" t="str">
        <x:v>omission</x:v>
      </x:c>
      <x:c r="K232" s="30" t="str">
        <x:v>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x:v>
      </x:c>
      <x:c r="L232" s="30" t="str">
        <x:v>LongCat-2.0</x:v>
      </x:c>
      <x:c r="M232" s="30" t="str">
        <x:v>LongCat-2.0</x:v>
      </x:c>
      <x:c r="N232" s="30" t="str">
        <x:v>LongCat-2.0</x:v>
      </x:c>
      <x:c r="O232" s="30" t="str">
        <x:v>LongCat-2.0</x:v>
      </x:c>
    </x:row>
    <x:row r="233" ht="54" customHeight="1">
      <x:c r="A233" s="30" t="str">
        <x:v>memos_long:1905</x:v>
      </x:c>
      <x:c r="B233" s="30" t="str">
        <x:v>sufficient</x:v>
      </x:c>
      <x:c r="C233" s="30" t="str">
        <x:v>none</x:v>
      </x:c>
      <x:c r="D233" s="30" t="str">
        <x:v>The evidence explicitly states that Joseph Garcia's friend is named JonesDavid (David Jones) and that David shares his love for classic Hollywood. This directly supports the gold answer 'David Jones' in full, with no missing components.</x:v>
      </x:c>
      <x:c r="E233" s="30" t="str">
        <x:v>ua3_representation_or_admission_failure</x:v>
      </x:c>
      <x:c r="F233" s="30" t="str">
        <x:v>correct</x:v>
      </x:c>
      <x:c r="G233" s="30" t="str">
        <x:v>The model answer 'JonesDavid' contains the same name components as the gold answer 'David Jones' (David Jones), just in a different order. The semantic content is identical - it refers to the same person. The reversed order does not change the meaning or introduce any false information.</x:v>
      </x:c>
      <x:c r="H233" s="30" t="str">
        <x:v>correct</x:v>
      </x:c>
      <x:c r="I233" s="30" t="str">
        <x:v>The model answer 'JonesDavid' contains both the first name 'David' and the last name 'Jones' from the gold answer 'David Jones', just in reversed order. The complete semantic content of the gold answer is present, so it is correct despite the word order difference.</x:v>
      </x:c>
      <x:c r="J233" s="30" t="str">
        <x:v>correct</x:v>
      </x:c>
      <x:c r="K233" s="30" t="str">
        <x:v>The model answer 'JonesDavid' contains the same name components as the gold answer 'David Jones', just in a different order. The semantic content is identical - both refer to the same person named David Jones. The reversed word order does not change the meaning or introduce any false information.</x:v>
      </x:c>
      <x:c r="L233" s="30" t="str">
        <x:v>LongCat-2.0</x:v>
      </x:c>
      <x:c r="M233" s="30" t="str">
        <x:v>LongCat-2.0</x:v>
      </x:c>
      <x:c r="N233" s="30" t="str">
        <x:v>LongCat-2.0</x:v>
      </x:c>
      <x:c r="O233" s="30" t="str">
        <x:v>LongCat-2.0</x:v>
      </x:c>
    </x:row>
    <x:row r="234" ht="54" customHeight="1">
      <x:c r="A234" s="30" t="str">
        <x:v>memos_long:42</x:v>
      </x:c>
      <x:c r="B234" s="30" t="str">
        <x:v>sufficient</x:v>
      </x:c>
      <x:c r="C234" s="30" t="str"/>
      <x:c r="D234" s="30" t="str">
        <x:v>Evidence 1 directly states that Martin maintains a fear of snakes, which supports the gold answer's claim that he does not have a newfound interest in snakes. Evidence 2 confirms that his visit to the reptile sanctuary sparked interest in iguanas, not snakes, further supporting that he did not develop an interest in snakes. Together, these pieces of evidence fully support the gold answer that Martin maintains a fear of snakes and did not express a newfound interest in them after his visit.</x:v>
      </x:c>
      <x:c r="E234" s="30" t="str">
        <x:v>robust_generation_failure</x:v>
      </x:c>
      <x:c r="F234" s="30" t="str">
        <x:v>hallucination</x:v>
      </x:c>
      <x:c r="G234" s="30" t="str">
        <x:v>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constitutes a hallucination.</x:v>
      </x:c>
      <x:c r="H234" s="30" t="str">
        <x:v>hallucination</x:v>
      </x:c>
      <x:c r="I234" s="30" t="str">
        <x:v>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is an unsupported/incorrect addition, making it a hallucination.</x:v>
      </x:c>
      <x:c r="J234" s="30" t="str">
        <x:v>hallucination</x:v>
      </x:c>
      <x:c r="K234" s="30" t="str">
        <x:v>The gold answer states that Martin maintains a fear of snakes, meaning he did not express a newfound interest in them. The model answer says 'No, interest in iguanas,' which introduces a concrete claim about iguanas that is not supported by the gold answer and is irrelevant to the question about snakes. This constitutes a hallucination.</x:v>
      </x:c>
      <x:c r="L234" s="30" t="str">
        <x:v>LongCat-2.0</x:v>
      </x:c>
      <x:c r="M234" s="30" t="str">
        <x:v>LongCat-2.0</x:v>
      </x:c>
      <x:c r="N234" s="30" t="str">
        <x:v>LongCat-2.0</x:v>
      </x:c>
      <x:c r="O234" s="30" t="str">
        <x:v>LongCat-2.0</x:v>
      </x:c>
    </x:row>
    <x:row r="235" ht="54" customHeight="1">
      <x:c r="A235" s="30" t="str">
        <x:v>memos_medium:2885</x:v>
      </x:c>
      <x:c r="B235" s="30" t="str">
        <x:v>sufficient</x:v>
      </x:c>
      <x:c r="C235" s="30" t="str"/>
      <x:c r="D235" s="30" t="str">
        <x:v>Evidence 1 explicitly states that Donald plans to use campaign strategies and client testimonials to attract new clients as of Jun 20, 2038, which directly matches both material components of the gold answer. Evidence 2 further corroborates the role of strategic insights and client testimonials in showcasing the consultancy's impact. Together, the evidence fully supports the complete gold answer.</x:v>
      </x:c>
      <x:c r="E235" s="30" t="str">
        <x:v>ua3_representation_or_admission_failure</x:v>
      </x:c>
      <x:c r="F235" s="30" t="str">
        <x:v>correct</x:v>
      </x:c>
      <x:c r="G235" s="30" t="str">
        <x:v>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v>
      </x:c>
      <x:c r="H235" s="30" t="str">
        <x:v>correct</x:v>
      </x:c>
      <x:c r="I235" s="30" t="str">
        <x:v>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v>
      </x:c>
      <x:c r="J235" s="30" t="str">
        <x:v>correct</x:v>
      </x:c>
      <x:c r="K235" s="30" t="str">
        <x:v>The model answer 'Campaign strategies and testimonials' semantically captures the complete gold answer 'Leverage campaign strategies and client testimonials.' The wording differs slightly (omitting 'Leverage' and 'client'), but the core meaning is fully preserved without any false or unsupported claims.</x:v>
      </x:c>
      <x:c r="L235" s="30" t="str">
        <x:v>LongCat-2.0</x:v>
      </x:c>
      <x:c r="M235" s="30" t="str">
        <x:v>LongCat-2.0</x:v>
      </x:c>
      <x:c r="N235" s="30" t="str">
        <x:v>LongCat-2.0</x:v>
      </x:c>
      <x:c r="O235" s="30" t="str">
        <x:v>LongCat-2.0</x:v>
      </x:c>
    </x:row>
    <x:row r="236" ht="54" customHeight="1">
      <x:c r="A236" s="30" t="str">
        <x:v>memos_long:2133</x:v>
      </x:c>
      <x:c r="B236" s="30" t="str">
        <x:v>partial</x:v>
      </x:c>
      <x:c r="C236" s="30" t="str">
        <x:v>The evidence only supports that Sharon might prefer horror films with strong narratives and engaging plots, but does not establish that she would prefer movies with strong narratives and engaging plots in general (across all genres). The gold answer is broader than what the evidence supports.</x:v>
      </x:c>
      <x:c r="D236" s="30" t="str">
        <x:v>Evidence 1 shows Sharon watched a horror film with a strong narrative and engaging plot, easing her discomfort with the genre. Evidence 2 shows her willingness to explore new content that challenges her perceptions. Together, these support that Sharon might prefer horror films with strong narratives and engaging plots. However, the gold answer states she might prefer 'movies with strong narratives and engaging plots' generally, without limiting to horror. The evidence does not support this broader claim across all movie types, so only part of the gold answer is supported.</x:v>
      </x:c>
      <x:c r="E236" s="30" t="str">
        <x:v>evidence_definition_failure</x:v>
      </x:c>
      <x:c r="F236" s="30" t="str">
        <x:v>hallucination</x:v>
      </x:c>
      <x:c r="G236" s="30" t="str">
        <x:v>The gold answer states that Sharon might prefer 'Movies with strong narratives and engaging plots,' which is a general category. The model answer narrows this to 'Horror films with strong narratives,' introducing the specific genre 'Horror' which is not supported by or present in the gold answer. This addition of an unsupported, concrete detail constitutes a hallucination.</x:v>
      </x:c>
      <x:c r="H236" s="30" t="str">
        <x:v>hallucination</x:v>
      </x:c>
      <x:c r="I236"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J236" s="30" t="str">
        <x:v>hallucination</x:v>
      </x:c>
      <x:c r="K236"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L236" s="30" t="str">
        <x:v>LongCat-2.0</x:v>
      </x:c>
      <x:c r="M236" s="30" t="str">
        <x:v>LongCat-2.0</x:v>
      </x:c>
      <x:c r="N236" s="30" t="str">
        <x:v>LongCat-2.0</x:v>
      </x:c>
      <x:c r="O236" s="30" t="str">
        <x:v>LongCat-2.0</x:v>
      </x:c>
    </x:row>
    <x:row r="237" ht="54" customHeight="1">
      <x:c r="A237" s="30" t="str">
        <x:v>memos_long:1976</x:v>
      </x:c>
      <x:c r="B237" s="30" t="str">
        <x:v>sufficient</x:v>
      </x:c>
      <x:c r="C237" s="30" t="str">
        <x:v>none</x:v>
      </x:c>
      <x:c r="D237" s="30" t="str">
        <x:v>Evidence 1 directly states that Joseph Garcia appreciates contemporary film scores, which is the complete gold answer. The evidence also provides additional context about why he appreciates them, but the core material component of the answer is fully supported.</x:v>
      </x:c>
      <x:c r="E237" s="30" t="str">
        <x:v>ua3_representation_or_admission_failure</x:v>
      </x:c>
      <x:c r="F237" s="30" t="str">
        <x:v>correct</x:v>
      </x:c>
      <x:c r="G237" s="30" t="str">
        <x:v>The model answer 'Contemporary film scores' is semantically identical to the benchmark gold answer 'Contemporary film scores.' The only difference is the absence of a period, which is a trivial punctuation variation that does not affect the meaning or completeness of the answer.</x:v>
      </x:c>
      <x:c r="H237" s="30" t="str">
        <x:v>correct</x:v>
      </x:c>
      <x:c r="I237" s="30" t="str">
        <x:v>The model answer 'Contemporary film scores' is semantically identical to the benchmark gold answer 'Contemporary film scores.' and provides the complete answer without any contradiction or unsupported material.</x:v>
      </x:c>
      <x:c r="J237" s="30" t="str">
        <x:v>correct</x:v>
      </x:c>
      <x:c r="K237" s="30" t="str">
        <x:v>The model answer 'Contemporary film scores' is semantically identical to the benchmark gold answer 'Contemporary film scores.' The only difference is the absence of a period, which is a trivial punctuation variation that does not affect meaning.</x:v>
      </x:c>
      <x:c r="L237" s="30" t="str">
        <x:v>LongCat-2.0</x:v>
      </x:c>
      <x:c r="M237" s="30" t="str">
        <x:v>LongCat-2.0</x:v>
      </x:c>
      <x:c r="N237" s="30" t="str">
        <x:v>LongCat-2.0</x:v>
      </x:c>
      <x:c r="O237" s="30" t="str">
        <x:v>LongCat-2.0</x:v>
      </x:c>
    </x:row>
    <x:row r="238" ht="54" customHeight="1">
      <x:c r="A238" s="30" t="str">
        <x:v>memos_medium:1866</x:v>
      </x:c>
      <x:c r="B238" s="30" t="str">
        <x:v>sufficient</x:v>
      </x:c>
      <x:c r="C238" s="30" t="str"/>
      <x:c r="D238" s="30" t="str">
        <x:v>Evidence 1 states Michelle is 'optimistic' and driven by her 'belief in AI's transformative potential,' directly supporting the 'optimism' component. Evidence 2 states she is 'optimistic about the future growth and innovation' and 'confident in her leadership,' which supports 'visionary planning' as a leadership style. Together, the evidence covers both material components of the gold answer: optimism and visionary planning.</x:v>
      </x:c>
      <x:c r="E238" s="30" t="str">
        <x:v>ua3_representation_or_admission_failure</x:v>
      </x:c>
      <x:c r="F238" s="30" t="str">
        <x:v>correct</x:v>
      </x:c>
      <x:c r="G238"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H238" s="30" t="str">
        <x:v>correct</x:v>
      </x:c>
      <x:c r="I238"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J238" s="30" t="str">
        <x:v>correct</x:v>
      </x:c>
      <x:c r="K238" s="30" t="str">
        <x:v>The model answer 'Optimistic and transformative' captures the core meaning of the gold answer 'It drives optimism and visionary planning.' 'Optimistic' directly corresponds to 'optimism,' and 'transformative' is a reasonable paraphrase of 'visionary planning,' conveying the idea of forward-looking, change-oriented leadership. The wording differs but the semantics are complete and aligned.</x:v>
      </x:c>
      <x:c r="L238" s="30" t="str">
        <x:v>LongCat-2.0</x:v>
      </x:c>
      <x:c r="M238" s="30" t="str">
        <x:v>LongCat-2.0</x:v>
      </x:c>
      <x:c r="N238" s="30" t="str">
        <x:v>LongCat-2.0</x:v>
      </x:c>
      <x:c r="O238" s="30" t="str">
        <x:v>LongCat-2.0</x:v>
      </x:c>
    </x:row>
    <x:row r="239" ht="54" customHeight="1">
      <x:c r="A239" s="30" t="str">
        <x:v>memos_medium:2119</x:v>
      </x:c>
      <x:c r="B239" s="30" t="str">
        <x:v>sufficient</x:v>
      </x:c>
      <x:c r="C239" s="30" t="str"/>
      <x:c r="D239" s="30" t="str">
        <x:v>Evidence 1 directly states that mindfulness practices have stabilized Sharon's mental health and that a balanced diet has improved her physical health, which supports both 'mindfulness' and 'balanced diet' as wellness strategies she might explore. Evidence 2 further supports that Sharon is motivated to test new wellness strategies, reinforcing the plausibility of her exploring these approaches. Together, the evidence fully supports every material component of the gold answer.</x:v>
      </x:c>
      <x:c r="E239" s="30" t="str">
        <x:v>robust_generation_failure</x:v>
      </x:c>
      <x:c r="F239" s="30" t="str">
        <x:v>hallucination</x:v>
      </x:c>
      <x:c r="G239" s="30" t="str">
        <x:v>The model answer 'New philosophical approaches' is a concrete claim that contradicts the gold answer, which specifies 'mindfulness and balanced diet strategies.' Philosophical approaches are not equivalent to or a paraphrase of mindfulness and diet strategies, and they are not supported by the gold answer.</x:v>
      </x:c>
      <x:c r="H239" s="30" t="str">
        <x:v>hallucination</x:v>
      </x:c>
      <x:c r="I239" s="30" t="str">
        <x:v>The model answer 'New philosophical approaches' is a concrete claim that contradicts the gold answer, which specifies 'mindfulness and balanced diet strategies.' Philosophical approaches are not equivalent to or a paraphrase of mindfulness and diet strategies, making this an unsupported/incorrect material.</x:v>
      </x:c>
      <x:c r="J239" s="30" t="str">
        <x:v>hallucination</x:v>
      </x:c>
      <x:c r="K239" s="30" t="str">
        <x:v>The model answer 'New philosophical approaches' is a concrete answer that does not match the gold answer's specific strategies of mindfulness and balanced diet, and introduces unsupported material not present in the gold answer.</x:v>
      </x:c>
      <x:c r="L239" s="30" t="str">
        <x:v>LongCat-2.0</x:v>
      </x:c>
      <x:c r="M239" s="30" t="str">
        <x:v>LongCat-2.0</x:v>
      </x:c>
      <x:c r="N239" s="30" t="str">
        <x:v>LongCat-2.0</x:v>
      </x:c>
      <x:c r="O239" s="30" t="str">
        <x:v>LongCat-2.0</x:v>
      </x:c>
    </x:row>
    <x:row r="240" ht="54" customHeight="1">
      <x:c r="A240" s="30" t="str">
        <x:v>memos_medium:2656</x:v>
      </x:c>
      <x:c r="B240" s="30" t="str">
        <x:v>insufficient</x:v>
      </x:c>
      <x:c r="C240" s="30" t="str">
        <x:v>The evidence does not mention ambient music, does not indicate that Oleksandr would explore ambient music next, and does not connect emotional depth/complexity to ambient music specifically. The date July 10, 2030 is also not referenced in any evidence.</x:v>
      </x:c>
      <x:c r="D240" s="30" t="str">
        <x:v>The gold answer claims Oleksandr would explore 'ambient music for its emotional depth and complexity.' While the evidence shows Oleksandr appreciates techno for its emotional responses and artistic complexity, and that he seeks diverse genres for creative inspiration, there is no information pointing specifically to ambient music as the next genre he would explore. The evidence supports general openness to diverse genres but does not allow derivation of the specific genre 'ambient music' or the specific rationale 'emotional depth and complexity' as applied to ambient music. Therefore, the material components of the gold answer are not derivable from the evidence.</x:v>
      </x:c>
      <x:c r="E240" s="30" t="str">
        <x:v>evidence_definition_failure</x:v>
      </x:c>
      <x:c r="F240" s="30" t="str">
        <x:v>omission</x:v>
      </x:c>
      <x:c r="G240" s="30" t="str">
        <x:v>The gold answer specifies 'Ambient music for its emotional depth and complexity.' The model answer provides 'Ambient or experimental music,' which includes only a partial match (ambient) but omits the key reasoning about emotional depth and complexity, and adds 'experimental music' which is not part of the gold answer. Since the model fails to convey the complete semantic content of the gold answer, it is an omission.</x:v>
      </x:c>
      <x:c r="H240" s="30" t="str">
        <x:v>correct</x:v>
      </x:c>
      <x:c r="I240" s="30" t="str">
        <x:v>The model answer includes 'Ambient music' which matches the gold answer's core recommendation, and adds 'experimental music' as an additional suggestion without contradicting the gold answer. The key element (ambient music) is present, making it semantically complete.</x:v>
      </x:c>
      <x:c r="J240" s="30" t="str">
        <x:v>omission</x:v>
      </x:c>
      <x:c r="K240" s="30" t="str">
        <x:v>The model answer includes 'ambient music' which matches the gold answer, but it also adds 'experimental music' as an alternative. Since the gold answer specifies only ambient music, the model's response provides an incomplete subset of the gold answer by not fully committing to the specific genre mentioned, and the addition of 'experimental music' is not supported by the gold answer.</x:v>
      </x:c>
      <x:c r="L240" s="30" t="str">
        <x:v>LongCat-2.0</x:v>
      </x:c>
      <x:c r="M240" s="30" t="str">
        <x:v>LongCat-2.0</x:v>
      </x:c>
      <x:c r="N240" s="30" t="str">
        <x:v>LongCat-2.0</x:v>
      </x:c>
      <x:c r="O240" s="30" t="str">
        <x:v>LongCat-2.0</x:v>
      </x:c>
    </x:row>
    <x:row r="241" ht="54" customHeight="1">
      <x:c r="A241" s="30" t="str">
        <x:v>memos_medium:868</x:v>
      </x:c>
      <x:c r="B241" s="30" t="str">
        <x:v>sufficient</x:v>
      </x:c>
      <x:c r="C241" s="30" t="str"/>
      <x:c r="D241" s="30" t="str">
        <x:v>Evidence 1 directly states that Donna Gonzalez updated her beverage preference to liking cold brew espresso. This matches the gold answer exactly, and the date context (Dec 28, 2038) is consistent with the memory update described. All material components of the gold answer are supported.</x:v>
      </x:c>
      <x:c r="E241" s="30" t="str">
        <x:v>ua3_representation_or_admission_failure</x:v>
      </x:c>
      <x:c r="F241" s="30" t="str">
        <x:v>correct</x:v>
      </x:c>
      <x:c r="G241" s="30" t="str">
        <x:v>The model answer 'cold brew espresso' is semantically identical to the gold answer 'Cold brew espresso', differing only in capitalization, which is a minor wording difference that does not affect the meaning.</x:v>
      </x:c>
      <x:c r="H241" s="30" t="str">
        <x:v>correct</x:v>
      </x:c>
      <x:c r="I241" s="30" t="str">
        <x:v>The model answer 'cold brew espresso' is semantically identical to the gold answer 'Cold brew espresso', differing only in capitalization, which is a minor wording difference that does not affect correctness.</x:v>
      </x:c>
      <x:c r="J241" s="30" t="str">
        <x:v>correct</x:v>
      </x:c>
      <x:c r="K241" s="30" t="str">
        <x:v>The model answer 'cold brew espresso' is semantically identical to the gold answer 'Cold brew espresso', differing only in capitalization, which is a minor wording difference that does not affect correctness.</x:v>
      </x:c>
      <x:c r="L241" s="30" t="str">
        <x:v>LongCat-2.0</x:v>
      </x:c>
      <x:c r="M241" s="30" t="str">
        <x:v>LongCat-2.0</x:v>
      </x:c>
      <x:c r="N241" s="30" t="str">
        <x:v>LongCat-2.0</x:v>
      </x:c>
      <x:c r="O241" s="30" t="str">
        <x:v>LongCat-2.0</x:v>
      </x:c>
    </x:row>
    <x:row r="242" ht="54" customHeight="1">
      <x:c r="A242" s="30" t="str">
        <x:v>memos_long:3175</x:v>
      </x:c>
      <x:c r="B242" s="30" t="str">
        <x:v>sufficient</x:v>
      </x:c>
      <x:c r="C242" s="30" t="str">
        <x:v>None. The evidence directly supports that Barbara plans to involve friends and colleagues in her sports activities, which fully answers the question.</x:v>
      </x:c>
      <x:c r="D242" s="30" t="str">
        <x:v>The question asks whether Barbara expressed disinterest in involving friends and colleagues in her sports activities on May 03, 2032. Evidence 1 explicitly states that Barbara 'plans to involve friends and colleagues,' which directly contradicts the idea of disinterest and fully supports the gold answer 'No, she plans to involve friends and colleagues.' Evidence 2 further reinforces this by showing she values sports that can be shared with friends. Together, the evidence contains every material component of the gold answer: the negation of disinterest and the affirmative plan to involve friends and colleagues.</x:v>
      </x:c>
      <x:c r="E242" s="30" t="str">
        <x:v>robust_generation_failure</x:v>
      </x:c>
      <x:c r="F242" s="30" t="str">
        <x:v>omission</x:v>
      </x:c>
      <x:c r="G242" s="30" t="str">
        <x:v>The model answer 'No' is factually aligned with the gold answer but omits the key supporting detail that she plans to involve friends and colleagues, making it an incomplete subset of the gold answer.</x:v>
      </x:c>
      <x:c r="H242" s="30" t="str">
        <x:v>omission</x:v>
      </x:c>
      <x:c r="I242" s="30" t="str">
        <x:v>The model answer 'No' is factually aligned with the gold answer but omits the key supporting detail that she plans to involve friends and colleagues, making it an incomplete subset of the gold answer.</x:v>
      </x:c>
      <x:c r="J242" s="30" t="str">
        <x:v>omission</x:v>
      </x:c>
      <x:c r="K242" s="30" t="str">
        <x:v>The model answer 'No' correctly indicates that Barbara did not express disinterest, but it omits the supporting detail from the gold answer that she plans to involve friends and colleagues. Since it provides only an incomplete subset of the gold answer without adding any false claim, it is an omission.</x:v>
      </x:c>
      <x:c r="L242" s="30" t="str">
        <x:v>LongCat-2.0</x:v>
      </x:c>
      <x:c r="M242" s="30" t="str">
        <x:v>LongCat-2.0</x:v>
      </x:c>
      <x:c r="N242" s="30" t="str">
        <x:v>LongCat-2.0</x:v>
      </x:c>
      <x:c r="O242" s="30" t="str">
        <x:v>LongCat-2.0</x:v>
      </x:c>
    </x:row>
    <x:row r="243" ht="54" customHeight="1">
      <x:c r="A243" s="30" t="str">
        <x:v>memos_long:2167</x:v>
      </x:c>
      <x:c r="B243" s="30" t="str">
        <x:v>sufficient</x:v>
      </x:c>
      <x:c r="C243" s="30" t="str">
        <x:v>None. The evidence directly supports that Sharon Brown enjoys active adventure travel experiences, as it mentions adventure cruises, active exploration, staying active, and seeking new challenges through travel.</x:v>
      </x:c>
      <x:c r="D243" s="30" t="str">
        <x:v>The gold answer is 'Active adventure travel experiences.' Evidence 1 states her travel preference includes adventure cruises. Evidence 2 states she plans adventure cruises for active exploration. Evidence 3 states she values staying active and seeking new challenges through travel. Together, these directly support that she enjoys active adventure travel experiences, covering every material component of the gold answer.</x:v>
      </x:c>
      <x:c r="E243" s="30" t="str">
        <x:v>robust_generation_failure</x:v>
      </x:c>
      <x:c r="F243" s="30" t="str">
        <x:v>hallucination</x:v>
      </x:c>
      <x:c r="G243"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H243" s="30" t="str">
        <x:v>hallucination</x:v>
      </x:c>
      <x:c r="I243"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J243" s="30" t="str">
        <x:v>omission</x:v>
      </x:c>
      <x:c r="K243" s="30" t="str">
        <x:v>The gold answer is 'Active adventure travel experiences,' which is a broad category. The model answer 'Adventure cruises' is a specific subset of adventure travel but does not fully capture the complete scope of the gold answer. It does not add a concrete false claim, so it is not a hallucination, but it is an incomplete subset, making it an omission.</x:v>
      </x:c>
      <x:c r="L243" s="30" t="str">
        <x:v>LongCat-2.0</x:v>
      </x:c>
      <x:c r="M243" s="30" t="str">
        <x:v>LongCat-2.0</x:v>
      </x:c>
      <x:c r="N243" s="30" t="str">
        <x:v>LongCat-2.0</x:v>
      </x:c>
      <x:c r="O243" s="30" t="str">
        <x:v>LongCat-2.0</x:v>
      </x:c>
    </x:row>
    <x:row r="244" ht="54" customHeight="1">
      <x:c r="A244" s="30" t="str">
        <x:v>memos_long:2153</x:v>
      </x:c>
      <x:c r="B244" s="30" t="str">
        <x:v>partial</x:v>
      </x:c>
      <x:c r="C244" s="30" t="str">
        <x:v>The evidence does not specify that Sharon Brown's mentoring goals are directed at 'young professionals' specifically; it only mentions mentoring goals in general.</x:v>
      </x:c>
      <x:c r="D244" s="30" t="str">
        <x:v>Evidence 1 supports 'collaboration on strategic initiatives' (via 'collaboration opportunities with her expanded professional network') and 'mentoring' (via 'mentoring goals'), and Evidence 2 supports the strategic aspect. However, the gold answer specifies 'mentoring young professionals,' and none of the evidence identifies the mentees as young professionals. Thus, one material component is not fully supported.</x:v>
      </x:c>
      <x:c r="E244" s="30" t="str">
        <x:v>evidence_definition_failure</x:v>
      </x:c>
      <x:c r="F244" s="30" t="str">
        <x:v>omission</x:v>
      </x:c>
      <x:c r="G244" s="30" t="str">
        <x:v>The model answer 'Collaboration and mentoring opportunities' captures the general themes but omits the specific details present in the gold answer: 'strategic initiatives' (specifying the type of collaboration) and 'young professionals' (specifying the mentoring audience). This makes it an incomplete subset of the gold answer.</x:v>
      </x:c>
      <x:c r="H244" s="30" t="str">
        <x:v>omission</x:v>
      </x:c>
      <x:c r="I244" s="30" t="str">
        <x:v>The model answer 'Collaboration and mentoring opportunities' captures the general themes of the gold answer but omits the specific details: 'strategic initiatives' (specifying the type of collaboration) and 'young professionals' (specifying who is being mentored). While not factually incorrect, it provides only an incomplete subset of the gold answer's content.</x:v>
      </x:c>
      <x:c r="J244" s="30" t="str">
        <x:v>omission</x:v>
      </x:c>
      <x:c r="K244" s="30" t="str">
        <x:v>The model answer 'Collaboration and mentoring opportunities' captures the general themes but omits the specific details present in the gold answer: 'strategic initiatives' (specifying the type of collaboration) and 'young professionals' (specifying who is being mentored). While not factually incorrect, the answer is an incomplete subset of the gold answer.</x:v>
      </x:c>
      <x:c r="L244" s="30" t="str">
        <x:v>LongCat-2.0</x:v>
      </x:c>
      <x:c r="M244" s="30" t="str">
        <x:v>LongCat-2.0</x:v>
      </x:c>
      <x:c r="N244" s="30" t="str">
        <x:v>LongCat-2.0</x:v>
      </x:c>
      <x:c r="O244" s="30" t="str">
        <x:v>LongCat-2.0</x:v>
      </x:c>
    </x:row>
    <x:row r="245" ht="54" customHeight="1">
      <x:c r="A245" s="30" t="str">
        <x:v>memos_medium:20</x:v>
      </x:c>
      <x:c r="B245" s="30" t="str">
        <x:v>sufficient</x:v>
      </x:c>
      <x:c r="C245" s="30" t="str">
        <x:v>None. The evidence directly supports both 'insights' (from Daniel) and 'collaborative approach' (from Joshua) as influences on Martin's career transition.</x:v>
      </x:c>
      <x:c r="D245" s="30" t="str">
        <x:v>The gold answer states that Martin's colleagues influenced his career transition through 'insights and a collaborative approach.' Evidence 1 shows Daniel offered 'valuable insights' that pushed Martin to think outside the box in his career, directly supporting the 'insights' component. Evidence 2 shows Joshua's 'collaborative approach' positively influenced Martin's leadership style, directly supporting the 'collaborative approach' component. Together, both material components of the gold answer are fully supported by the evidence.</x:v>
      </x:c>
      <x:c r="E245" s="30" t="str">
        <x:v>robust_generation_failure</x:v>
      </x:c>
      <x:c r="F245" s="30" t="str">
        <x:v>omission</x:v>
      </x:c>
      <x:c r="G245" s="30" t="str">
        <x:v>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collaborative approach, which is a key component of the complete answer.</x:v>
      </x:c>
      <x:c r="H245" s="30" t="str">
        <x:v>omission</x:v>
      </x:c>
      <x:c r="I245" s="30" t="str">
        <x:v>The gold answer states that Martin's colleagues influenced his career transition through 'insights and a collaborative approach.' The model answer mentions that 'Daniel offered insights' (which partially covers 'insights') and 'Joshua influenced leadership' (which is not mentioned in the gold answer and does not capture the 'collaborative approach'). While the model provides some relevant information, it fails to convey the complete gold answer—specifically omitting the 'collaborative approach' aspect—and adds unsupported details about Joshua and leadership. Since it gives only an incomplete subset of the gold answer, it qualifies as an omission.</x:v>
      </x:c>
      <x:c r="J245" s="30" t="str">
        <x:v>omission</x:v>
      </x:c>
      <x:c r="K245" s="30" t="str">
        <x:v>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key element of collaboration, making it an omission rather than a complete semantic match.</x:v>
      </x:c>
      <x:c r="L245" s="30" t="str">
        <x:v>LongCat-2.0</x:v>
      </x:c>
      <x:c r="M245" s="30" t="str">
        <x:v>LongCat-2.0</x:v>
      </x:c>
      <x:c r="N245" s="30" t="str">
        <x:v>LongCat-2.0</x:v>
      </x:c>
      <x:c r="O245" s="30" t="str">
        <x:v>LongCat-2.0</x:v>
      </x:c>
    </x:row>
    <x:row r="246" ht="54" customHeight="1">
      <x:c r="A246" s="30" t="str">
        <x:v>memos_medium:2155</x:v>
      </x:c>
      <x:c r="B246" s="30" t="str">
        <x:v>partial</x:v>
      </x:c>
      <x:c r="C246" s="30" t="str">
        <x:v>The evidence does not state Sharon Brown's income before the promotion, so the change (increase) cannot be confirmed; it only shows the post-promotion income of $15,000.</x:v>
      </x:c>
      <x:c r="D246" s="30" t="str">
        <x:v>Evidence 1 provides the post-promotion monthly income ($15,000) and Evidence 2 confirms a promotion occurred (Mentor to Senior Advisor). However, the gold answer 'Increased to $15,000' requires knowing both the pre-promotion income and that it was lower than $15,000. The evidence lacks any information about her previous income, so the 'increased' component cannot be derived.</x:v>
      </x:c>
      <x:c r="E246" s="30" t="str">
        <x:v>evidence_definition_failure</x:v>
      </x:c>
      <x:c r="F246" s="30" t="str">
        <x:v>hallucination</x:v>
      </x:c>
      <x:c r="G246" s="30" t="str">
        <x:v>The gold answer states that Sharon Brown's monthly income increased to $15,000 after her promotion, while the model answer claims 'No change,' which directly contradicts the gold answer with a concrete false claim.</x:v>
      </x:c>
      <x:c r="H246" s="30" t="str">
        <x:v>hallucination</x:v>
      </x:c>
      <x:c r="I246" s="30" t="str">
        <x:v>The model answer 'No change' directly contradicts the gold answer 'Increased to $15,000', which is a concrete claim about the income change.</x:v>
      </x:c>
      <x:c r="J246" s="30" t="str">
        <x:v>hallucination</x:v>
      </x:c>
      <x:c r="K246" s="30" t="str">
        <x:v>The model answer 'No change' directly contradicts the gold answer 'Increased to $15,000', which is a concrete claim about the income change.</x:v>
      </x:c>
      <x:c r="L246" s="30" t="str">
        <x:v>LongCat-2.0</x:v>
      </x:c>
      <x:c r="M246" s="30" t="str">
        <x:v>LongCat-2.0</x:v>
      </x:c>
      <x:c r="N246" s="30" t="str">
        <x:v>LongCat-2.0</x:v>
      </x:c>
      <x:c r="O246" s="30" t="str">
        <x:v>LongCat-2.0</x:v>
      </x:c>
    </x:row>
    <x:row r="247" ht="54" customHeight="1">
      <x:c r="A247" s="30" t="str">
        <x:v>memos_long:3048</x:v>
      </x:c>
      <x:c r="B247" s="30" t="str">
        <x:v>insufficient</x:v>
      </x:c>
      <x:c r="C247" s="30" t="str">
        <x:v>The evidence does not mention running, cycling, or triathlon. It only discusses Karen Brown's interest in competitive swimming and its benefits, but provides no information about her considering a new sport that combines swimming, running, and cycling.</x:v>
      </x:c>
      <x:c r="D247" s="30" t="str">
        <x:v>The gold answer is 'Triathlon, as it includes swimming, running, and cycling.' The evidence only supports Karen Brown's interest in competitive swimming (one component of triathlon), but there is no evidence that she has considered or would consider running, cycling, or triathlon as a new sport. The evidence is entirely about swimming and does not address the other two sports or the concept of triathlon.</x:v>
      </x:c>
      <x:c r="E247" s="30" t="str">
        <x:v>evidence_definition_failure</x:v>
      </x:c>
      <x:c r="F247" s="30" t="str">
        <x:v>omission</x:v>
      </x:c>
      <x:c r="G247"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H247" s="30" t="str">
        <x:v>omission</x:v>
      </x:c>
      <x:c r="I247"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J247" s="30" t="str">
        <x:v>omission</x:v>
      </x:c>
      <x:c r="K247"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L247" s="30" t="str">
        <x:v>LongCat-2.0</x:v>
      </x:c>
      <x:c r="M247" s="30" t="str">
        <x:v>LongCat-2.0</x:v>
      </x:c>
      <x:c r="N247" s="30" t="str">
        <x:v>LongCat-2.0</x:v>
      </x:c>
      <x:c r="O247" s="30" t="str">
        <x:v>LongCat-2.0</x:v>
      </x:c>
    </x:row>
    <x:row r="248" ht="54" customHeight="1">
      <x:c r="A248" s="30" t="str">
        <x:v>memos_long:127</x:v>
      </x:c>
      <x:c r="B248" s="30" t="str">
        <x:v>partial</x:v>
      </x:c>
      <x:c r="C248" s="30" t="str">
        <x:v>The evidence does not explicitly state that the promotion on April 25, 2033, motivated sustained health practices by June 15, 2033. While Evidence 1 shows Martin's pride and apprehension about the promotion, and Evidence 3 shows he emphasized integrating health practices into daily routines to sustain professional success, there is no direct causal link established between the specific promotion event and sustained health practices within the specified timeframe.</x:v>
      </x:c>
      <x:c r="D248" s="30" t="str">
        <x:v>The gold answer requires showing that the promotion motivated sustained health practices. Evidence 1 establishes the promotion occurred and Martin's mixed feelings about it. Evidence 2 shows Martin's commitment to yoga and meditation. Evidence 3 shows Martin's belief in integrating health practices for professional success. However, the evidence does not directly connect the promotion as the motivation for sustained health practices, nor does it confirm the timeframe of June 15, 2033. The causal relationship between the promotion and health practices is implied but not explicitly stated, making this partial support.</x:v>
      </x:c>
      <x:c r="E248" s="30" t="str">
        <x:v>evidence_definition_failure</x:v>
      </x:c>
      <x:c r="F248" s="30" t="str">
        <x:v>omission</x:v>
      </x:c>
      <x:c r="G248" s="30" t="str">
        <x:v>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gives only an incomplete subset without adding a false claim, fitting the definition of omission.</x:v>
      </x:c>
      <x:c r="H248" s="30" t="str">
        <x:v>omission</x:v>
      </x:c>
      <x:c r="I248" s="30" t="str">
        <x:v>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only addresses the absence of negative impact without capturing the positive motivational effect described in the gold answer.</x:v>
      </x:c>
      <x:c r="J248" s="30" t="str">
        <x:v>omission</x:v>
      </x:c>
      <x:c r="K248" s="30" t="str">
        <x:v>The gold answer states that the promotion motivated sustained health practices, which is a positive impact. The model answer 'No negative impact' does not contradict the gold answer but fails to provide the complete semantic content — it only addresses the absence of negative effects without affirming the positive motivational impact described in the gold answer. This constitutes an incomplete subset of the gold answer.</x:v>
      </x:c>
      <x:c r="L248" s="30" t="str">
        <x:v>LongCat-2.0</x:v>
      </x:c>
      <x:c r="M248" s="30" t="str">
        <x:v>LongCat-2.0</x:v>
      </x:c>
      <x:c r="N248" s="30" t="str">
        <x:v>LongCat-2.0</x:v>
      </x:c>
      <x:c r="O248" s="30" t="str">
        <x:v>LongCat-2.0</x:v>
      </x:c>
    </x:row>
    <x:row r="249" ht="54" customHeight="1">
      <x:c r="A249" s="30" t="str">
        <x:v>memos_medium:2793</x:v>
      </x:c>
      <x:c r="B249" s="30" t="str">
        <x:v>sufficient</x:v>
      </x:c>
      <x:c r="C249" s="30" t="str">
        <x:v>None. The evidence directly supports that Donald Smith enjoys complex and diverse flavors.</x:v>
      </x:c>
      <x:c r="D249" s="30" t="str">
        <x:v>Evidence 1 explicitly states Donald Smith has a 'broader appreciation for complex flavors' due to diverse culinary experiences. Evidence 2 reinforces that his evolving food preferences reflect a strategy to embrace diverse experiences. Together, these directly support the gold answer 'Complex and diverse flavors,' covering both material components: 'complex' and 'diverse.'</x:v>
      </x:c>
      <x:c r="E249" s="30" t="str">
        <x:v>ua3_representation_or_admission_failure</x:v>
      </x:c>
      <x:c r="F249" s="30" t="str">
        <x:v>correct</x:v>
      </x:c>
      <x:c r="G249" s="30" t="str">
        <x:v>The model answer 'Diverse or complex cuisines' semantically captures the complete gold answer 'Complex and diverse flavors.' Both convey the same core idea of cuisines with varied and intricate flavor profiles, with only minor wording differences.</x:v>
      </x:c>
      <x:c r="H249" s="30" t="str">
        <x:v>correct</x:v>
      </x:c>
      <x:c r="I249" s="30" t="str">
        <x:v>The model answer 'Diverse or complex cuisines' semantically captures the complete gold answer 'Complex and diverse flavors,' conveying the same meaning with slightly different wording.</x:v>
      </x:c>
      <x:c r="J249" s="30" t="str">
        <x:v>correct</x:v>
      </x:c>
      <x:c r="K249" s="30" t="str">
        <x:v>The model answer 'Diverse or complex cuisines' semantically captures the complete meaning of the gold answer 'Complex and diverse flavors,' with only minor wording differences and no added false claims.</x:v>
      </x:c>
      <x:c r="L249" s="30" t="str">
        <x:v>LongCat-2.0</x:v>
      </x:c>
      <x:c r="M249" s="30" t="str">
        <x:v>LongCat-2.0</x:v>
      </x:c>
      <x:c r="N249" s="30" t="str">
        <x:v>LongCat-2.0</x:v>
      </x:c>
      <x:c r="O249" s="30" t="str">
        <x:v>LongCat-2.0</x:v>
      </x:c>
    </x:row>
    <x:row r="250" ht="54" customHeight="1">
      <x:c r="A250" s="30" t="str">
        <x:v>memos_long:3399</x:v>
      </x:c>
      <x:c r="B250" s="30" t="str">
        <x:v>sufficient</x:v>
      </x:c>
      <x:c r="C250" s="30" t="str">
        <x:v>None. The evidence directly supports both material components of the gold answer: 'social interactions' (Evidence 1 and 2) and 'new insights' (Evidence 2). Evidence 3 further supports Christopher's openness to evolving his preferences, reinforcing the plausibility of exploring new genres.</x:v>
      </x:c>
      <x:c r="D250" s="30" t="str">
        <x:v>The gold answer states that Christopher might explore games offering 'social interactions and new insights.' Evidence 2 explicitly states that Christopher expressed excitement about first-person shooters offering 'new insights and social interactions,' directly matching both material components of the gold answer. Evidence 1 supports the social motivation aspect, and Evidence 3 supports his willingness to evolve preferences. Taken together, the evidence fully supports the complete gold answer.</x:v>
      </x:c>
      <x:c r="E250" s="30" t="str">
        <x:v>robust_generation_failure</x:v>
      </x:c>
      <x:c r="F250" s="30" t="str">
        <x:v>hallucination</x:v>
      </x:c>
      <x:c r="G250"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H250" s="30" t="str">
        <x:v>hallucination</x:v>
      </x:c>
      <x:c r="I250"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J250" s="30" t="str">
        <x:v>hallucination</x:v>
      </x:c>
      <x:c r="K250"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presented as a subset or equivalent of the gold answer. This constitutes an unsupported, incorrect claim.</x:v>
      </x:c>
      <x:c r="L250" s="30" t="str">
        <x:v>LongCat-2.0</x:v>
      </x:c>
      <x:c r="M250" s="30" t="str">
        <x:v>LongCat-2.0</x:v>
      </x:c>
      <x:c r="N250" s="30" t="str">
        <x:v>LongCat-2.0</x:v>
      </x:c>
      <x:c r="O250" s="30" t="str">
        <x:v>LongCat-2.0</x:v>
      </x:c>
    </x:row>
    <x:row r="251" ht="54" customHeight="1">
      <x:c r="A251" s="30" t="str">
        <x:v>memos_medium:2859</x:v>
      </x:c>
      <x:c r="B251" s="30" t="str">
        <x:v>sufficient</x:v>
      </x:c>
      <x:c r="C251" s="30" t="str"/>
      <x:c r="D251" s="30" t="str">
        <x:v>Evidence 2 directly states that Donald plans to adopt healthier routines (such as regular exercise, meditation, and journaling) and seek emotional support to manage health challenges effectively. This covers both material components of the gold answer: 'adopted healthier routines' and 'sought emotional support.' Evidence 1 provides additional context about his commitment to managing health challenges. Together, the evidence fully supports the gold answer.</x:v>
      </x:c>
      <x:c r="E251" s="30" t="str">
        <x:v>robust_generation_failure</x:v>
      </x:c>
      <x:c r="F251" s="30" t="str">
        <x:v>omission</x:v>
      </x:c>
      <x:c r="G251" s="30" t="str">
        <x:v>The model answer only mentions 'adopted healthier routines' but omits the second part of the gold answer, 'sought emotional support.' Since it provides an incomplete subset without adding a false claim, it is an omission.</x:v>
      </x:c>
      <x:c r="H251" s="30" t="str">
        <x:v>omission</x:v>
      </x:c>
      <x:c r="I251" s="30" t="str">
        <x:v>The model answer only mentions 'adopted healthier routines' but omits the second part of the gold answer, 'sought emotional support.' It does not add any false information, so it is an incomplete subset rather than a hallucination.</x:v>
      </x:c>
      <x:c r="J251" s="30" t="str">
        <x:v>omission</x:v>
      </x:c>
      <x:c r="K251" s="30" t="str">
        <x:v>The model answer only mentions 'adopted healthier routines' but omits the second part of the gold answer, 'sought emotional support.' It does not add any false information, so it is an incomplete subset of the gold answer.</x:v>
      </x:c>
      <x:c r="L251" s="30" t="str">
        <x:v>LongCat-2.0</x:v>
      </x:c>
      <x:c r="M251" s="30" t="str">
        <x:v>LongCat-2.0</x:v>
      </x:c>
      <x:c r="N251" s="30" t="str">
        <x:v>LongCat-2.0</x:v>
      </x:c>
      <x:c r="O251" s="30" t="str">
        <x:v>LongCat-2.0</x:v>
      </x:c>
    </x:row>
    <x:row r="252" ht="54" customHeight="1">
      <x:c r="A252" s="30" t="str">
        <x:v>memos_medium:661</x:v>
      </x:c>
      <x:c r="B252" s="30" t="str">
        <x:v>sufficient</x:v>
      </x:c>
      <x:c r="C252" s="30" t="str">
        <x:v>None. The evidence fully supports that Sarah Garcia would enjoy a class focusing on artistic food presentation after April 20, 2038.</x:v>
      </x:c>
      <x:c r="D252" s="30" t="str">
        <x:v>Evidence 1 establishes that Sarah participated in a sushi-making class on Apr 20, 2038, which enhanced her appreciation for the artistry and skill involved in sushi preparation. Evidence 2 shows her food preference evolved to admiring handcrafted sushi specifically for its artistic presentation and meticulous preparation. Evidence 3 confirms her enthusiasm for exploring new culinary avenues driven by creative motivation. Together, these three pieces of evidence directly support that after April 20, 2038, Sarah Garcia would enjoy a class focusing on artistic food presentation, as her appreciation for artistry in food was heightened by the sushi class and she has a creative drive to explore new culinary avenues. Every material component of the gold answer is derivable from the evidence.</x:v>
      </x:c>
      <x:c r="E252" s="30" t="str">
        <x:v>robust_generation_failure</x:v>
      </x:c>
      <x:c r="F252" s="30" t="str">
        <x:v>hallucination</x:v>
      </x:c>
      <x:c r="G252" s="30" t="str">
        <x:v>The gold answer specifies a class focusing on artistic food presentation, while the model answer suggests a sushi-making class. Although sushi-making can involve artistic presentation, it is a specific type of class that is not semantically equivalent to the broader category of artistic food presentation. The model's answer introduces a concrete, specific claim that is not supported by the gold answer, making it a hallucination.</x:v>
      </x:c>
      <x:c r="H252" s="30" t="str">
        <x:v>hallucination</x:v>
      </x:c>
      <x:c r="I252"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J252" s="30" t="str">
        <x:v>hallucination</x:v>
      </x:c>
      <x:c r="K252"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L252" s="30" t="str">
        <x:v>LongCat-2.0</x:v>
      </x:c>
      <x:c r="M252" s="30" t="str">
        <x:v>LongCat-2.0</x:v>
      </x:c>
      <x:c r="N252" s="30" t="str">
        <x:v>LongCat-2.0</x:v>
      </x:c>
      <x:c r="O252" s="30" t="str">
        <x:v>LongCat-2.0</x:v>
      </x:c>
    </x:row>
    <x:row r="253" ht="54" customHeight="1">
      <x:c r="A253" s="30" t="str">
        <x:v>memos_medium:808</x:v>
      </x:c>
      <x:c r="B253" s="30" t="str">
        <x:v>sufficient</x:v>
      </x:c>
      <x:c r="C253" s="30" t="str"/>
      <x:c r="D253" s="30" t="str">
        <x:v>The gold answer lists three strategic planning steps: locations, funding, and curriculum development. Evidence 1 explicitly states that Donna Gonzalez is 'considering locations, funding, and curriculum development,' which directly matches all three material components of the gold answer. Evidence 2 provides additional supporting context about strategic planning but is not needed to derive the answer. All material components of the gold answer are fully supported by the evidence.</x:v>
      </x:c>
      <x:c r="E253" s="30" t="str">
        <x:v>robust_generation_failure</x:v>
      </x:c>
      <x:c r="F253" s="30" t="str">
        <x:v>omission</x:v>
      </x:c>
      <x:c r="G253" s="30" t="str">
        <x:v>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x:v>
      </x:c>
      <x:c r="H253" s="30" t="str">
        <x:v>omission</x:v>
      </x:c>
      <x:c r="I253" s="30" t="str">
        <x:v>The model answer mentions sponsorships and faculty recruitment, which are not part of the gold answer's focus on locations, funding, and curriculum development. While sponsorships loosely relate to funding, the answer omits locations and curriculum development entirely and does not provide a complete semantic match to the gold answer.</x:v>
      </x:c>
      <x:c r="J253" s="30" t="str">
        <x:v>omission</x:v>
      </x:c>
      <x:c r="K253" s="30" t="str">
        <x:v>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x:v>
      </x:c>
      <x:c r="L253" s="30" t="str">
        <x:v>LongCat-2.0</x:v>
      </x:c>
      <x:c r="M253" s="30" t="str">
        <x:v>LongCat-2.0</x:v>
      </x:c>
      <x:c r="N253" s="30" t="str">
        <x:v>LongCat-2.0</x:v>
      </x:c>
      <x:c r="O253" s="30" t="str">
        <x:v>LongCat-2.0</x:v>
      </x:c>
    </x:row>
    <x:row r="254" ht="54" customHeight="1">
      <x:c r="A254" s="30" t="str">
        <x:v>memos_long:1878</x:v>
      </x:c>
      <x:c r="B254" s="30" t="str">
        <x:v>sufficient</x:v>
      </x:c>
      <x:c r="C254" s="30" t="str">
        <x:v>None. The evidence directly states that Michelle Hernandez's monthly_income was updated from '0' to '12000', which fully supports the gold answer 'Increased to 12000'.</x:v>
      </x:c>
      <x:c r="D254" s="30" t="str">
        <x:v>Evidence 1 explicitly states that Michelle Hernandez's career_status updated monthly_income from '0' to '12000'. This directly supports the gold answer 'Increased to 12000' with no missing components. Evidence 2 provides additional context about her job title change but is not required to derive the income answer. All material components of the gold answer are fully supported by the evidence.</x:v>
      </x:c>
      <x:c r="E254" s="30" t="str">
        <x:v>ua3_representation_or_admission_failure</x:v>
      </x:c>
      <x:c r="F254" s="30" t="str">
        <x:v>correct</x:v>
      </x:c>
      <x:c r="G254" s="30" t="str">
        <x:v>The model answer states the income increased to $12,000, which is semantically identical to the gold answer of 12000. The only difference is the addition of a dollar sign and comma formatting, which does not change the meaning.</x:v>
      </x:c>
      <x:c r="H254" s="30" t="str">
        <x:v>correct</x:v>
      </x:c>
      <x:c r="I254" s="30" t="str">
        <x:v>The model answer states the income increased to $12,000, which is semantically identical to the gold answer of 12000. The only difference is the addition of a dollar sign and comma formatting, which does not change the meaning.</x:v>
      </x:c>
      <x:c r="J254" s="30" t="str">
        <x:v>correct</x:v>
      </x:c>
      <x:c r="K254" s="30" t="str">
        <x:v>The model answer states the income increased to $12,000, which is semantically identical to the gold answer of 12000. The addition of the dollar sign and comma formatting does not change the meaning or introduce any false information.</x:v>
      </x:c>
      <x:c r="L254" s="30" t="str">
        <x:v>LongCat-2.0</x:v>
      </x:c>
      <x:c r="M254" s="30" t="str">
        <x:v>LongCat-2.0</x:v>
      </x:c>
      <x:c r="N254" s="30" t="str">
        <x:v>LongCat-2.0</x:v>
      </x:c>
      <x:c r="O254" s="30" t="str">
        <x:v>LongCat-2.0</x:v>
      </x:c>
    </x:row>
    <x:row r="255" ht="54" customHeight="1">
      <x:c r="A255" s="30" t="str">
        <x:v>memos_long:2183</x:v>
      </x:c>
      <x:c r="B255" s="30" t="str">
        <x:v>insufficient</x:v>
      </x:c>
      <x:c r="C255" s="30" t="str">
        <x:v>The exact date Sharon Brown joined the board game club (January 9, 2032).</x:v>
      </x:c>
      <x:c r="D255" s="30" t="str">
        <x:v>Evidence 1 confirms that Sharon Brown joined a local board game club and discovered advanced strategy games there, which supports the event itself. However, it provides no temporal information whatsoever—no date, month, year, or any time reference that would allow derivation of the specific date January 9, 2032. The gold answer's material component is the date, which is entirely missing from the evidence.</x:v>
      </x:c>
      <x:c r="E255" s="30" t="str">
        <x:v>evidence_definition_failure</x:v>
      </x:c>
      <x:c r="F255" s="30" t="str">
        <x:v>omission</x:v>
      </x:c>
      <x:c r="G255" s="30" t="str">
        <x:v>The model answer states that the evidence does not include a date, which means it gives no answer to the question. This is an omission because it does not provide the complete gold answer (January 9, 2032) and instead indicates that the information is unknown or unavailable.</x:v>
      </x:c>
      <x:c r="H255" s="30" t="str">
        <x:v>omission</x:v>
      </x:c>
      <x:c r="I255" s="30" t="str">
        <x:v>The model answer states that the evidence does not include a date, which means it does not provide the gold answer (January 9, 2032) and instead indicates the information is unknown or unavailable. This is an incomplete response that fails to supply the concrete answer, fitting the definition of omission.</x:v>
      </x:c>
      <x:c r="J255" s="30" t="str">
        <x:v>omission</x:v>
      </x:c>
      <x:c r="K255" s="30" t="str">
        <x:v>The model answer states that the evidence does not include a date, which means it gives no answer to the question. This is an omission because it does not provide the complete gold answer (January 9, 2032) and instead indicates that the information is unknown or unavailable.</x:v>
      </x:c>
      <x:c r="L255" s="30" t="str">
        <x:v>LongCat-2.0</x:v>
      </x:c>
      <x:c r="M255" s="30" t="str">
        <x:v>LongCat-2.0</x:v>
      </x:c>
      <x:c r="N255" s="30" t="str">
        <x:v>LongCat-2.0</x:v>
      </x:c>
      <x:c r="O255" s="30" t="str">
        <x:v>LongCat-2.0</x:v>
      </x:c>
    </x:row>
    <x:row r="256" ht="54" customHeight="1">
      <x:c r="A256" s="30" t="str">
        <x:v>memos_medium:920</x:v>
      </x:c>
      <x:c r="B256" s="30" t="str">
        <x:v>sufficient</x:v>
      </x:c>
      <x:c r="C256" s="30" t="str">
        <x:v>none</x:v>
      </x:c>
      <x:c r="D256" s="30" t="str">
        <x:v>Evidence 1 directly states that Donna attended the seminar on environmental sustainability on Oct 31, 2028. The question asks whether she attended it before October 31, 2028. Since the date is exactly October 31, 2028, she did not attend it before that date. This fully supports the gold answer: 'No, she attended it on October 31, 2028.' All material components (the 'No' and the specific date) are derivable from the evidence.</x:v>
      </x:c>
      <x:c r="E256" s="30" t="str">
        <x:v>robust_generation_failure</x:v>
      </x:c>
      <x:c r="F256" s="30" t="str">
        <x:v>omission</x:v>
      </x:c>
      <x:c r="G256" s="30" t="str">
        <x:v>The model answer 'No' is incomplete. The gold answer specifies that Donna attended the seminar on October 31, 2028, which is not before that date. The model fails to provide this key detail, making it an omission.</x:v>
      </x:c>
      <x:c r="H256" s="30" t="str">
        <x:v>omission</x:v>
      </x:c>
      <x:c r="I256" s="30" t="str">
        <x:v>The model answer 'No' is incomplete. The gold answer specifies that Donna attended the seminar on October 31, 2028, which is the key detail needed to fully answer the question. The model's response lacks this concrete information, making it an omission.</x:v>
      </x:c>
      <x:c r="J256" s="30" t="str">
        <x:v>omission</x:v>
      </x:c>
      <x:c r="K256" s="30" t="str">
        <x:v>The model answer 'No' is incomplete. The gold answer specifies that Donna attended the seminar on October 31, 2028, which is not before that date. The model fails to provide the complete information, making it an omission.</x:v>
      </x:c>
      <x:c r="L256" s="30" t="str">
        <x:v>LongCat-2.0</x:v>
      </x:c>
      <x:c r="M256" s="30" t="str">
        <x:v>LongCat-2.0</x:v>
      </x:c>
      <x:c r="N256" s="30" t="str">
        <x:v>LongCat-2.0</x:v>
      </x:c>
      <x:c r="O256" s="30" t="str">
        <x:v>LongCat-2.0</x:v>
      </x:c>
    </x:row>
    <x:row r="257" ht="54" customHeight="1">
      <x:c r="A257" s="30" t="str">
        <x:v>memos_long:2945</x:v>
      </x:c>
      <x:c r="B257" s="30" t="str">
        <x:v>sufficient</x:v>
      </x:c>
      <x:c r="C257" s="30" t="str"/>
      <x:c r="D257" s="30" t="str">
        <x:v>The gold answer has two material components: (1) Karen did not express a dislike for small dogs, and (2) she reconsidered her dislike for large dogs instead. Evidence 1 directly states that Karen spent time with a large dog and reconsidered her previous dislike for large dogs. Evidence 2 reinforces that she now appreciates large dogs. Together, these establish that her reconsideration was about large dogs, not small dogs, which supports the negative answer to whether she expressed dislike for small dogs. All material components of the gold answer are derivable from the evidence.</x:v>
      </x:c>
      <x:c r="E257" s="30" t="str">
        <x:v>robust_generation_failure</x:v>
      </x:c>
      <x:c r="F257" s="30" t="str">
        <x:v>omission</x:v>
      </x:c>
      <x:c r="G257" s="30" t="str">
        <x:v>The model answer 'No, she did not' is factually consistent with the gold answer but omits the key detail that Karen reconsidered her dislike for large dogs, not small dogs. It provides only an incomplete subset of the gold answer without adding a concrete false claim.</x:v>
      </x:c>
      <x:c r="H257" s="30" t="str">
        <x:v>omission</x:v>
      </x:c>
      <x:c r="I257" s="30" t="str">
        <x:v>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x:v>
      </x:c>
      <x:c r="J257" s="30" t="str">
        <x:v>omission</x:v>
      </x:c>
      <x:c r="K257" s="30" t="str">
        <x:v>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x:v>
      </x:c>
      <x:c r="L257" s="30" t="str">
        <x:v>LongCat-2.0</x:v>
      </x:c>
      <x:c r="M257" s="30" t="str">
        <x:v>LongCat-2.0</x:v>
      </x:c>
      <x:c r="N257" s="30" t="str">
        <x:v>LongCat-2.0</x:v>
      </x:c>
      <x:c r="O257" s="30" t="str">
        <x:v>LongCat-2.0</x:v>
      </x:c>
    </x:row>
    <x:row r="258" ht="54" customHeight="1">
      <x:c r="A258" s="30" t="str">
        <x:v>memos_medium:878</x:v>
      </x:c>
      <x:c r="B258" s="30" t="str">
        <x:v>sufficient</x:v>
      </x:c>
      <x:c r="C258" s="30" t="str"/>
      <x:c r="D258" s="30" t="str">
        <x:v>Evidence 1 explicitly states that Donna Gonzalez's ultimate life goal includes 'establishing a music academy,' which directly matches the gold answer 'Establish a music academy.' The evidence is authoritative and contains the complete material component of the answer, so no information is missing.</x:v>
      </x:c>
      <x:c r="E258" s="30" t="str">
        <x:v>robust_generation_failure</x:v>
      </x:c>
      <x:c r="F258" s="30" t="str">
        <x:v>hallucination</x:v>
      </x:c>
      <x:c r="G258" s="30" t="str">
        <x:v>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x:v>
      </x:c>
      <x:c r="H258" s="30" t="str">
        <x:v>hallucination</x:v>
      </x:c>
      <x:c r="I258" s="30" t="str">
        <x:v>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x:v>
      </x:c>
      <x:c r="J258" s="30" t="str">
        <x:v>hallucination</x:v>
      </x:c>
      <x:c r="K258" s="30" t="str">
        <x:v>The gold answer is 'Establish a music academy.' The model answer includes 'establishing academy' which aligns with the gold answer, but it also adds 'Redefining film music,' which is unsupported and not part of the gold answer. This constitutes a concrete claim that is not in the gold answer, making it a hallucination.</x:v>
      </x:c>
      <x:c r="L258" s="30" t="str">
        <x:v>LongCat-2.0</x:v>
      </x:c>
      <x:c r="M258" s="30" t="str">
        <x:v>LongCat-2.0</x:v>
      </x:c>
      <x:c r="N258" s="30" t="str">
        <x:v>LongCat-2.0</x:v>
      </x:c>
      <x:c r="O258" s="30" t="str">
        <x:v>LongCat-2.0</x:v>
      </x:c>
    </x:row>
    <x:row r="259" ht="54" customHeight="1">
      <x:c r="A259" s="30" t="str">
        <x:v>memos_long:491</x:v>
      </x:c>
      <x:c r="B259" s="30" t="str">
        <x:v>partial</x:v>
      </x:c>
      <x:c r="C259" s="30" t="str">
        <x:v>The evidence does not mention the date March 18, 2034, nor does it mention 'style' as a reason for the preference.</x:v>
      </x:c>
      <x:c r="D259" s="30" t="str">
        <x:v>The gold answer has three material components: (1) the clothing preference is polo shirts, (2) the reason is versatility, and (3) the reason is style. Evidence 1 supports component (1) and partially supports component (2) by mentioning 'versatility,' but it does not mention 'style' at all—instead citing 'ability to transition between casual and formal settings.' Additionally, the evidence contains no temporal information linking this preference to March 18, 2034. Therefore, some but not all material components are supported.</x:v>
      </x:c>
      <x:c r="E259" s="30" t="str">
        <x:v>evidence_definition_failure</x:v>
      </x:c>
      <x:c r="F259" s="30" t="str">
        <x:v>omission</x:v>
      </x:c>
      <x:c r="G259" s="30" t="str">
        <x:v>The model answer 'Polo shirts' provides only an incomplete subset of the gold answer, which includes the reason 'for their versatility and style.' While the model does not make a false claim, it omits key information present in the benchmark answer.</x:v>
      </x:c>
      <x:c r="H259" s="30" t="str">
        <x:v>omission</x:v>
      </x:c>
      <x:c r="I259" s="30" t="str">
        <x:v>The model answer 'Polo shirts' provides only a partial subset of the gold answer, which includes the reason 'for their versatility and style.' While the model does not make a false claim, it omits key information present in the gold answer, making it incomplete.</x:v>
      </x:c>
      <x:c r="J259" s="30" t="str">
        <x:v>omission</x:v>
      </x:c>
      <x:c r="K259" s="30" t="str">
        <x:v>The model answer 'Polo shirts' provides only a partial subset of the gold answer, which includes the reason 'for their versatility and style.' While the model does not make a false claim, it omits key information present in the gold answer, making it incomplete.</x:v>
      </x:c>
      <x:c r="L259" s="30" t="str">
        <x:v>LongCat-2.0</x:v>
      </x:c>
      <x:c r="M259" s="30" t="str">
        <x:v>LongCat-2.0</x:v>
      </x:c>
      <x:c r="N259" s="30" t="str">
        <x:v>LongCat-2.0</x:v>
      </x:c>
      <x:c r="O259" s="30" t="str">
        <x:v>LongCat-2.0</x:v>
      </x:c>
    </x:row>
    <x:row r="260" ht="54" customHeight="1">
      <x:c r="A260" s="30" t="str">
        <x:v>memos_medium:975</x:v>
      </x:c>
      <x:c r="B260" s="30" t="str">
        <x:v>sufficient</x:v>
      </x:c>
      <x:c r="C260" s="30" t="str"/>
      <x:c r="D260" s="30" t="str">
        <x:v>The question asks whether Donna expressed gratitude *only* towards Sarah and Karen during her reflection on March 01, 2034. Evidence 2 explicitly states that Donna expressed gratitude towards her colleagues, particularly Sarah, Karen, and Anthony. This directly supports the gold answer's material component that she also expressed gratitude towards Anthony, which means she did not express gratitude *only* towards Sarah and Karen. The complete gold answer ('No, she also expressed gratitude towards Anthony') is fully derivable from the provided evidence.</x:v>
      </x:c>
      <x:c r="E260" s="30" t="str">
        <x:v>ua3_representation_or_admission_failure</x:v>
      </x:c>
      <x:c r="F260" s="30" t="str">
        <x:v>correct</x:v>
      </x:c>
      <x:c r="G260" s="30" t="str">
        <x:v>The model answer 'No, also Anthony' semantically conveys the complete gold answer 'No, she also expressed gratitude towards Anthony.' The wording is abbreviated but fully captures the meaning without contradiction or omission.</x:v>
      </x:c>
      <x:c r="H260" s="30" t="str">
        <x:v>correct</x:v>
      </x:c>
      <x:c r="I260" s="30" t="str">
        <x:v>The model answer 'No, also Anthony' semantically conveys the complete gold answer 'No, she also expressed gratitude towards Anthony.' The wording is abbreviated but fully captures the meaning without contradiction or omission.</x:v>
      </x:c>
      <x:c r="J260" s="30" t="str">
        <x:v>correct</x:v>
      </x:c>
      <x:c r="K260" s="30" t="str">
        <x:v>The model answer 'No, also Anthony' semantically conveys the complete gold answer 'No, she also expressed gratitude towards Anthony.' The wording differs slightly but the meaning is identical, and no information is missing or incorrect.</x:v>
      </x:c>
      <x:c r="L260" s="30" t="str">
        <x:v>LongCat-2.0</x:v>
      </x:c>
      <x:c r="M260" s="30" t="str">
        <x:v>LongCat-2.0</x:v>
      </x:c>
      <x:c r="N260" s="30" t="str">
        <x:v>LongCat-2.0</x:v>
      </x:c>
      <x:c r="O260" s="30" t="str">
        <x:v>LongCat-2.0</x:v>
      </x:c>
    </x:row>
    <x:row r="261" ht="54" customHeight="1">
      <x:c r="A261" s="30" t="str">
        <x:v>memos_long:3368</x:v>
      </x:c>
      <x:c r="B261" s="30" t="str">
        <x:v>sufficient</x:v>
      </x:c>
      <x:c r="C261" s="30" t="str">
        <x:v>None. The evidence directly states that Christopher decided to discontinue walking due to knee pain, which fully supports the gold answer that he did not continue walking.</x:v>
      </x:c>
      <x:c r="D261" s="30" t="str">
        <x:v>The gold answer has two material components: (1) Christopher did not continue walking, and (2) the reason was knee pain. Evidence 1 explicitly states 'Christopher decided to discontinue walking as a preferred activity due to knee pain,' which directly supports both components. The question specifies the date Nov 05, 2029, but the evidence does not include a date. However, the evidence is authoritative and directly addresses the core claim, so the date discrepancy does not prevent the evidence from being sufficient to derive the gold answer.</x:v>
      </x:c>
      <x:c r="E261" s="30" t="str">
        <x:v>robust_generation_failure</x:v>
      </x:c>
      <x:c r="F261" s="30" t="str">
        <x:v>omission</x:v>
      </x:c>
      <x:c r="G261" s="30" t="str">
        <x:v>The model answer 'No' is factually aligned with the gold answer but omits the key reason (discontinued walking due to knee pain), providing only an incomplete subset of the gold answer without adding a false claim.</x:v>
      </x:c>
      <x:c r="H261" s="30" t="str">
        <x:v>omission</x:v>
      </x:c>
      <x:c r="I261" s="30" t="str">
        <x:v>The model answer 'No' is factually aligned with the gold answer but omits the key reason (knee pain) and the action (discontinued walking), providing only an incomplete subset of the gold answer without adding a false claim.</x:v>
      </x:c>
      <x:c r="J261" s="30" t="str">
        <x:v>omission</x:v>
      </x:c>
      <x:c r="K261" s="30" t="str">
        <x:v>The model answer 'No' is factually aligned with the gold answer but omits the key reason (knee pain) and the action (discontinued walking), providing only an incomplete subset of the gold answer without adding a false claim.</x:v>
      </x:c>
      <x:c r="L261" s="30" t="str">
        <x:v>LongCat-2.0</x:v>
      </x:c>
      <x:c r="M261" s="30" t="str">
        <x:v>LongCat-2.0</x:v>
      </x:c>
      <x:c r="N261" s="30" t="str">
        <x:v>LongCat-2.0</x:v>
      </x:c>
      <x:c r="O261" s="30" t="str">
        <x:v>LongCat-2.0</x:v>
      </x:c>
    </x:row>
    <x:row r="262" ht="54" customHeight="1">
      <x:c r="A262" s="30" t="str">
        <x:v>memos_long:1667</x:v>
      </x:c>
      <x:c r="B262" s="30" t="str">
        <x:v>sufficient</x:v>
      </x:c>
      <x:c r="C262" s="30" t="str"/>
      <x:c r="D262" s="30" t="str">
        <x:v>Evidence 1 directly states that Susan Thompson's travel preferences have evolved to include health-focused cruises, which fully supports the gold answer 'Health-focused cruises' with no missing components.</x:v>
      </x:c>
      <x:c r="E262" s="30" t="str">
        <x:v>ua3_representation_or_admission_failure</x:v>
      </x:c>
      <x:c r="F262" s="30" t="str">
        <x:v>correct</x:v>
      </x:c>
      <x:c r="G262" s="30" t="str">
        <x:v>The model answer 'Health-focused cruises' matches the benchmark gold answer exactly, providing the complete and correct information.</x:v>
      </x:c>
      <x:c r="H262" s="30" t="str">
        <x:v>correct</x:v>
      </x:c>
      <x:c r="I262" s="30" t="str">
        <x:v>The model answer 'Health-focused cruises' matches the benchmark gold answer exactly in meaning and wording, providing the complete answer without any contradiction or omission.</x:v>
      </x:c>
      <x:c r="J262" s="30" t="str">
        <x:v>correct</x:v>
      </x:c>
      <x:c r="K262" s="30" t="str">
        <x:v>The model answer 'Health-focused cruises' matches the benchmark gold answer exactly in meaning and wording, providing the complete correct answer.</x:v>
      </x:c>
      <x:c r="L262" s="30" t="str">
        <x:v>LongCat-2.0</x:v>
      </x:c>
      <x:c r="M262" s="30" t="str">
        <x:v>LongCat-2.0</x:v>
      </x:c>
      <x:c r="N262" s="30" t="str">
        <x:v>LongCat-2.0</x:v>
      </x:c>
      <x:c r="O262" s="30" t="str">
        <x:v>LongCat-2.0</x:v>
      </x:c>
    </x:row>
    <x:row r="263" ht="54" customHeight="1">
      <x:c r="A263" s="30" t="str">
        <x:v>memos_long:585</x:v>
      </x:c>
      <x:c r="B263" s="30" t="str">
        <x:v>sufficient</x:v>
      </x:c>
      <x:c r="C263" s="30" t="str">
        <x:v>None. The evidence directly states that Sarah Garcia expressed excitement about exploring exotic herbal teas after attending a cultural festival, which fully supports the gold answer that she did not express disinterest but instead expressed excitement.</x:v>
      </x:c>
      <x:c r="D263" s="30" t="str">
        <x:v>The gold answer has two material components: (1) Sarah did not express disinterest, and (2) she expressed excitement about exploring exotic herbal teas. Evidence 1 directly states that Sarah Garcia expressed excitement about exploring exotic herbal teas after attending a cultural festival. This directly supports component (2) and, by logical implication, supports component (1) since expressing excitement is incompatible with expressing disinterest. The date in the question (2030-11-13) is not contradicted by the evidence, and the evidence is authoritative per the instructions. Therefore, the complete gold answer is directly derivable from the evidence.</x:v>
      </x:c>
      <x:c r="E263" s="30" t="str">
        <x:v>robust_generation_failure</x:v>
      </x:c>
      <x:c r="F263" s="30" t="str">
        <x:v>omission</x:v>
      </x:c>
      <x:c r="G263" s="30" t="str">
        <x:v>The model answer 'No' correctly denies the disinterest claim but omits the key positive detail from the gold answer that she expressed excitement about exploring exotic herbal teas. It provides only an incomplete subset without adding a false claim, fitting the definition of omission.</x:v>
      </x:c>
      <x:c r="H263" s="30" t="str">
        <x:v>omission</x:v>
      </x:c>
      <x:c r="I263" s="30" t="str">
        <x:v>The model answer 'No' correctly denies the disinterest claim but fails to include the positive detail that she expressed excitement about exploring exotic herbal teas, which is a key part of the gold answer. It provides only an incomplete subset without adding a false claim.</x:v>
      </x:c>
      <x:c r="J263" s="30" t="str">
        <x:v>omission</x:v>
      </x:c>
      <x:c r="K263" s="30" t="str">
        <x:v>The model answer 'No' correctly denies the disinterest but fails to include the positive detail that she expressed excitement about exploring exotic herbal teas, making it an incomplete subset of the gold answer.</x:v>
      </x:c>
      <x:c r="L263" s="30" t="str">
        <x:v>LongCat-2.0</x:v>
      </x:c>
      <x:c r="M263" s="30" t="str">
        <x:v>LongCat-2.0</x:v>
      </x:c>
      <x:c r="N263" s="30" t="str">
        <x:v>LongCat-2.0</x:v>
      </x:c>
      <x:c r="O263" s="30" t="str">
        <x:v>LongCat-2.0</x:v>
      </x:c>
    </x:row>
    <x:row r="264" ht="54" customHeight="1">
      <x:c r="A264" s="30" t="str">
        <x:v>memos_long:862</x:v>
      </x:c>
      <x:c r="B264" s="30" t="str">
        <x:v>sufficient</x:v>
      </x:c>
      <x:c r="C264" s="30" t="str">
        <x:v>none</x:v>
      </x:c>
      <x:c r="D264" s="30" t="str">
        <x:v>Evidence 2 directly states that Donna Gonzalez's improved health has reignited her passion for music composition, which matches the gold answer exactly. Evidence 1 establishes the health recovery context, and Evidence 3 supports the broader impact on her goals. Together, the evidence fully supports the complete gold answer.</x:v>
      </x:c>
      <x:c r="E264" s="30" t="str">
        <x:v>robust_generation_failure</x:v>
      </x:c>
      <x:c r="F264" s="30" t="str">
        <x:v>omission</x:v>
      </x:c>
      <x:c r="G264" s="30" t="str">
        <x:v>The model answer 'Reignited passion for music' is an incomplete subset of the gold answer 'Reignited passion for music composition.' The specific domain 'composition' is omitted, making the answer less precise and incomplete.</x:v>
      </x:c>
      <x:c r="H264" s="30" t="str">
        <x:v>omission</x:v>
      </x:c>
      <x:c r="I264" s="30" t="str">
        <x:v>The model answer 'Reignited passion for music' is an incomplete subset of the gold answer 'Reignited passion for music composition.' The specific domain 'composition' is omitted, making the answer less precise and not semantically complete.</x:v>
      </x:c>
      <x:c r="J264" s="30" t="str">
        <x:v>omission</x:v>
      </x:c>
      <x:c r="K264" s="30" t="str">
        <x:v>The model answer 'Reignited passion for music' is an incomplete subset of the gold answer 'Reignited passion for music composition.' It omits the specific detail 'composition,' which is a key part of the professional ambition described in the gold answer, and does not add any concrete false claim.</x:v>
      </x:c>
      <x:c r="L264" s="30" t="str">
        <x:v>LongCat-2.0</x:v>
      </x:c>
      <x:c r="M264" s="30" t="str">
        <x:v>LongCat-2.0</x:v>
      </x:c>
      <x:c r="N264" s="30" t="str">
        <x:v>LongCat-2.0</x:v>
      </x:c>
      <x:c r="O264" s="30" t="str">
        <x:v>LongCat-2.0</x:v>
      </x:c>
    </x:row>
    <x:row r="265" ht="54" customHeight="1">
      <x:c r="A265" s="30" t="str">
        <x:v>memos_medium:775</x:v>
      </x:c>
      <x:c r="B265" s="30" t="str">
        <x:v>sufficient</x:v>
      </x:c>
      <x:c r="C265" s="30" t="str">
        <x:v>None. The evidence fully supports the gold answer, including the key components: establishing a music academy and nurturing future composers.</x:v>
      </x:c>
      <x:c r="D265" s="30" t="str">
        <x:v>Evidence 1 explicitly states that Donna Gonzalez articulated her long-term vision of 'establishing a music academy to nurture future composers,' which matches the gold answer exactly. The additional details about securing funding and developing a curriculum do not contradict or obscure the core vision. All material components of the gold answer are directly derivable from the evidence.</x:v>
      </x:c>
      <x:c r="E265" s="30" t="str">
        <x:v>generation_instability</x:v>
      </x:c>
      <x:c r="F265" s="30" t="str">
        <x:v>omission</x:v>
      </x:c>
      <x:c r="G265" s="30" t="str">
        <x:v>The model answer 'Establish a music academy' captures part of the gold answer but omits the key purpose 'to nurture future composers,' which is a substantive part of the long-term vision. This is an incomplete subset of the gold answer.</x:v>
      </x:c>
      <x:c r="H265" s="30" t="str">
        <x:v>correct</x:v>
      </x:c>
      <x:c r="I265" s="30" t="str">
        <x:v>The model answer 'Establish a music academy' captures the core semantic content of the gold answer 'Establishing a music academy to nurture future composers.' While the model omits the purpose clause 'to nurture future composers,' the main vision—establishing a music academy—is fully and accurately conveyed without any false or contradictory claims. The wording differs slightly (infinitive vs. gerund), but the essential meaning is preserved, making this a correct answer.</x:v>
      </x:c>
      <x:c r="J265" s="30" t="str">
        <x:v>omission</x:v>
      </x:c>
      <x:c r="K265" s="30" t="str">
        <x:v>The model answer 'Establish a music academy' captures part of the gold answer but omits the key purpose 'to nurture future composers,' which is a substantive part of the long-term vision. This makes it an incomplete subset of the gold answer.</x:v>
      </x:c>
      <x:c r="L265" s="30" t="str">
        <x:v>LongCat-2.0</x:v>
      </x:c>
      <x:c r="M265" s="30" t="str">
        <x:v>LongCat-2.0</x:v>
      </x:c>
      <x:c r="N265" s="30" t="str">
        <x:v>LongCat-2.0</x:v>
      </x:c>
      <x:c r="O265" s="30" t="str">
        <x:v>LongCat-2.0</x:v>
      </x:c>
    </x:row>
    <x:row r="266" ht="54" customHeight="1">
      <x:c r="A266" s="30" t="str">
        <x:v>memos_long:2549</x:v>
      </x:c>
      <x:c r="B266" s="30" t="str">
        <x:v>sufficient</x:v>
      </x:c>
      <x:c r="C266" s="30" t="str"/>
      <x:c r="D266" s="30" t="str">
        <x:v>The gold answer states that Steven Miller joined 'a film club that screens horror films with psychological depth.' Evidence 1 directly states that 'Steven Miller joined a film club that frequently screens horror films emphasizing psychological depth and character complexity.' This evidence fully supports every material component of the gold answer: the subject (Steven Miller), the action (joined), the object (a film club), and the defining characteristic (screens horror films with psychological depth). The additional detail about 'character complexity' in the evidence does not contradict or alter the core claim; it merely provides extra context. Therefore, the complete gold answer is directly derivable from the evidence.</x:v>
      </x:c>
      <x:c r="E266" s="30" t="str">
        <x:v>robust_generation_failure</x:v>
      </x:c>
      <x:c r="F266" s="30" t="str">
        <x:v>omission</x:v>
      </x:c>
      <x:c r="G266" s="30" t="str">
        <x:v>The model answer 'A film club' is an incomplete subset of the gold answer, which specifies 'A film club that screens horror films with psychological depth.' The model omits the key descriptive detail about the type of film club without adding any false claim.</x:v>
      </x:c>
      <x:c r="H266" s="30" t="str">
        <x:v>omission</x:v>
      </x:c>
      <x:c r="I266" s="30" t="str">
        <x:v>The model answer 'A film club' is an incomplete subset of the gold answer, which specifies 'A film club that screens horror films with psychological depth.' The model omits the key descriptive detail about the type of film club without adding any false claim.</x:v>
      </x:c>
      <x:c r="J266" s="30" t="str">
        <x:v>omission</x:v>
      </x:c>
      <x:c r="K266" s="30" t="str">
        <x:v>The model answer 'A film club' is an incomplete subset of the gold answer, which specifies 'A film club that screens horror films with psychological depth.' The model omits the key descriptive details about the type of films screened, without adding any false claims.</x:v>
      </x:c>
      <x:c r="L266" s="30" t="str">
        <x:v>LongCat-2.0</x:v>
      </x:c>
      <x:c r="M266" s="30" t="str">
        <x:v>LongCat-2.0</x:v>
      </x:c>
      <x:c r="N266" s="30" t="str">
        <x:v>LongCat-2.0</x:v>
      </x:c>
      <x:c r="O266" s="30" t="str">
        <x:v>LongCat-2.0</x:v>
      </x:c>
    </x:row>
    <x:row r="267" ht="54" customHeight="1">
      <x:c r="A267" s="30" t="str">
        <x:v>memos_medium:1358</x:v>
      </x:c>
      <x:c r="B267" s="30" t="str">
        <x:v>sufficient</x:v>
      </x:c>
      <x:c r="C267" s="30" t="str"/>
      <x:c r="D267" s="30" t="str">
        <x:v>Evidence 1 explicitly states that Ananya Sharma plans to research destinations offering both relaxation and adventure activities for future family trips. Evidence 2 reinforces this by stating she seeks to balance adventure activities with relaxation during family vacations. Together, these two pieces of evidence directly support both material components of the gold answer: 'relaxation' and 'adventure activities'. The question asks about destinations she might explore after Oct 19, 2031, and the evidence refers to 'future family trips', which is consistent with the timeframe. The complete gold answer is fully derivable from the provided evidence.</x:v>
      </x:c>
      <x:c r="E267" s="30" t="str">
        <x:v>ua3_representation_or_admission_failure</x:v>
      </x:c>
      <x:c r="F267" s="30" t="str">
        <x:v>correct</x:v>
      </x:c>
      <x:c r="G267" s="30" t="str">
        <x:v>The model answer 'Relaxation and adventure destinations' semantically captures the complete meaning of the gold answer 'Destinations offering relaxation and adventure activities,' with only minor wording differences.</x:v>
      </x:c>
      <x:c r="H267" s="30" t="str">
        <x:v>correct</x:v>
      </x:c>
      <x:c r="I267" s="30" t="str">
        <x:v>The model answer 'Relaxation and adventure destinations' semantically captures the complete meaning of the gold answer 'Destinations offering relaxation and adventure activities,' with only minor wording differences.</x:v>
      </x:c>
      <x:c r="J267" s="30" t="str">
        <x:v>correct</x:v>
      </x:c>
      <x:c r="K267" s="30" t="str">
        <x:v>The model answer 'Relaxation and adventure destinations' semantically captures the complete meaning of the gold answer 'Destinations offering relaxation and adventure activities,' with only minor wording differences.</x:v>
      </x:c>
      <x:c r="L267" s="30" t="str">
        <x:v>LongCat-2.0</x:v>
      </x:c>
      <x:c r="M267" s="30" t="str">
        <x:v>LongCat-2.0</x:v>
      </x:c>
      <x:c r="N267" s="30" t="str">
        <x:v>LongCat-2.0</x:v>
      </x:c>
      <x:c r="O267" s="30" t="str">
        <x:v>LongCat-2.0</x:v>
      </x:c>
    </x:row>
    <x:row r="268" ht="54" customHeight="1">
      <x:c r="A268" s="30" t="str">
        <x:v>memos_medium:1923</x:v>
      </x:c>
      <x:c r="B268" s="30" t="str">
        <x:v>partial</x:v>
      </x:c>
      <x:c r="C268" s="30" t="str">
        <x:v>The evidence does not specify that the recommendation occurred on May 13, 2026, nor does it explicitly state that the friend recommended a game that made him appreciate ads for rewards (it only says the game shifted his perception from dislike to like and that he appreciates games with ad-based rewards).</x:v>
      </x:c>
      <x:c r="D268" s="30" t="str">
        <x:v>Evidence 1 supports that Joseph's friend recommended a mobile game that changed his view of ads from dislike to like, and Evidence 2 supports that he appreciates games providing rewards through ads. Together, these partially support the gold answer's core claim about the recommendation and appreciation of ads for rewards. However, the specific date (May 13, 2026) is entirely absent from the evidence, and the direct causal link between the recommended game and appreciating ads for rewards is implied rather than explicitly stated. Thus, not all material components are fully supported.</x:v>
      </x:c>
      <x:c r="E268" s="30" t="str">
        <x:v>evidence_definition_failure</x:v>
      </x:c>
      <x:c r="F268" s="30" t="str">
        <x:v>hallucination</x:v>
      </x:c>
      <x:c r="G268" s="30" t="str">
        <x:v>The gold answer states that Joseph's friend recommended a game that made him appreciate ads for rewards, while the model answer says 'No', which contradicts the gold answer by denying the event occurred. This is a concrete false claim, making it a hallucination.</x:v>
      </x:c>
      <x:c r="H268" s="30" t="str">
        <x:v>hallucination</x:v>
      </x:c>
      <x:c r="I268" s="30" t="str">
        <x:v>The gold answer states that Joseph's friend recommended a game that made him appreciate ads for rewards, while the model answer says 'No', which contradicts the gold answer by denying the event occurred. This is a concrete false claim, making it a hallucination.</x:v>
      </x:c>
      <x:c r="J268" s="30" t="str">
        <x:v>hallucination</x:v>
      </x:c>
      <x:c r="K268" s="30" t="str">
        <x:v>The gold answer states that Joseph's friend recommended a game that made him appreciate ads for rewards, while the model answer says 'No', which contradicts the gold answer by denying the event occurred. This is a concrete false claim, making it a hallucination.</x:v>
      </x:c>
      <x:c r="L268" s="30" t="str">
        <x:v>LongCat-2.0</x:v>
      </x:c>
      <x:c r="M268" s="30" t="str">
        <x:v>LongCat-2.0</x:v>
      </x:c>
      <x:c r="N268" s="30" t="str">
        <x:v>LongCat-2.0</x:v>
      </x:c>
      <x:c r="O268" s="30" t="str">
        <x:v>LongCat-2.0</x:v>
      </x:c>
    </x:row>
    <x:row r="269" ht="54" customHeight="1">
      <x:c r="A269" s="30" t="str">
        <x:v>memos_medium:1405</x:v>
      </x:c>
      <x:c r="B269" s="30" t="str">
        <x:v>sufficient</x:v>
      </x:c>
      <x:c r="C269" s="30" t="str"/>
      <x:c r="D269" s="30" t="str">
        <x:v>The gold answer is 'Shaping curriculum and mentoring at University of Film Studies.' Evidence 1 states that Ananya Sharma's career_description was updated to 'As the Head of Film Studies Department at the University of Film Studies, I am responsible for shaping the curriculum and mentoring the next generation of film critics and enthusiasts...' This directly contains all material components of the gold answer: 'shaping curriculum,' 'mentoring,' and 'University of Film Studies.' The evidence is authoritative and fully supports the complete gold answer.</x:v>
      </x:c>
      <x:c r="E269" s="30" t="str">
        <x:v>robust_generation_failure</x:v>
      </x:c>
      <x:c r="F269" s="30" t="str">
        <x:v>hallucination</x:v>
      </x:c>
      <x:c r="G269"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H269" s="30" t="str">
        <x:v>hallucination</x:v>
      </x:c>
      <x:c r="I269"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J269" s="30" t="str">
        <x:v>hallucination</x:v>
      </x:c>
      <x:c r="K269"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L269" s="30" t="str">
        <x:v>LongCat-2.0</x:v>
      </x:c>
      <x:c r="M269" s="30" t="str">
        <x:v>LongCat-2.0</x:v>
      </x:c>
      <x:c r="N269" s="30" t="str">
        <x:v>LongCat-2.0</x:v>
      </x:c>
      <x:c r="O269" s="30" t="str">
        <x:v>LongCat-2.0</x:v>
      </x:c>
    </x:row>
    <x:row r="270" ht="54" customHeight="1">
      <x:c r="A270" s="30" t="str">
        <x:v>memos_medium:577</x:v>
      </x:c>
      <x:c r="B270" s="30" t="str">
        <x:v>sufficient</x:v>
      </x:c>
      <x:c r="C270" s="30" t="str">
        <x:v>none</x:v>
      </x:c>
      <x:c r="D270" s="30" t="str">
        <x:v>Evidence 1 directly states that Sarah Garcia expressed excitement about exploring new movie genres like mystery thrillers, which fully supports the gold answer that she might enjoy exploring mystery thrillers. Evidence 2 provides additional context about her adaptability and willingness to explore new horizons, reinforcing the conclusion. Together, the evidence contains all material components needed to derive the gold answer.</x:v>
      </x:c>
      <x:c r="E270" s="30" t="str">
        <x:v>ua3_representation_or_admission_failure</x:v>
      </x:c>
      <x:c r="F270" s="30" t="str">
        <x:v>correct</x:v>
      </x:c>
      <x:c r="G270" s="30" t="str">
        <x:v>The model answer 'Mystery thrillers' is semantically equivalent to the benchmark gold answer 'Sarah might enjoy exploring mystery thrillers,' conveying the same complete meaning with only minor wording differences.</x:v>
      </x:c>
      <x:c r="H270" s="30" t="str">
        <x:v>correct</x:v>
      </x:c>
      <x:c r="I270" s="30" t="str">
        <x:v>The model answer 'Mystery thrillers' is semantically equivalent to the benchmark gold answer 'Sarah might enjoy exploring mystery thrillers,' conveying the same complete meaning with only minor wording differences.</x:v>
      </x:c>
      <x:c r="J270" s="30" t="str">
        <x:v>correct</x:v>
      </x:c>
      <x:c r="K270" s="30" t="str">
        <x:v>The model answer 'Mystery thrillers' is semantically equivalent to the benchmark gold answer 'Sarah might enjoy exploring mystery thrillers,' conveying the same complete meaning with only minor wording differences.</x:v>
      </x:c>
      <x:c r="L270" s="30" t="str">
        <x:v>LongCat-2.0</x:v>
      </x:c>
      <x:c r="M270" s="30" t="str">
        <x:v>LongCat-2.0</x:v>
      </x:c>
      <x:c r="N270" s="30" t="str">
        <x:v>LongCat-2.0</x:v>
      </x:c>
      <x:c r="O270" s="30" t="str">
        <x:v>LongCat-2.0</x:v>
      </x:c>
    </x:row>
    <x:row r="271" ht="54" customHeight="1">
      <x:c r="A271" s="30" t="str">
        <x:v>memos_long:1222</x:v>
      </x:c>
      <x:c r="B271" s="30" t="str">
        <x:v>sufficient</x:v>
      </x:c>
      <x:c r="C271" s="30" t="str"/>
      <x:c r="D271" s="30" t="str">
        <x:v>The gold answer is 'Sugary sodas.' All three pieces of evidence explicitly state that Taylor David enjoys or has a preference for sugary sodas during celebrations or festive occasions. The question asks what type of beverage Taylor David might enjoy during a holiday celebration in 2042, and the evidence directly supports 'sugary sodas' as the answer. Every material component of the gold answer is fully supported by the evidence.</x:v>
      </x:c>
      <x:c r="E271" s="30" t="str">
        <x:v>ua3_representation_or_admission_failure</x:v>
      </x:c>
      <x:c r="F271" s="30" t="str">
        <x:v>correct</x:v>
      </x:c>
      <x:c r="G271" s="30" t="str">
        <x:v>The model answer 'Sugary sodas' is semantically identical to the benchmark gold answer 'Sugary sodas.' and provides the complete answer without any contradiction or unsupported material.</x:v>
      </x:c>
      <x:c r="H271" s="30" t="str">
        <x:v>correct</x:v>
      </x:c>
      <x:c r="I271" s="30" t="str">
        <x:v>The model answer 'Sugary sodas' is semantically identical to the benchmark gold answer 'Sugary sodas.' and provides the complete answer without any contradiction or unsupported material.</x:v>
      </x:c>
      <x:c r="J271" s="30" t="str">
        <x:v>correct</x:v>
      </x:c>
      <x:c r="K271" s="30" t="str">
        <x:v>The model answer 'Sugary sodas' is semantically identical to the benchmark gold answer 'Sugary sodas.' and provides the complete answer without any contradiction or unsupported material.</x:v>
      </x:c>
      <x:c r="L271" s="30" t="str">
        <x:v>LongCat-2.0</x:v>
      </x:c>
      <x:c r="M271" s="30" t="str">
        <x:v>LongCat-2.0</x:v>
      </x:c>
      <x:c r="N271" s="30" t="str">
        <x:v>LongCat-2.0</x:v>
      </x:c>
      <x:c r="O271" s="30" t="str">
        <x:v>LongCat-2.0</x:v>
      </x:c>
    </x:row>
    <x:row r="272" ht="54" customHeight="1">
      <x:c r="A272" s="30" t="str">
        <x:v>memos_long:1922</x:v>
      </x:c>
      <x:c r="B272" s="30" t="str">
        <x:v>sufficient</x:v>
      </x:c>
      <x:c r="C272" s="30" t="str"/>
      <x:c r="D272" s="30" t="str">
        <x:v>The gold answer states that Joseph's friend recommended a game that made him appreciate ads for rewards. Evidence 1 directly states that Joseph Garcia's friend recommended a new mobile game that shifted his perception of ads from a dislike to a like. Evidence 2 states that Joseph Garcia appreciates mobile games that provide in-game rewards through ads. Together, these two pieces of evidence support every material component of the gold answer: the friend recommended a game, and it led to an appreciation of ads for rewards.</x:v>
      </x:c>
      <x:c r="E272" s="30" t="str">
        <x:v>robust_generation_failure</x:v>
      </x:c>
      <x:c r="F272" s="30" t="str">
        <x:v>hallucination</x:v>
      </x:c>
      <x:c r="G272" s="30" t="str">
        <x:v>The gold answer states that Joseph's friend recommended a game that made him appreciate ads for rewards, while the model answer says 'No', which contradicts the gold answer by denying the event occurred. This is a concrete false claim, making it a hallucination.</x:v>
      </x:c>
      <x:c r="H272" s="30" t="str">
        <x:v>hallucination</x:v>
      </x:c>
      <x:c r="I272" s="30" t="str">
        <x:v>The gold answer states that Joseph's friend recommended a game that made him appreciate ads for rewards, while the model answer 'No' contradicts this by denying the event occurred, making it a concrete false claim.</x:v>
      </x:c>
      <x:c r="J272" s="30" t="str">
        <x:v>hallucination</x:v>
      </x:c>
      <x:c r="K272" s="30" t="str">
        <x:v>The gold answer states that Joseph's friend recommended a game that made him appreciate ads for rewards, while the model answer says 'No', which contradicts the gold answer by denying the event occurred. This is a concrete false claim, making it a hallucination.</x:v>
      </x:c>
      <x:c r="L272" s="30" t="str">
        <x:v>LongCat-2.0</x:v>
      </x:c>
      <x:c r="M272" s="30" t="str">
        <x:v>LongCat-2.0</x:v>
      </x:c>
      <x:c r="N272" s="30" t="str">
        <x:v>LongCat-2.0</x:v>
      </x:c>
      <x:c r="O272" s="30" t="str">
        <x:v>LongCat-2.0</x:v>
      </x:c>
    </x:row>
    <x:row r="273" ht="54" customHeight="1">
      <x:c r="A273" s="30" t="str">
        <x:v>memos_medium:2299</x:v>
      </x:c>
      <x:c r="B273" s="30" t="str">
        <x:v>sufficient</x:v>
      </x:c>
      <x:c r="C273" s="30" t="str">
        <x:v>None. The evidence directly states that Williams Daniel discussed integrating neon colors into historical-themed attire with a costume designer, which fully supports the gold answer.</x:v>
      </x:c>
      <x:c r="D273" s="30" t="str">
        <x:v>The gold answer is 'A costume designer.' Evidence 1 explicitly states that 'Williams Daniel engaged in discussions with a costume designer about integrating neon colors into historical-themed attire.' This directly and completely supports the gold answer with no missing components.</x:v>
      </x:c>
      <x:c r="E273" s="30" t="str">
        <x:v>ua3_representation_or_admission_failure</x:v>
      </x:c>
      <x:c r="F273" s="30" t="str">
        <x:v>correct</x:v>
      </x:c>
      <x:c r="G273" s="30" t="str">
        <x:v>The model answer 'A costume designer' is semantically identical to the benchmark gold answer 'A costume designer.' and provides the complete answer without any contradiction or unsupported material.</x:v>
      </x:c>
      <x:c r="H273" s="30" t="str">
        <x:v>correct</x:v>
      </x:c>
      <x:c r="I273" s="30" t="str">
        <x:v>The model answer 'A costume designer' is semantically identical to the benchmark gold answer 'A costume designer.' and provides the complete answer without any contradiction or unsupported material.</x:v>
      </x:c>
      <x:c r="J273" s="30" t="str">
        <x:v>correct</x:v>
      </x:c>
      <x:c r="K273" s="30" t="str">
        <x:v>The model answer 'A costume designer' is semantically identical to the benchmark gold answer 'A costume designer.' and provides the complete answer without any contradiction or unsupported material.</x:v>
      </x:c>
      <x:c r="L273" s="30" t="str">
        <x:v>LongCat-2.0</x:v>
      </x:c>
      <x:c r="M273" s="30" t="str">
        <x:v>LongCat-2.0</x:v>
      </x:c>
      <x:c r="N273" s="30" t="str">
        <x:v>LongCat-2.0</x:v>
      </x:c>
      <x:c r="O273" s="30" t="str">
        <x:v>LongCat-2.0</x:v>
      </x:c>
    </x:row>
    <x:row r="274" ht="54" customHeight="1">
      <x:c r="A274" s="30" t="str">
        <x:v>memos_medium:66</x:v>
      </x:c>
      <x:c r="B274" s="30" t="str">
        <x:v>sufficient</x:v>
      </x:c>
      <x:c r="C274" s="30" t="str">
        <x:v>None. The evidence directly supports that Martin seeks horror films with compelling narratives balancing thrill and positivity, which matches every material component of the gold answer.</x:v>
      </x:c>
      <x:c r="D274" s="30" t="str">
        <x:v>Evidence 1 explicitly states Martin seeks recommendations for horror films with compelling narratives that balance thrill and positivity. Evidence 2 reinforces that Martin discussed balancing thrill and maintaining a positive mindset through his evolving movie preferences. Together, these directly support the complete gold answer: 'Films with compelling narratives balancing thrill and positivity.' No material component is missing.</x:v>
      </x:c>
      <x:c r="E274" s="30" t="str">
        <x:v>robust_generation_failure</x:v>
      </x:c>
      <x:c r="F274" s="30" t="str">
        <x:v>omission</x:v>
      </x:c>
      <x:c r="G274" s="30" t="str">
        <x:v>The model answer captures 'compelling narratives' but omits the crucial 'balancing thrill and positivity' component, which is central to the gold answer's focus on maintaining a positive mindset. This is an incomplete subset without adding a false claim.</x:v>
      </x:c>
      <x:c r="H274" s="30" t="str">
        <x:v>omission</x:v>
      </x:c>
      <x:c r="I274" s="30" t="str">
        <x:v>The model answer captures 'compelling narratives' but omits the critical element of 'balancing thrill and positivity,' which is essential to the gold answer's meaning regarding maintaining Martin's positive mindset. Without this balance, the answer is an incomplete subset.</x:v>
      </x:c>
      <x:c r="J274" s="30" t="str">
        <x:v>omission</x:v>
      </x:c>
      <x:c r="K274" s="30" t="str">
        <x:v>The model answer captures 'compelling narratives' but omits the crucial element of 'balancing thrill and positivity,' which is central to the gold answer's focus on maintaining a positive mindset. Without this key component, the answer is an incomplete subset.</x:v>
      </x:c>
      <x:c r="L274" s="30" t="str">
        <x:v>LongCat-2.0</x:v>
      </x:c>
      <x:c r="M274" s="30" t="str">
        <x:v>LongCat-2.0</x:v>
      </x:c>
      <x:c r="N274" s="30" t="str">
        <x:v>LongCat-2.0</x:v>
      </x:c>
      <x:c r="O274" s="30" t="str">
        <x:v>LongCat-2.0</x:v>
      </x:c>
    </x:row>
    <x:row r="275" ht="54" customHeight="1">
      <x:c r="A275" s="30" t="str">
        <x:v>memos_medium:1906</x:v>
      </x:c>
      <x:c r="B275" s="30" t="str">
        <x:v>sufficient</x:v>
      </x:c>
      <x:c r="C275" s="30" t="str">
        <x:v>None. The evidence directly states the friend's name is David Jones and confirms the shared interest in classic Hollywood.</x:v>
      </x:c>
      <x:c r="D275" s="30" t="str">
        <x:v>The gold answer is 'David Jones'. Evidence 1 explicitly states 'Joseph Garcia's Friend JonesDavid, David shares my love for classic Hollywood', which directly provides the full name 'David Jones' and confirms the shared love for classic Hollywood. Every material component of the gold answer is fully supported and directly derivable from the evidence.</x:v>
      </x:c>
      <x:c r="E275" s="30" t="str">
        <x:v>ua3_representation_or_admission_failure</x:v>
      </x:c>
      <x:c r="F275" s="30" t="str">
        <x:v>correct</x:v>
      </x:c>
      <x:c r="G275" s="30" t="str">
        <x:v>The model answer 'JonesDavid' contains the same two name components as the gold answer 'David Jones' (David and Jones), just in a different order. The semantic content is identical - both refer to the same person named David Jones. The reversed order does not change the meaning or introduce any false information, so this is semantically equivalent to the complete gold answer.</x:v>
      </x:c>
      <x:c r="H275" s="30" t="str">
        <x:v>correct</x:v>
      </x:c>
      <x:c r="I275" s="30" t="str">
        <x:v>The model answer 'JonesDavid' contains both parts of the gold answer 'David Jones' (the first name 'David' and the last name 'Jones'), just concatenated without a space. This is a minor formatting difference that does not change the semantic meaning, so it is considered correct.</x:v>
      </x:c>
      <x:c r="J275" s="30" t="str">
        <x:v>correct</x:v>
      </x:c>
      <x:c r="K275" s="30" t="str">
        <x:v>The model answer 'JonesDavid' contains the same two name components as the gold answer 'David Jones' (David and Jones), just in a different order. Since the question asks for a name and both components are present, this semantically gives the complete gold answer despite the reversed word order.</x:v>
      </x:c>
      <x:c r="L275" s="30" t="str">
        <x:v>LongCat-2.0</x:v>
      </x:c>
      <x:c r="M275" s="30" t="str">
        <x:v>LongCat-2.0</x:v>
      </x:c>
      <x:c r="N275" s="30" t="str">
        <x:v>LongCat-2.0</x:v>
      </x:c>
      <x:c r="O275" s="30" t="str">
        <x:v>LongCat-2.0</x:v>
      </x:c>
    </x:row>
    <x:row r="276" ht="54" customHeight="1">
      <x:c r="A276" s="30" t="str">
        <x:v>memos_medium:1829</x:v>
      </x:c>
      <x:c r="B276" s="30" t="str">
        <x:v>sufficient</x:v>
      </x:c>
      <x:c r="C276" s="30" t="str"/>
      <x:c r="D276" s="30" t="str">
        <x:v>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material components of the gold answer—analytical challenge and emotional engagement—are directly supported by the evidence, and the evidence specifically concerns AI-driven strategy games, matching the question's scope.</x:v>
      </x:c>
      <x:c r="E276" s="30" t="str">
        <x:v>robust_generation_failure</x:v>
      </x:c>
      <x:c r="F276" s="30" t="str">
        <x:v>omission</x:v>
      </x:c>
      <x:c r="G276" s="30" t="str">
        <x:v>The model answer only mentions 'analytical skills' but omits the 'emotional engagement' component present in the gold answer, making it an incomplete subset without adding a concrete false claim.</x:v>
      </x:c>
      <x:c r="H276" s="30" t="str">
        <x:v>omission</x:v>
      </x:c>
      <x:c r="I276" s="30" t="str">
        <x:v>The model answer only mentions 'analytical skills' but omits the 'emotional engagement' component present in the gold answer, making it an incomplete subset without adding a concrete false claim.</x:v>
      </x:c>
      <x:c r="J276" s="30" t="str">
        <x:v>omission</x:v>
      </x:c>
      <x:c r="K276" s="30" t="str">
        <x:v>The model answer only mentions 'analytical skills' but omits the 'emotional engagement' component present in the gold answer, making it an incomplete subset without adding a concrete false claim.</x:v>
      </x:c>
      <x:c r="L276" s="30" t="str">
        <x:v>LongCat-2.0</x:v>
      </x:c>
      <x:c r="M276" s="30" t="str">
        <x:v>LongCat-2.0</x:v>
      </x:c>
      <x:c r="N276" s="30" t="str">
        <x:v>LongCat-2.0</x:v>
      </x:c>
      <x:c r="O276" s="30" t="str">
        <x:v>LongCat-2.0</x:v>
      </x:c>
    </x:row>
    <x:row r="277" ht="54" customHeight="1">
      <x:c r="A277" s="30" t="str">
        <x:v>memos_medium:721</x:v>
      </x:c>
      <x:c r="B277" s="30" t="str">
        <x:v>sufficient</x:v>
      </x:c>
      <x:c r="C277" s="30" t="str">
        <x:v>None. The gold answer 'Diagnosed with a chronic disease' is directly stated in both Evidence 1 and Evidence 2, and the question asks about health status change since Jan 11, 2026, which is fully covered by the diagnosis information.</x:v>
      </x:c>
      <x:c r="D277" s="30" t="str">
        <x:v>The gold answer consists of one material component: that Donna Gonzalez was diagnosed with a chronic disease. Evidence 1 directly states 'Donna Gonzalez was diagnosed with a chronic disease' and Evidence 2 confirms 'was diagnosed with a chronic disease.' Both pieces of evidence, taken together, fully support the complete gold answer with no missing components.</x:v>
      </x:c>
      <x:c r="E277" s="30" t="str">
        <x:v>ua3_representation_or_admission_failure</x:v>
      </x:c>
      <x:c r="F277" s="30" t="str">
        <x:v>correct</x:v>
      </x:c>
      <x:c r="G277"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H277" s="30" t="str">
        <x:v>correct</x:v>
      </x:c>
      <x:c r="I277"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J277" s="30" t="str">
        <x:v>correct</x:v>
      </x:c>
      <x:c r="K277"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L277" s="30" t="str">
        <x:v>LongCat-2.0</x:v>
      </x:c>
      <x:c r="M277" s="30" t="str">
        <x:v>LongCat-2.0</x:v>
      </x:c>
      <x:c r="N277" s="30" t="str">
        <x:v>LongCat-2.0</x:v>
      </x:c>
      <x:c r="O277" s="30" t="str">
        <x:v>LongCat-2.0</x:v>
      </x:c>
    </x:row>
    <x:row r="278" ht="54" customHeight="1">
      <x:c r="A278" s="30" t="str">
        <x:v>memos_medium:942</x:v>
      </x:c>
      <x:c r="B278" s="30" t="str">
        <x:v>sufficient</x:v>
      </x:c>
      <x:c r="C278" s="30" t="str"/>
      <x:c r="D278" s="30" t="str">
        <x:v>The gold answer states Donna is interested in 'eco-friendly restaurants with sustainable and healthy options.' Evidence 1 shows Donna visited a fast food chain with eco-friendly packaging and healthier meal options, reflecting her interest in sustainability. Evidence 2 confirms her food preference shifted to eco-friendly fast food options, reflecting commitment to sustainability and convenience. Evidence 3 shows her excitement about eco-friendly fast food options aligning with her health and sustainability goals. Together, all three pieces of evidence directly support every material component of the gold answer: eco-friendly, sustainable, and healthy options. The evidence is sufficient to derive the complete gold answer.</x:v>
      </x:c>
      <x:c r="E278" s="30" t="str">
        <x:v>robust_generation_failure</x:v>
      </x:c>
      <x:c r="F278" s="30" t="str">
        <x:v>hallucination</x:v>
      </x:c>
      <x:c r="G278"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x:v>
      </x:c>
      <x:c r="H278" s="30" t="str">
        <x:v>hallucination</x:v>
      </x:c>
      <x:c r="I278"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x:v>
      </x:c>
      <x:c r="J278" s="30" t="str">
        <x:v>hallucination</x:v>
      </x:c>
      <x:c r="K278" s="30" t="str">
        <x:v>The gold answer specifies 'eco-friendly restaurants with sustainable and healthy options,' which emphasizes sustainability and health. The model answer changes this to 'eco-friendly fast food chains,' introducing 'fast food chains' — a concrete, unsupported claim that contradicts the healthy and sustainable focus of the gold answer.</x:v>
      </x:c>
      <x:c r="L278" s="30" t="str">
        <x:v>LongCat-2.0</x:v>
      </x:c>
      <x:c r="M278" s="30" t="str">
        <x:v>LongCat-2.0</x:v>
      </x:c>
      <x:c r="N278" s="30" t="str">
        <x:v>LongCat-2.0</x:v>
      </x:c>
      <x:c r="O278" s="30" t="str">
        <x:v>LongCat-2.0</x:v>
      </x:c>
    </x:row>
    <x:row r="279" ht="54" customHeight="1">
      <x:c r="A279" s="30" t="str">
        <x:v>memos_medium:3391</x:v>
      </x:c>
      <x:c r="B279" s="30" t="str">
        <x:v>sufficient</x:v>
      </x:c>
      <x:c r="C279" s="30" t="str">
        <x:v>None. The evidence directly supports that Christopher prefers convertible skirts and that they are versatile for transitioning from casual to formal settings, which matches the event requirement.</x:v>
      </x:c>
      <x:c r="D279" s="30" t="str">
        <x:v>Evidence 1 establishes Christopher's preference for convertible skirts over flowy skirts. Evidence 2 explicitly states that Christopher appreciates convertible skirts for their ability to transition from casual to formal settings. The question asks what type of clothing Christopher might choose for an event requiring such a transition, and the evidence directly supports 'convertible skirts' as the answer. All material components of the gold answer are fully supported.</x:v>
      </x:c>
      <x:c r="E279" s="30" t="str">
        <x:v>ua3_representation_or_admission_failure</x:v>
      </x:c>
      <x:c r="F279" s="30" t="str">
        <x:v>correct</x:v>
      </x:c>
      <x:c r="G279" s="30" t="str">
        <x:v>The model answer 'Convertible skirt' is semantically equivalent to the gold answer 'Convertible skirts,' differing only in singular vs. plural form, which does not change the meaning.</x:v>
      </x:c>
      <x:c r="H279" s="30" t="str">
        <x:v>correct</x:v>
      </x:c>
      <x:c r="I279" s="30" t="str">
        <x:v>The model answer 'Convertible skirt' is semantically equivalent to the gold answer 'Convertible skirts,' differing only in singular vs. plural form, which does not change the meaning.</x:v>
      </x:c>
      <x:c r="J279" s="30" t="str">
        <x:v>correct</x:v>
      </x:c>
      <x:c r="K279" s="30" t="str">
        <x:v>The model answer 'Convertible skirt' is semantically equivalent to the gold answer 'Convertible skirts.' The only difference is singular vs. plural form, which does not change the meaning. The answer is complete and does not add any false or unsupported information.</x:v>
      </x:c>
      <x:c r="L279" s="30" t="str">
        <x:v>LongCat-2.0</x:v>
      </x:c>
      <x:c r="M279" s="30" t="str">
        <x:v>LongCat-2.0</x:v>
      </x:c>
      <x:c r="N279" s="30" t="str">
        <x:v>LongCat-2.0</x:v>
      </x:c>
      <x:c r="O279" s="30" t="str">
        <x:v>LongCat-2.0</x:v>
      </x:c>
    </x:row>
    <x:row r="280" ht="54" customHeight="1">
      <x:c r="A280" s="30" t="str">
        <x:v>memos_long:208</x:v>
      </x:c>
      <x:c r="B280" s="30" t="str">
        <x:v>sufficient</x:v>
      </x:c>
      <x:c r="C280" s="30" t="str"/>
      <x:c r="D280" s="30" t="str">
        <x:v>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support the complete gold answer through ordinary reasoning.</x:v>
      </x:c>
      <x:c r="E280" s="30" t="str">
        <x:v>ua3_representation_or_admission_failure</x:v>
      </x:c>
      <x:c r="F280" s="30" t="str">
        <x:v>correct</x:v>
      </x:c>
      <x:c r="G280" s="30" t="str">
        <x:v>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model's answer is not false or contradictory, and it conveys the essential information about Johnson's exploratory motivation influencing his stress management strategies.</x:v>
      </x:c>
      <x:c r="H280" s="30" t="str">
        <x:v>correct</x:v>
      </x:c>
      <x:c r="I280" s="30" t="str">
        <x:v>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x:v>
      </x:c>
      <x:c r="J280" s="30" t="str">
        <x:v>correct</x:v>
      </x:c>
      <x:c r="K280" s="30" t="str">
        <x:v>The model answer 'Tested new approaches and ideas' captures the complete semantic meaning of the gold answer 'Testing new approaches and ideas for balance.' The omission of 'for balance' is minor and does not change the core meaning, as the key concept of exploring new methods is fully preserved.</x:v>
      </x:c>
      <x:c r="L280" s="30" t="str">
        <x:v>LongCat-2.0</x:v>
      </x:c>
      <x:c r="M280" s="30" t="str">
        <x:v>LongCat-2.0</x:v>
      </x:c>
      <x:c r="N280" s="30" t="str">
        <x:v>LongCat-2.0</x:v>
      </x:c>
      <x:c r="O280" s="30" t="str">
        <x:v>LongCat-2.0</x:v>
      </x:c>
    </x:row>
    <x:row r="281" ht="54" customHeight="1">
      <x:c r="A281" s="30" t="str">
        <x:v>memos_medium:1754</x:v>
      </x:c>
      <x:c r="B281" s="30" t="str">
        <x:v>sufficient</x:v>
      </x:c>
      <x:c r="C281" s="30" t="str"/>
      <x:c r="D281" s="30" t="str">
        <x:v>The gold answer is 'Low-sugar fruit juices.' Evidence 1 establishes that Susan Thompson appreciates low-sugar fruit juices. Evidence 2 shows she plans to include them in her regular diet. Evidence 3 explicitly states she plans to share insights from her experience with low-sugar fruit juices in her health workshops. Together, these pieces of evidence directly support that Susan Thompson would explore low-sugar fruit juices during her wellness workshops, which fully covers the material component of the gold answer.</x:v>
      </x:c>
      <x:c r="E281" s="30" t="str">
        <x:v>ua3_representation_or_admission_failure</x:v>
      </x:c>
      <x:c r="F281" s="30" t="str">
        <x:v>correct</x:v>
      </x:c>
      <x:c r="G281" s="30" t="str">
        <x:v>The model answer exactly matches the benchmark gold answer 'Low-sugar fruit juices', providing the complete correct information without any contradiction or unsupported material.</x:v>
      </x:c>
      <x:c r="H281" s="30" t="str">
        <x:v>correct</x:v>
      </x:c>
      <x:c r="I281" s="30" t="str">
        <x:v>The model answer exactly matches the benchmark gold answer 'Low-sugar fruit juices,' providing the complete expected response without any contradiction or unsupported material.</x:v>
      </x:c>
      <x:c r="J281" s="30" t="str">
        <x:v>correct</x:v>
      </x:c>
      <x:c r="K281" s="30" t="str">
        <x:v>The model answer exactly matches the benchmark gold answer 'Low-sugar fruit juices', providing the complete correct information without any contradiction or unsupported material.</x:v>
      </x:c>
      <x:c r="L281" s="30" t="str">
        <x:v>LongCat-2.0</x:v>
      </x:c>
      <x:c r="M281" s="30" t="str">
        <x:v>LongCat-2.0</x:v>
      </x:c>
      <x:c r="N281" s="30" t="str">
        <x:v>LongCat-2.0</x:v>
      </x:c>
      <x:c r="O281" s="30" t="str">
        <x:v>LongCat-2.0</x:v>
      </x:c>
    </x:row>
    <x:row r="282" ht="54" customHeight="1">
      <x:c r="A282" s="30" t="str">
        <x:v>memos_medium:616</x:v>
      </x:c>
      <x:c r="B282" s="30" t="str">
        <x:v>sufficient</x:v>
      </x:c>
      <x:c r="C282" s="30" t="str">
        <x:v>none</x:v>
      </x:c>
      <x:c r="D282" s="30" t="str">
        <x:v>Evidence 1 explicitly states that Sarah Garcia's job_title was updated from 'head of social initiatives' to 'executive director', directly providing the previous job title. Evidence 2 confirms the transition to Executive Director at Community Change Initiative. Together, they fully support the gold answer 'Head of Social Initiatives'.</x:v>
      </x:c>
      <x:c r="E282" s="30" t="str">
        <x:v>ua3_representation_or_admission_failure</x:v>
      </x:c>
      <x:c r="F282" s="30" t="str">
        <x:v>correct</x:v>
      </x:c>
      <x:c r="G282" s="30" t="str">
        <x:v>The model answer 'head of social initiatives' is semantically identical to the gold answer 'Head of Social Initiatives', differing only in capitalization, which is a minor wording difference that does not affect meaning.</x:v>
      </x:c>
      <x:c r="H282" s="30" t="str">
        <x:v>correct</x:v>
      </x:c>
      <x:c r="I282" s="30" t="str">
        <x:v>The model answer 'head of social initiatives' is semantically identical to the gold answer 'Head of Social Initiatives', differing only in capitalization, which is a minor wording difference that does not affect meaning.</x:v>
      </x:c>
      <x:c r="J282" s="30" t="str">
        <x:v>correct</x:v>
      </x:c>
      <x:c r="K282" s="30" t="str">
        <x:v>The model answer 'head of social initiatives' is semantically identical to the gold answer 'Head of Social Initiatives', differing only in capitalization, which is a minor wording difference that does not affect meaning.</x:v>
      </x:c>
      <x:c r="L282" s="30" t="str">
        <x:v>LongCat-2.0</x:v>
      </x:c>
      <x:c r="M282" s="30" t="str">
        <x:v>LongCat-2.0</x:v>
      </x:c>
      <x:c r="N282" s="30" t="str">
        <x:v>LongCat-2.0</x:v>
      </x:c>
      <x:c r="O282" s="30" t="str">
        <x:v>LongCat-2.0</x:v>
      </x:c>
    </x:row>
    <x:row r="283" ht="54" customHeight="1">
      <x:c r="A283" s="30" t="str">
        <x:v>memos_long:2277</x:v>
      </x:c>
      <x:c r="B283" s="30" t="str">
        <x:v>sufficient</x:v>
      </x:c>
      <x:c r="C283" s="30" t="str"/>
      <x:c r="D283" s="30" t="str">
        <x:v>The gold answer is 'Seek efficient management advice.' Evidence 1 states that Williams Daniel seeks advice on efficiently managing research tasks alongside creative work, which directly supports the gold answer. Evidence 2 reinforces this by noting he discussed the challenge of balancing research time with creative project management, providing context for why he would seek such advice. Together, the evidence fully supports the material component of the gold answer.</x:v>
      </x:c>
      <x:c r="E283" s="30" t="str">
        <x:v>ua3_representation_or_admission_failure</x:v>
      </x:c>
      <x:c r="F283" s="30" t="str">
        <x:v>correct</x:v>
      </x:c>
      <x:c r="G283" s="30" t="str">
        <x:v>The model answer 'Seek advice on task management' is semantically equivalent to the gold answer 'Seek efficient management advice.' Both convey the same core idea of seeking guidance on managing tasks, with only minor wording differences.</x:v>
      </x:c>
      <x:c r="H283" s="30" t="str">
        <x:v>correct</x:v>
      </x:c>
      <x:c r="I283" s="30" t="str">
        <x:v>The model answer 'Seek advice on task management' is semantically equivalent to the gold answer 'Seek efficient management advice.' Both convey the same core idea of seeking guidance on managing tasks, with only minor wording differences.</x:v>
      </x:c>
      <x:c r="J283" s="30" t="str">
        <x:v>correct</x:v>
      </x:c>
      <x:c r="K283" s="30" t="str">
        <x:v>The model answer 'Seek advice on task management' is semantically equivalent to the gold answer 'Seek efficient management advice.' Both convey the same core idea of seeking guidance on managing tasks, with only minor wording differences.</x:v>
      </x:c>
      <x:c r="L283" s="30" t="str">
        <x:v>LongCat-2.0</x:v>
      </x:c>
      <x:c r="M283" s="30" t="str">
        <x:v>LongCat-2.0</x:v>
      </x:c>
      <x:c r="N283" s="30" t="str">
        <x:v>LongCat-2.0</x:v>
      </x:c>
      <x:c r="O283" s="30" t="str">
        <x:v>LongCat-2.0</x:v>
      </x:c>
    </x:row>
    <x:row r="284" ht="54" customHeight="1">
      <x:c r="A284" s="30" t="str">
        <x:v>memos_long:1360</x:v>
      </x:c>
      <x:c r="B284" s="30" t="str">
        <x:v>insufficient</x:v>
      </x:c>
      <x:c r="C284" s="30" t="str">
        <x:v>The evidence mentions golf and boxing as sports Ananya is excited about exploring, but does not mention chess or any indication that she would explore chess next.</x:v>
      </x:c>
      <x:c r="D284" s="30" t="str">
        <x:v>The gold answer claims Ananya would explore chess next due to its strategic nature. However, the evidence only supports that she is interested in golf and boxing for their strategic depth. There is no evidence linking her to chess or suggesting chess as a next sport to explore. The material component 'Chess' in the gold answer is entirely unsupported by the provided evidence.</x:v>
      </x:c>
      <x:c r="E284" s="30" t="str">
        <x:v>evidence_definition_failure</x:v>
      </x:c>
      <x:c r="F284" s="30" t="str">
        <x:v>hallucination</x:v>
      </x:c>
      <x:c r="G284"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H284" s="30" t="str">
        <x:v>hallucination</x:v>
      </x:c>
      <x:c r="I284"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J284" s="30" t="str">
        <x:v>hallucination</x:v>
      </x:c>
      <x:c r="K284"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due to its strategic nature,' and the inclusion of boxing as a strategic sport is an unsupported claim that contradicts the expected answer.</x:v>
      </x:c>
      <x:c r="L284" s="30" t="str">
        <x:v>LongCat-2.0</x:v>
      </x:c>
      <x:c r="M284" s="30" t="str">
        <x:v>LongCat-2.0</x:v>
      </x:c>
      <x:c r="N284" s="30" t="str">
        <x:v>LongCat-2.0</x:v>
      </x:c>
      <x:c r="O284" s="30" t="str">
        <x:v>LongCat-2.0</x:v>
      </x:c>
    </x:row>
    <x:row r="285" ht="54" customHeight="1">
      <x:c r="A285" s="30" t="str">
        <x:v>memos_medium:1216</x:v>
      </x:c>
      <x:c r="B285" s="30" t="str">
        <x:v>sufficient</x:v>
      </x:c>
      <x:c r="C285" s="30" t="str">
        <x:v>None. The evidence directly supports that Taylor David attended a creative workshop on August 16, 2040, which inspired his shift toward creative puzzle games, and that he expressed excitement about integrating creative puzzle games into his routine to enhance meal planning creativity. From this, a workshop on creative problem-solving techniques is directly derivable as beneficial for his creative meal planning.</x:v>
      </x:c>
      <x:c r="D285" s="30" t="str">
        <x:v>Evidence 1 establishes that Taylor David attended a creative workshop on August 16, 2040, which inspired his shift toward creative puzzle games. Evidence 2 shows his evolved preference for creative puzzle games that stimulate innovative thinking and problem-solving. Evidence 3 directly links creative puzzle games to enhancing his meal planning creativity. Together, these support that a workshop on creative problem-solving techniques would be beneficial for his creative meal planning, covering every material component of the gold answer.</x:v>
      </x:c>
      <x:c r="E285" s="30" t="str">
        <x:v>robust_generation_failure</x:v>
      </x:c>
      <x:c r="F285" s="30" t="str">
        <x:v>hallucination</x:v>
      </x:c>
      <x:c r="G285"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H285" s="30" t="str">
        <x:v>hallucination</x:v>
      </x:c>
      <x:c r="I285"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J285" s="30" t="str">
        <x:v>hallucination</x:v>
      </x:c>
      <x:c r="K285" s="30" t="str">
        <x:v>The gold answer specifies a workshop on 'creative problem-solving techniques,' which is a broad, general category. The model answer 'Creative puzzle workshop' introduces a specific, unsupported type of workshop (puzzles) that is not mentioned or implied in the gold answer, making it a concrete claim that contradicts the generality of the gold answer.</x:v>
      </x:c>
      <x:c r="L285" s="30" t="str">
        <x:v>LongCat-2.0</x:v>
      </x:c>
      <x:c r="M285" s="30" t="str">
        <x:v>LongCat-2.0</x:v>
      </x:c>
      <x:c r="N285" s="30" t="str">
        <x:v>LongCat-2.0</x:v>
      </x:c>
      <x:c r="O285" s="30" t="str">
        <x:v>LongCat-2.0</x:v>
      </x:c>
    </x:row>
    <x:row r="286" ht="54" customHeight="1">
      <x:c r="A286" s="30" t="str">
        <x:v>memos_long:1528</x:v>
      </x:c>
      <x:c r="B286" s="30" t="str">
        <x:v>sufficient</x:v>
      </x:c>
      <x:c r="C286" s="30" t="str">
        <x:v>none</x:v>
      </x:c>
      <x:c r="D286" s="30" t="str">
        <x:v>Evidence 1 establishes that Jennifer Martin's employment status changed from employed to unemployed due to a layoff from CloudTech Advisors. Evidence 2 directly states that she is currently unemployed and exploring new opportunities in cloud computing after being laid off. Together, these two pieces of evidence fully support both material components of the gold answer: (1) her current status is unemployed, and (2) she is exploring new opportunities. No additional information is needed to derive the complete gold answer.</x:v>
      </x:c>
      <x:c r="E286" s="30" t="str">
        <x:v>robust_generation_failure</x:v>
      </x:c>
      <x:c r="F286" s="30" t="str">
        <x:v>omission</x:v>
      </x:c>
      <x:c r="G286" s="30" t="str">
        <x:v>The model answer 'Unemployed' captures part of the gold answer but omits the additional detail 'and exploring new opportunities,' making it an incomplete subset of the full answer.</x:v>
      </x:c>
      <x:c r="H286" s="30" t="str">
        <x:v>omission</x:v>
      </x:c>
      <x:c r="I286" s="30" t="str">
        <x:v>The model answer 'Unemployed' captures part of the gold answer but omits the additional detail 'and exploring new opportunities,' making it an incomplete subset of the full answer.</x:v>
      </x:c>
      <x:c r="J286" s="30" t="str">
        <x:v>omission</x:v>
      </x:c>
      <x:c r="K286" s="30" t="str">
        <x:v>The model answer 'Unemployed' captures part of the gold answer but omits the additional detail 'and exploring new opportunities,' making it an incomplete subset of the full answer.</x:v>
      </x:c>
      <x:c r="L286" s="30" t="str">
        <x:v>LongCat-2.0</x:v>
      </x:c>
      <x:c r="M286" s="30" t="str">
        <x:v>LongCat-2.0</x:v>
      </x:c>
      <x:c r="N286" s="30" t="str">
        <x:v>LongCat-2.0</x:v>
      </x:c>
      <x:c r="O286" s="30" t="str">
        <x:v>LongCat-2.0</x:v>
      </x:c>
    </x:row>
    <x:row r="287" ht="54" customHeight="1">
      <x:c r="A287" s="30" t="str">
        <x:v>memos_long:2459</x:v>
      </x:c>
      <x:c r="B287" s="30" t="str">
        <x:v>sufficient</x:v>
      </x:c>
      <x:c r="C287" s="30" t="str"/>
      <x:c r="D287" s="30" t="str">
        <x:v>The gold answer states that Steven might explore watching more romantic comedies after August 22, 2027. Evidence 1 establishes that Steven's dislike for romantic comedies has evolved and he now appreciates the diversity and innovative storytelling in newer films. Evidence 2 explicitly states that Steven is open to exploring romantic comedies further, recognizing the diversity and depth in storytelling they now offer. Evidence 3 shows Steven expressed curiosity about how his evolving movie preferences might affect his leisure activities. Together, these pieces of evidence directly support the conclusion that Steven might explore watching more romantic comedies as a new leisure activity. The date 'after August 22, 2027' is a temporal qualifier that does not require additional evidence since the evidence describes his current evolving preferences and openness to exploration, which logically extends to future leisure activities. All material components of the gold answer are supported.</x:v>
      </x:c>
      <x:c r="E287" s="30" t="str">
        <x:v>ua3_representation_or_admission_failure</x:v>
      </x:c>
      <x:c r="F287" s="30" t="str">
        <x:v>correct</x:v>
      </x:c>
      <x:c r="G287" s="30" t="str">
        <x:v>The model answer 'Exploring romantic comedies further' semantically conveys the same complete meaning as the gold answer 'Steven might explore watching more romantic comedies,' with only minor wording differences.</x:v>
      </x:c>
      <x:c r="H287" s="30" t="str">
        <x:v>correct</x:v>
      </x:c>
      <x:c r="I287" s="30" t="str">
        <x:v>The model answer 'Exploring romantic comedies further' semantically conveys the same complete meaning as the gold answer 'Steven might explore watching more romantic comedies.' Both indicate that Steven may pursue romantic comedies as a new leisure activity, with only minor wording differences.</x:v>
      </x:c>
      <x:c r="J287" s="30" t="str">
        <x:v>correct</x:v>
      </x:c>
      <x:c r="K287" s="30" t="str">
        <x:v>The model answer 'Exploring romantic comedies further' semantically conveys the same complete meaning as the gold answer 'Steven might explore watching more romantic comedies,' with only minor wording differences.</x:v>
      </x:c>
      <x:c r="L287" s="30" t="str">
        <x:v>LongCat-2.0</x:v>
      </x:c>
      <x:c r="M287" s="30" t="str">
        <x:v>LongCat-2.0</x:v>
      </x:c>
      <x:c r="N287" s="30" t="str">
        <x:v>LongCat-2.0</x:v>
      </x:c>
      <x:c r="O287" s="30" t="str">
        <x:v>LongCat-2.0</x:v>
      </x:c>
    </x:row>
    <x:row r="288" ht="54" customHeight="1">
      <x:c r="A288" s="30" t="str">
        <x:v>memos_long:1875</x:v>
      </x:c>
      <x:c r="B288" s="30" t="str">
        <x:v>sufficient</x:v>
      </x:c>
      <x:c r="C288" s="30" t="str">
        <x:v>None. The evidence directly supports that Michelle seeks genres with fresh narratives and intellectual challenges to enhance her analytical skills.</x:v>
      </x:c>
      <x:c r="D288" s="30" t="str">
        <x:v>Evidence 1 states Michelle is seeking recommendations for movie genres that offer fresh narratives and stimulate her analytical skills. Evidence 2 confirms she values narratives that challenge her intellectually and offer new perspectives. Evidence 3 reinforces her interest in experimenting with genres to enhance analytical skills. Together, these directly support the gold answer that she should explore genres with fresh narratives and intellectual challenges.</x:v>
      </x:c>
      <x:c r="E288" s="30" t="str">
        <x:v>ua3_representation_or_admission_failure</x:v>
      </x:c>
      <x:c r="F288" s="30" t="str">
        <x:v>correct</x:v>
      </x:c>
      <x:c r="G288" s="30" t="str">
        <x:v>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x:v>
      </x:c>
      <x:c r="H288" s="30" t="str">
        <x:v>correct</x:v>
      </x:c>
      <x:c r="I288" s="30" t="str">
        <x:v>The model answer 'Fresh, intellectually challenging narratives' captures the complete meaning of the gold answer 'Genres with fresh narratives and intellectual challenges.' Both convey the same core idea of seeking fresh and intellectually stimulating content, with only minor wording differences.</x:v>
      </x:c>
      <x:c r="J288" s="30" t="str">
        <x:v>correct</x:v>
      </x:c>
      <x:c r="K288" s="30" t="str">
        <x:v>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x:v>
      </x:c>
      <x:c r="L288" s="30" t="str">
        <x:v>LongCat-2.0</x:v>
      </x:c>
      <x:c r="M288" s="30" t="str">
        <x:v>LongCat-2.0</x:v>
      </x:c>
      <x:c r="N288" s="30" t="str">
        <x:v>LongCat-2.0</x:v>
      </x:c>
      <x:c r="O288" s="30" t="str">
        <x:v>LongCat-2.0</x:v>
      </x:c>
    </x:row>
    <x:row r="289" ht="54" customHeight="1">
      <x:c r="A289" s="30" t="str">
        <x:v>memos_medium:208</x:v>
      </x:c>
      <x:c r="B289" s="30" t="str">
        <x:v>sufficient</x:v>
      </x:c>
      <x:c r="C289" s="30" t="str"/>
      <x:c r="D289" s="30" t="str">
        <x:v>Evidence 2 directly states that Johnson Joseph's exploratory motivation led him to test new approaches and ideas during his transition to part-time management, which matches the gold answer 'Testing new approaches and ideas for balance.' Evidence 1 supports the exploratory motivation context, and Evidence 3 provides the stress management strategies (mindfulness practices and scheduled downtime). Together, these pieces of evidence fully support the gold answer through ordinary reasoning.</x:v>
      </x:c>
      <x:c r="E289" s="30" t="str">
        <x:v>ua3_representation_or_admission_failure</x:v>
      </x:c>
      <x:c r="F289" s="30" t="str">
        <x:v>correct</x:v>
      </x:c>
      <x:c r="G289" s="30" t="str">
        <x:v>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x:v>
      </x:c>
      <x:c r="H289" s="30" t="str">
        <x:v>correct</x:v>
      </x:c>
      <x:c r="I289" s="30" t="str">
        <x:v>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 conveys the same key actions (testing new approaches and ideas) without adding any false or unsupported claims.</x:v>
      </x:c>
      <x:c r="J289" s="30" t="str">
        <x:v>correct</x:v>
      </x:c>
      <x:c r="K289" s="30" t="str">
        <x:v>The model answer 'Tested new approaches and ideas' captures the complete semantic meaning of the gold answer 'Testing new approaches and ideas for balance.' The omission of 'for balance' is minor and does not change the core meaning, as the key concept of exploring new approaches and ideas is fully preserved.</x:v>
      </x:c>
      <x:c r="L289" s="30" t="str">
        <x:v>LongCat-2.0</x:v>
      </x:c>
      <x:c r="M289" s="30" t="str">
        <x:v>LongCat-2.0</x:v>
      </x:c>
      <x:c r="N289" s="30" t="str">
        <x:v>LongCat-2.0</x:v>
      </x:c>
      <x:c r="O289" s="30" t="str">
        <x:v>LongCat-2.0</x:v>
      </x:c>
    </x:row>
    <x:row r="290" ht="54" customHeight="1">
      <x:c r="A290" s="30" t="str">
        <x:v>memos_long:3448</x:v>
      </x:c>
      <x:c r="B290" s="30" t="str">
        <x:v>sufficient</x:v>
      </x:c>
      <x:c r="C290" s="30" t="str">
        <x:v>none</x:v>
      </x:c>
      <x:c r="D290" s="30" t="str">
        <x:v>Evidence 1 directly states that Christopher expressed a growing interest in documentaries that tackle social issues, which matches the gold answer exactly. All material components of the gold answer are fully supported by the evidence.</x:v>
      </x:c>
      <x:c r="E290" s="30" t="str">
        <x:v>ua3_representation_or_admission_failure</x:v>
      </x:c>
      <x:c r="F290" s="30" t="str">
        <x:v>correct</x:v>
      </x:c>
      <x:c r="G290" s="30" t="str">
        <x:v>The model answer 'Social issue documentaries' is a concise rephrasing of the gold answer 'Documentaries that tackle social issues.' Both convey the same meaning, with the model answer using a noun phrase instead of a relative clause. The semantic content is complete and matches the gold answer.</x:v>
      </x:c>
      <x:c r="H290" s="30" t="str">
        <x:v>correct</x:v>
      </x:c>
      <x:c r="I290" s="30" t="str">
        <x:v>The model answer 'Social issue documentaries' is a concise rephrasing of the gold answer 'Documentaries that tackle social issues.' Both convey the same semantic meaning—documentaries focused on social issues—with no contradiction or unsupported material.</x:v>
      </x:c>
      <x:c r="J290" s="30" t="str">
        <x:v>correct</x:v>
      </x:c>
      <x:c r="K290" s="30" t="str">
        <x:v>The model answer 'Social issue documentaries' is a concise rephrasing of the gold answer 'Documentaries that tackle social issues.' Both convey the same semantic meaning, with no missing or contradictory information.</x:v>
      </x:c>
      <x:c r="L290" s="30" t="str">
        <x:v>LongCat-2.0</x:v>
      </x:c>
      <x:c r="M290" s="30" t="str">
        <x:v>LongCat-2.0</x:v>
      </x:c>
      <x:c r="N290" s="30" t="str">
        <x:v>LongCat-2.0</x:v>
      </x:c>
      <x:c r="O290" s="30" t="str">
        <x:v>LongCat-2.0</x:v>
      </x:c>
    </x:row>
    <x:row r="291" ht="54" customHeight="1">
      <x:c r="A291" s="30" t="str">
        <x:v>memos_long:2942</x:v>
      </x:c>
      <x:c r="B291" s="30" t="str">
        <x:v>sufficient</x:v>
      </x:c>
      <x:c r="C291" s="30" t="str">
        <x:v>None. The evidence directly supports that Karen Brown values social bonding and stress relief from occasional indulgence, which maps to 'social and stress-relief experiences' in restaurants.</x:v>
      </x:c>
      <x:c r="D291" s="30" t="str">
        <x:v>Evidence 1 shows Karen experienced social benefits and stress relief from fast food during a team outing. Evidence 3 explicitly states she values occasional indulgence for stress relief and social bonding. Evidence 2 shows her dislike for fast food burgers was deleted, meaning she is open to such options again. Evidence 4 and 5 support her evolving preferences and balance between health and indulgence. Together, these establish that restaurants offering social and stress-relief experiences align with her current preferences, fully supporting the gold answer.</x:v>
      </x:c>
      <x:c r="E291" s="30" t="str">
        <x:v>robust_generation_failure</x:v>
      </x:c>
      <x:c r="F291" s="30" t="str">
        <x:v>hallucination</x:v>
      </x:c>
      <x:c r="G291" s="30" t="str">
        <x:v>The gold answer specifies restaurants offering social and stress-relief experiences, while the model answer claims fast food restaurants, which is a concrete answer that contradicts the gold answer.</x:v>
      </x:c>
      <x:c r="H291" s="30" t="str">
        <x:v>hallucination</x:v>
      </x:c>
      <x:c r="I291" s="30" t="str">
        <x:v>The gold answer specifies restaurants offering social and stress-relief experiences, while the model answer states 'Fast food restaurants,' which is a concrete claim that contradicts the gold answer and is unsupported by it.</x:v>
      </x:c>
      <x:c r="J291" s="30" t="str">
        <x:v>hallucination</x:v>
      </x:c>
      <x:c r="K291" s="30" t="str">
        <x:v>The gold answer specifies restaurants offering social and stress-relief experiences, while the model answer states 'Fast food restaurants,' which is a concrete answer that contradicts the gold answer and is unsupported.</x:v>
      </x:c>
      <x:c r="L291" s="30" t="str">
        <x:v>LongCat-2.0</x:v>
      </x:c>
      <x:c r="M291" s="30" t="str">
        <x:v>LongCat-2.0</x:v>
      </x:c>
      <x:c r="N291" s="30" t="str">
        <x:v>LongCat-2.0</x:v>
      </x:c>
      <x:c r="O291" s="30" t="str">
        <x:v>LongCat-2.0</x:v>
      </x:c>
    </x:row>
    <x:row r="292" ht="54" customHeight="1">
      <x:c r="A292" s="30" t="str">
        <x:v>memos_long:1390</x:v>
      </x:c>
      <x:c r="B292" s="30" t="str">
        <x:v>sufficient</x:v>
      </x:c>
      <x:c r="C292" s="30" t="str">
        <x:v>None. The gold answer states that Ananya might enjoy activities involving strategic thinking and relaxation. The evidence directly supports this: Evidence 1 notes her preference for golf due to its strategic depth and calming environment; Evidence 2 states she plans to integrate golf for relaxation and strategic thinking; Evidence 3 confirms her appreciation of golf's strategic aspects. Together, these establish that strategic thinking and relaxation are the material components of the answer.</x:v>
      </x:c>
      <x:c r="D292" s="30" t="str">
        <x:v>The gold answer has two material components: (1) strategic thinking and (2) relaxation. All three pieces of evidence explicitly link Ananya's post-July 2034 routine to golf, which she values for both its strategic depth and its calming/relaxing qualities. Therefore, the complete gold answer is directly derivable from the provided evidence.</x:v>
      </x:c>
      <x:c r="E292" s="30" t="str">
        <x:v>robust_generation_failure</x:v>
      </x:c>
      <x:c r="F292" s="30" t="str">
        <x:v>omission</x:v>
      </x:c>
      <x:c r="G292" s="30" t="str">
        <x:v>The gold answer mentions two components: strategic thinking and relaxation. The model answer only addresses strategic thinking (via golf) and omits relaxation entirely, making it an incomplete subset of the gold answer.</x:v>
      </x:c>
      <x:c r="H292" s="30" t="str">
        <x:v>omission</x:v>
      </x:c>
      <x:c r="I292" s="30" t="str">
        <x:v>The gold answer mentions two components: strategic thinking and relaxation. The model answer only addresses strategic thinking (via golf) and omits relaxation entirely, making it an incomplete subset without adding a false claim.</x:v>
      </x:c>
      <x:c r="J292" s="30" t="str">
        <x:v>omission</x:v>
      </x:c>
      <x:c r="K292" s="30" t="str">
        <x:v>The gold answer mentions two components: strategic thinking and relaxation. The model answer only addresses strategic thinking (via golf) and omits relaxation entirely, making it an incomplete subset of the gold answer.</x:v>
      </x:c>
      <x:c r="L292" s="30" t="str">
        <x:v>LongCat-2.0</x:v>
      </x:c>
      <x:c r="M292" s="30" t="str">
        <x:v>LongCat-2.0</x:v>
      </x:c>
      <x:c r="N292" s="30" t="str">
        <x:v>LongCat-2.0</x:v>
      </x:c>
      <x:c r="O292" s="30" t="str">
        <x:v>LongCat-2.0</x:v>
      </x:c>
    </x:row>
    <x:row r="293" ht="54" customHeight="1">
      <x:c r="A293" s="30" t="str">
        <x:v>memos_long:721</x:v>
      </x:c>
      <x:c r="B293" s="30" t="str">
        <x:v>sufficient</x:v>
      </x:c>
      <x:c r="C293" s="30" t="str"/>
      <x:c r="D293" s="30" t="str">
        <x:v>The gold answer is 'Diagnosed with a chronic disease.' Evidence 1 directly states that Donna Gonzalez was diagnosed with a chronic disease. Evidence 2 corroborates this by stating she was diagnosed with a chronic disease after experiencing health issues. Both pieces of evidence, taken together, fully support the complete gold answer with no missing material components.</x:v>
      </x:c>
      <x:c r="E293" s="30" t="str">
        <x:v>ua3_representation_or_admission_failure</x:v>
      </x:c>
      <x:c r="F293" s="30" t="str">
        <x:v>correct</x:v>
      </x:c>
      <x:c r="G293"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H293" s="30" t="str">
        <x:v>correct</x:v>
      </x:c>
      <x:c r="I293"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J293" s="30" t="str">
        <x:v>correct</x:v>
      </x:c>
      <x:c r="K293"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L293" s="30" t="str">
        <x:v>LongCat-2.0</x:v>
      </x:c>
      <x:c r="M293" s="30" t="str">
        <x:v>LongCat-2.0</x:v>
      </x:c>
      <x:c r="N293" s="30" t="str">
        <x:v>LongCat-2.0</x:v>
      </x:c>
      <x:c r="O293" s="30" t="str">
        <x:v>LongCat-2.0</x:v>
      </x:c>
    </x:row>
    <x:row r="294" ht="54" customHeight="1">
      <x:c r="A294" s="30" t="str">
        <x:v>memos_medium:2568</x:v>
      </x:c>
      <x:c r="B294" s="30" t="str">
        <x:v>sufficient</x:v>
      </x:c>
      <x:c r="C294" s="30" t="str">
        <x:v>None. The evidence directly supports that Steven Miller expressed a desire to explore more cooperative puzzle games, which is the complete gold answer.</x:v>
      </x:c>
      <x:c r="D294" s="30" t="str">
        <x:v>Evidence 1 states that Steven Miller updated his gaming preferences to include cooperative puzzle games. Evidence 2 states that he expressed a desire to explore more games that offer a blend of social and mental engagement. Together, these pieces of evidence directly support the gold answer that he expressed a desire to explore more cooperative puzzle games, covering all material components of the answer.</x:v>
      </x:c>
      <x:c r="E294" s="30" t="str">
        <x:v>robust_generation_failure</x:v>
      </x:c>
      <x:c r="F294" s="30" t="str">
        <x:v>omission</x:v>
      </x:c>
      <x:c r="G294" s="30" t="str">
        <x:v>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x:v>
      </x:c>
      <x:c r="H294" s="30" t="str">
        <x:v>omission</x:v>
      </x:c>
      <x:c r="I294" s="30" t="str">
        <x:v>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x:v>
      </x:c>
      <x:c r="J294" s="30" t="str">
        <x:v>omission</x:v>
      </x:c>
      <x:c r="K294" s="30" t="str">
        <x:v>The model answer 'No' is factually consistent with the gold answer but omits the key detail that Steven Miller expressed a desire to explore more cooperative puzzle games. It provides only an incomplete subset of the gold answer without adding a false claim, which fits the definition of omission.</x:v>
      </x:c>
      <x:c r="L294" s="30" t="str">
        <x:v>LongCat-2.0</x:v>
      </x:c>
      <x:c r="M294" s="30" t="str">
        <x:v>LongCat-2.0</x:v>
      </x:c>
      <x:c r="N294" s="30" t="str">
        <x:v>LongCat-2.0</x:v>
      </x:c>
      <x:c r="O294" s="30" t="str">
        <x:v>LongCat-2.0</x:v>
      </x:c>
    </x:row>
    <x:row r="295" ht="54" customHeight="1">
      <x:c r="A295" s="30" t="str">
        <x:v>memos_long:2537</x:v>
      </x:c>
      <x:c r="B295" s="30" t="str">
        <x:v>partial</x:v>
      </x:c>
      <x:c r="C295" s="30" t="str">
        <x:v>The gold answer includes 'AI' as a strategy, but the evidence only mentions Steven's interest in leveraging AI, not that he actually uses it as a strategy to maintain work-life balance. The evidence supports 'mindfulness' but does not confirm 'AI' as an implemented strategy.</x:v>
      </x:c>
      <x:c r="D295" s="30" t="str">
        <x:v>The gold answer consists of two material components: 'AI' and 'mindfulness'. Evidence 2 and Evidence 3 support 'mindfulness' as a key strategy Steven uses. Evidence 3 mentions Steven expressed interest in leveraging AI, but expressing interest is not the same as using it as a strategy. Therefore, only one of the two material components is fully supported, making the evidence partial.</x:v>
      </x:c>
      <x:c r="E295" s="30" t="str">
        <x:v>evidence_definition_failure</x:v>
      </x:c>
      <x:c r="F295" s="30" t="str">
        <x:v>omission</x:v>
      </x:c>
      <x:c r="G295" s="30" t="str">
        <x:v>The model answer includes 'mindfulness' which is part of the gold answer, but it omits 'AI' and instead adds 'regular exercise', which is not supported by the gold answer. Since it provides only an incomplete subset of the gold answer, it qualifies as an omission.</x:v>
      </x:c>
      <x:c r="H295" s="30" t="str">
        <x:v>omission</x:v>
      </x:c>
      <x:c r="I295" s="30" t="str">
        <x:v>The model answer includes 'mindfulness' which is part of the gold answer, but it omits 'AI' and instead adds 'regular exercise', which is not supported by the gold answer. Since it provides only an incomplete subset of the gold answer without fully covering it, it is classified as omission.</x:v>
      </x:c>
      <x:c r="J295" s="30" t="str">
        <x:v>omission</x:v>
      </x:c>
      <x:c r="K295" s="30" t="str">
        <x:v>The model answer includes 'mindfulness' which is part of the gold answer, but it omits 'AI' and instead adds 'regular exercise', which is not supported by the gold answer. Since it provides only an incomplete subset of the gold answer, it qualifies as an omission.</x:v>
      </x:c>
      <x:c r="L295" s="30" t="str">
        <x:v>LongCat-2.0</x:v>
      </x:c>
      <x:c r="M295" s="30" t="str">
        <x:v>LongCat-2.0</x:v>
      </x:c>
      <x:c r="N295" s="30" t="str">
        <x:v>LongCat-2.0</x:v>
      </x:c>
      <x:c r="O295" s="30" t="str">
        <x:v>LongCat-2.0</x:v>
      </x:c>
    </x:row>
    <x:row r="296" ht="54" customHeight="1">
      <x:c r="A296" s="30" t="str">
        <x:v>memos_medium:1811</x:v>
      </x:c>
      <x:c r="B296" s="30" t="str">
        <x:v>sufficient</x:v>
      </x:c>
      <x:c r="C296" s="30" t="str"/>
      <x:c r="D296" s="30" t="str">
        <x:v>Evidence 1 directly states that Michelle Hernandez has deprioritized green tea in her daily routine due to increased work demands and a focus on productivity. This fully supports both material components of the gold answer: the negative prioritization ('No, Michelle deprioritized green tea') and the reason ('due to increased work demands'). The evidence is sufficient to derive the complete gold answer.</x:v>
      </x:c>
      <x:c r="E296" s="30" t="str">
        <x:v>robust_generation_failure</x:v>
      </x:c>
      <x:c r="F296" s="30" t="str">
        <x:v>omission</x:v>
      </x:c>
      <x:c r="G296" s="30" t="str">
        <x:v>The model answer 'No' is factually consistent with the gold answer but omits the key supporting detail (deprioritization due to increased work demands), providing only an incomplete subset of the gold answer.</x:v>
      </x:c>
      <x:c r="H296" s="30" t="str">
        <x:v>omission</x:v>
      </x:c>
      <x:c r="I296" s="30" t="str">
        <x:v>The model answer 'No' is factually aligned with the gold answer but omits the key supporting detail that Michelle deprioritized green tea due to increased work demands, making it an incomplete subset of the gold answer.</x:v>
      </x:c>
      <x:c r="J296" s="30" t="str">
        <x:v>omission</x:v>
      </x:c>
      <x:c r="K296" s="30" t="str">
        <x:v>The model answer 'No' is factually consistent with the gold answer but omits the key supporting detail that Michelle deprioritized green tea due to increased work demands, making it an incomplete subset of the gold answer.</x:v>
      </x:c>
      <x:c r="L296" s="30" t="str">
        <x:v>LongCat-2.0</x:v>
      </x:c>
      <x:c r="M296" s="30" t="str">
        <x:v>LongCat-2.0</x:v>
      </x:c>
      <x:c r="N296" s="30" t="str">
        <x:v>LongCat-2.0</x:v>
      </x:c>
      <x:c r="O296" s="30" t="str">
        <x:v>LongCat-2.0</x:v>
      </x:c>
    </x:row>
    <x:row r="297" ht="54" customHeight="1">
      <x:c r="A297" s="30" t="str">
        <x:v>memos_medium:2016</x:v>
      </x:c>
      <x:c r="B297" s="30" t="str">
        <x:v>sufficient</x:v>
      </x:c>
      <x:c r="C297" s="30" t="str"/>
      <x:c r="D297" s="30" t="str">
        <x:v>The gold answer states Joseph Garcia might use symphonic metal to inspire new ideas for film archive programs. Evidence 2 directly states that symphonic metal inspired new ideas for his film archive, and Evidence 3 states he discussed the potential of symphonic metal to inspire new ideas for his educational programs. Together, these two pieces of evidence cover both key components of the gold answer: (1) symphonic metal as the method and (2) inspiring new ideas for film archive programs. The evidence is sufficient to derive the complete gold answer.</x:v>
      </x:c>
      <x:c r="E297" s="30" t="str">
        <x:v>robust_generation_failure</x:v>
      </x:c>
      <x:c r="F297" s="30" t="str">
        <x:v>omission</x:v>
      </x:c>
      <x:c r="G297" s="30" t="str">
        <x:v>The model answer 'Inspire new educational ideas' captures only a vague subset of the gold answer and omits the specific context of 'film archive programs' and the use of 'symphonic metal' as the method. It does not add a false claim, but it fails to provide the complete semantic content of the gold answer.</x:v>
      </x:c>
      <x:c r="H297" s="30" t="str">
        <x:v>omission</x:v>
      </x:c>
      <x:c r="I297" s="30" t="str">
        <x:v>The model answer 'Inspire new educational ideas' captures a vague portion of the gold answer but omits the specific context of 'film archive programs' and the specific use of 'symphonic metal' as the medium. It provides only an incomplete subset without adding a false claim, fitting the definition of omission.</x:v>
      </x:c>
      <x:c r="J297" s="30" t="str">
        <x:v>omission</x:v>
      </x:c>
      <x:c r="K297" s="30" t="str">
        <x:v>The model answer 'Inspire new educational ideas' captures a vague portion of the gold answer but omits the specific context of 'film archive programs' and the specific use of 'symphonic metal' as the medium. It provides only an incomplete subset without adding a concrete false claim, fitting the definition of omission.</x:v>
      </x:c>
      <x:c r="L297" s="30" t="str">
        <x:v>LongCat-2.0</x:v>
      </x:c>
      <x:c r="M297" s="30" t="str">
        <x:v>LongCat-2.0</x:v>
      </x:c>
      <x:c r="N297" s="30" t="str">
        <x:v>LongCat-2.0</x:v>
      </x:c>
      <x:c r="O297" s="30" t="str">
        <x:v>LongCat-2.0</x:v>
      </x:c>
    </x:row>
    <x:row r="298" ht="54" customHeight="1">
      <x:c r="A298" s="30" t="str">
        <x:v>memos_long:268</x:v>
      </x:c>
      <x:c r="B298" s="30" t="str">
        <x:v>sufficient</x:v>
      </x:c>
      <x:c r="C298" s="30" t="str">
        <x:v>none</x:v>
      </x:c>
      <x:c r="D298" s="30" t="str">
        <x:v>The gold answer is 'Nostalgia for printed guides.' Evidence 1 directly states that 'Johnson Joseph expressed nostalgia for printed travel guides,' which fully supports the gold answer. The additional clause about acknowledging digital benefits does not contradict or alter the emotional state component. All material components of the gold answer are present and derivable.</x:v>
      </x:c>
      <x:c r="E298" s="30" t="str">
        <x:v>ua3_representation_or_admission_failure</x:v>
      </x:c>
      <x:c r="F298" s="30" t="str">
        <x:v>correct</x:v>
      </x:c>
      <x:c r="G298" s="30" t="str">
        <x:v>The model answer 'Nostalgic' is a concise form of the gold answer 'Nostalgia for printed guides,' conveying the same emotional state without contradiction or omission.</x:v>
      </x:c>
      <x:c r="H298" s="30" t="str">
        <x:v>correct</x:v>
      </x:c>
      <x:c r="I298" s="30" t="str">
        <x:v>The model answer 'Nostalgic' is a concise form of the gold answer 'Nostalgia for printed guides,' conveying the same emotional state without contradiction or omission.</x:v>
      </x:c>
      <x:c r="J298" s="30" t="str">
        <x:v>correct</x:v>
      </x:c>
      <x:c r="K298" s="30" t="str">
        <x:v>The model answer 'Nostalgic' is a concise form of the gold answer 'Nostalgia for printed guides,' conveying the same emotional state without contradiction or unsupported material.</x:v>
      </x:c>
      <x:c r="L298" s="30" t="str">
        <x:v>LongCat-2.0</x:v>
      </x:c>
      <x:c r="M298" s="30" t="str">
        <x:v>LongCat-2.0</x:v>
      </x:c>
      <x:c r="N298" s="30" t="str">
        <x:v>LongCat-2.0</x:v>
      </x:c>
      <x:c r="O298" s="30" t="str">
        <x:v>LongCat-2.0</x:v>
      </x:c>
    </x:row>
    <x:row r="299" ht="54" customHeight="1">
      <x:c r="A299" s="30" t="str">
        <x:v>memos_long:1683</x:v>
      </x:c>
      <x:c r="B299" s="30" t="str">
        <x:v>sufficient</x:v>
      </x:c>
      <x:c r="C299" s="30" t="str"/>
      <x:c r="D299" s="30" t="str">
        <x:v>Evidence 1 directly states that Susan Thompson expressed a desire to focus on entertainment that supports tranquility and relaxation, which matches the gold answer exactly. No additional information is needed to derive the complete answer.</x:v>
      </x:c>
      <x:c r="E299" s="30" t="str">
        <x:v>ua3_representation_or_admission_failure</x:v>
      </x:c>
      <x:c r="F299" s="30" t="str">
        <x:v>correct</x:v>
      </x:c>
      <x:c r="G299" s="30" t="str">
        <x:v>The model answer 'Tranquility and relaxation' captures the complete semantic content of the gold answer 'Entertainment that supports tranquility and relaxation' without adding any false or unsupported information.</x:v>
      </x:c>
      <x:c r="H299" s="30" t="str">
        <x:v>correct</x:v>
      </x:c>
      <x:c r="I299" s="30" t="str">
        <x:v>The model answer 'Tranquility and relaxation' captures the complete semantic content of the gold answer 'Entertainment that supports tranquility and relaxation' without adding any false or unsupported information. The wording differs slightly but the meaning is fully preserved.</x:v>
      </x:c>
      <x:c r="J299" s="30" t="str">
        <x:v>correct</x:v>
      </x:c>
      <x:c r="K299" s="30" t="str">
        <x:v>The model answer 'Tranquility and relaxation' captures the complete semantic content of the gold answer 'Entertainment that supports tranquility and relaxation' with only minor wording differences, conveying the same meaning without adding false or unsupported information.</x:v>
      </x:c>
      <x:c r="L299" s="30" t="str">
        <x:v>LongCat-2.0</x:v>
      </x:c>
      <x:c r="M299" s="30" t="str">
        <x:v>LongCat-2.0</x:v>
      </x:c>
      <x:c r="N299" s="30" t="str">
        <x:v>LongCat-2.0</x:v>
      </x:c>
      <x:c r="O299" s="30" t="str">
        <x:v>LongCat-2.0</x:v>
      </x:c>
    </x:row>
    <x:row r="300" ht="54" customHeight="1">
      <x:c r="A300" s="30" t="str">
        <x:v>memos_medium:772</x:v>
      </x:c>
      <x:c r="B300" s="30" t="str">
        <x:v>sufficient</x:v>
      </x:c>
      <x:c r="C300" s="30" t="str"/>
      <x:c r="D300" s="30" t="str">
        <x:v>Evidence 1 establishes Donna's promotion to Creative Director. Evidence 2 directly states that her increased income (resulting from the promotion) impacted her ability to invest in professional development and her goal of establishing a music academy. Evidence 3 confirms the music academy is her long-term goal. Together, these pieces of evidence support that the promotion provided resources (increased income) to pursue a music academy, which matches every material component of the gold answer.</x:v>
      </x:c>
      <x:c r="E300" s="30" t="str">
        <x:v>ua3_representation_or_admission_failure</x:v>
      </x:c>
      <x:c r="F300" s="30" t="str">
        <x:v>correct</x:v>
      </x:c>
      <x:c r="G300"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H300" s="30" t="str">
        <x:v>correct</x:v>
      </x:c>
      <x:c r="I300"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J300" s="30" t="str">
        <x:v>correct</x:v>
      </x:c>
      <x:c r="K300"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L300" s="30" t="str">
        <x:v>LongCat-2.0</x:v>
      </x:c>
      <x:c r="M300" s="30" t="str">
        <x:v>LongCat-2.0</x:v>
      </x:c>
      <x:c r="N300" s="30" t="str">
        <x:v>LongCat-2.0</x:v>
      </x:c>
      <x:c r="O300" s="30" t="str">
        <x:v>LongCat-2.0</x:v>
      </x:c>
    </x:row>
    <x:row r="301" ht="54" customHeight="1">
      <x:c r="A301" s="30" t="str">
        <x:v>memos_long:2387</x:v>
      </x:c>
      <x:c r="B301" s="30" t="str">
        <x:v>sufficient</x:v>
      </x:c>
      <x:c r="C301" s="30" t="str">
        <x:v>None. The evidence directly supports that Williams Daniel would appreciate the cultural impact of new culturally significant foods despite personal taste preferences, as shown by his evolved perception of energy drinks and his interest in cultural aspects for historical accuracy.</x:v>
      </x:c>
      <x:c r="D301" s="30" t="str">
        <x:v>Evidence 1 and 3 establish that Williams Daniel appreciates cultural significance despite personal taste dislike (using energy drinks as the example). Evidence 2 confirms his interest in exploring cultural aspects of everyday items for historical accuracy. Together, these support the complete gold answer that he would appreciate cultural impact despite personal taste preferences when trying new culturally significant foods.</x:v>
      </x:c>
      <x:c r="E301" s="30" t="str">
        <x:v>robust_generation_failure</x:v>
      </x:c>
      <x:c r="F301" s="30" t="str">
        <x:v>omission</x:v>
      </x:c>
      <x:c r="G301" s="30" t="str">
        <x:v>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x:v>
      </x:c>
      <x:c r="H301" s="30" t="str">
        <x:v>omission</x:v>
      </x:c>
      <x:c r="I301" s="30" t="str">
        <x:v>The model answer 'Explore cultural significance first' captures part of the gold answer's idea about cultural impact but omits the key element that he would appreciate the foods despite personal taste preferences. It provides only an incomplete subset of the gold answer.</x:v>
      </x:c>
      <x:c r="J301" s="30" t="str">
        <x:v>omission</x:v>
      </x:c>
      <x:c r="K301" s="30" t="str">
        <x:v>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x:v>
      </x:c>
      <x:c r="L301" s="30" t="str">
        <x:v>LongCat-2.0</x:v>
      </x:c>
      <x:c r="M301" s="30" t="str">
        <x:v>LongCat-2.0</x:v>
      </x:c>
      <x:c r="N301" s="30" t="str">
        <x:v>LongCat-2.0</x:v>
      </x:c>
      <x:c r="O301" s="30" t="str">
        <x:v>LongCat-2.0</x:v>
      </x:c>
    </x:row>
    <x:row r="302" ht="54" customHeight="1">
      <x:c r="A302" s="30" t="str">
        <x:v>memos_medium:2755</x:v>
      </x:c>
      <x:c r="B302" s="30" t="str">
        <x:v>partial</x:v>
      </x:c>
      <x:c r="C302" s="30" t="str">
        <x:v>The evidence does not support the 'innovative strategies' component of the gold answer. Evidence 1 mentions Donald brainstormed 'strategies for sustainable growth' but does not specify that these strategies are innovative.</x:v>
      </x:c>
      <x:c r="D302" s="30" t="str">
        <x:v>The gold answer has two material components: (1) innovative strategies and (2) nurturing relationships. Evidence 2 directly supports the 'nurturing relationships' component. Evidence 1 mentions Donald brainstormed strategies for sustainable growth, but it does not specify that these strategies are innovative, so the 'innovative strategies' component is not supported. Therefore, only some material components are supported.</x:v>
      </x:c>
      <x:c r="E302" s="30" t="str">
        <x:v>evidence_definition_failure</x:v>
      </x:c>
      <x:c r="F302" s="30" t="str">
        <x:v>correct</x:v>
      </x:c>
      <x:c r="G302" s="30" t="str">
        <x:v>The model answer contains both key components from the gold answer: 'nurturing relationships' and 'brainstorming strategies' (which is a semantically equivalent way of expressing 'innovative strategies'). The wording differs slightly but the complete meaning is preserved.</x:v>
      </x:c>
      <x:c r="H302" s="30" t="str">
        <x:v>omission</x:v>
      </x:c>
      <x:c r="I302" s="30" t="str">
        <x:v>The model answer mentions 'nurturing relationships' and 'sustainable growth' but omits 'innovative strategies', which is a key component of the gold answer. It does not add any false claims, so it is an omission rather than a hallucination.</x:v>
      </x:c>
      <x:c r="J302" s="30" t="str">
        <x:v>correct</x:v>
      </x:c>
      <x:c r="K302" s="30" t="str">
        <x:v>The model answer includes both 'nurturing relationships' and 'brainstorming strategies,' which semantically covers the two key components of the gold answer ('nurturing relationships' and 'innovative strategies'). 'Brainstorming strategies' is a reasonable paraphrase of 'innovative strategies,' and no false or unsupported claims are added.</x:v>
      </x:c>
      <x:c r="L302" s="30" t="str">
        <x:v>LongCat-2.0</x:v>
      </x:c>
      <x:c r="M302" s="30" t="str">
        <x:v>LongCat-2.0</x:v>
      </x:c>
      <x:c r="N302" s="30" t="str">
        <x:v>LongCat-2.0</x:v>
      </x:c>
      <x:c r="O302" s="30" t="str">
        <x:v>LongCat-2.0</x:v>
      </x:c>
    </x:row>
    <x:row r="303" ht="54" customHeight="1">
      <x:c r="A303" s="30" t="str">
        <x:v>memos_medium:556</x:v>
      </x:c>
      <x:c r="B303" s="30" t="str">
        <x:v>sufficient</x:v>
      </x:c>
      <x:c r="C303" s="30" t="str">
        <x:v>None. The evidence explicitly states the change from 'Improved' to 'Challenged' and provides the reason (Chronic Fatigue Syndrome), fully supporting the gold answer.</x:v>
      </x:c>
      <x:c r="D303" s="30" t="str">
        <x:v>Evidence 1 directly states that Sarah Garcia's physical health status changed from 'Improved' to 'Challenged' due to Chronic Fatigue Syndrome. This matches the gold answer exactly, covering both the initial state ('Improved') and the final state ('Challenged'). No additional information is needed to derive the complete gold answer.</x:v>
      </x:c>
      <x:c r="E303" s="30" t="str">
        <x:v>ua3_representation_or_admission_failure</x:v>
      </x:c>
      <x:c r="F303" s="30" t="str">
        <x:v>correct</x:v>
      </x:c>
      <x:c r="G303" s="30" t="str">
        <x:v>The model answer 'Improved to Challenged' semantically conveys the complete gold answer 'Changed from Improved to Challenged', capturing both the starting state and the resulting state with only minor wording differences.</x:v>
      </x:c>
      <x:c r="H303" s="30" t="str">
        <x:v>correct</x:v>
      </x:c>
      <x:c r="I303" s="30" t="str">
        <x:v>The model answer 'Improved to Challenged' semantically conveys the complete gold answer 'Changed from Improved to Challenged', capturing both the starting state and the resulting state with only minor wording differences.</x:v>
      </x:c>
      <x:c r="J303" s="30" t="str">
        <x:v>correct</x:v>
      </x:c>
      <x:c r="K303" s="30" t="str">
        <x:v>The model answer 'Improved to Challenged' semantically conveys the same complete information as the gold answer 'Changed from Improved to Challenged', with only minor wording differences.</x:v>
      </x:c>
      <x:c r="L303" s="30" t="str">
        <x:v>LongCat-2.0</x:v>
      </x:c>
      <x:c r="M303" s="30" t="str">
        <x:v>LongCat-2.0</x:v>
      </x:c>
      <x:c r="N303" s="30" t="str">
        <x:v>LongCat-2.0</x:v>
      </x:c>
      <x:c r="O303" s="30" t="str">
        <x:v>LongCat-2.0</x:v>
      </x:c>
    </x:row>
    <x:row r="304" ht="54" customHeight="1">
      <x:c r="A304" s="30" t="str">
        <x:v>memos_medium:1028</x:v>
      </x:c>
      <x:c r="B304" s="30" t="str">
        <x:v>sufficient</x:v>
      </x:c>
      <x:c r="C304" s="30" t="str">
        <x:v>None. The evidence directly supports both material components of the gold answer: sustainability (Evidence 1, 3) and cultural diversity (Evidence 1, 2).</x:v>
      </x:c>
      <x:c r="D304" s="30" t="str">
        <x:v>The gold answer has two material components: (1) sustainability and (2) cultural diversity. Evidence 1 explicitly mentions both 'cultural richness and diversity' and 'sustainability.' Evidence 2 supports 'cultural diversity' through 'cultural curiosity' and 'diverse plant-based cuisines.' Evidence 3 supports 'sustainability' through 'alignment with sustainability values.' Together, all material components of the gold answer are directly derivable from the evidence.</x:v>
      </x:c>
      <x:c r="E304" s="30" t="str">
        <x:v>robust_generation_failure</x:v>
      </x:c>
      <x:c r="F304" s="30" t="str">
        <x:v>omission</x:v>
      </x:c>
      <x:c r="G304"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H304" s="30" t="str">
        <x:v>omission</x:v>
      </x:c>
      <x:c r="I304"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J304" s="30" t="str">
        <x:v>omission</x:v>
      </x:c>
      <x:c r="K304"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L304" s="30" t="str">
        <x:v>LongCat-2.0</x:v>
      </x:c>
      <x:c r="M304" s="30" t="str">
        <x:v>LongCat-2.0</x:v>
      </x:c>
      <x:c r="N304" s="30" t="str">
        <x:v>LongCat-2.0</x:v>
      </x:c>
      <x:c r="O304" s="30" t="str">
        <x:v>LongCat-2.0</x:v>
      </x:c>
    </x:row>
    <x:row r="305" ht="54" customHeight="1">
      <x:c r="A305" s="30" t="str">
        <x:v>memos_medium:917</x:v>
      </x:c>
      <x:c r="B305" s="30" t="str">
        <x:v>sufficient</x:v>
      </x:c>
      <x:c r="C305" s="30" t="str">
        <x:v>None. The evidence directly states that Donna broadened her pet preference to include dogs of all sizes.</x:v>
      </x:c>
      <x:c r="D305" s="30" t="str">
        <x:v>The gold answer is 'Dogs of all sizes.' Evidence 1 explicitly states: 'Donna broadened her pet preference to include dogs of all sizes after spending time with a friend's small dog, appreciating the unique joy and companionship they provide.' This directly and completely supports the gold answer with no missing components.</x:v>
      </x:c>
      <x:c r="E305" s="30" t="str">
        <x:v>ua3_representation_or_admission_failure</x:v>
      </x:c>
      <x:c r="F305" s="30" t="str">
        <x:v>correct</x:v>
      </x:c>
      <x:c r="G305" s="30" t="str">
        <x:v>The model answer 'Dogs of all sizes' is semantically identical to the gold answer 'Dogs of all sizes.' The only difference is the absence of a period, which is a trivial punctuation variation that does not affect the meaning or completeness of the answer.</x:v>
      </x:c>
      <x:c r="H305" s="30" t="str">
        <x:v>correct</x:v>
      </x:c>
      <x:c r="I305" s="30" t="str">
        <x:v>The model answer 'Dogs of all sizes' is semantically identical to the gold answer 'Dogs of all sizes.' The only difference is the absence of a period, which does not affect the meaning or completeness of the answer.</x:v>
      </x:c>
      <x:c r="J305" s="30" t="str">
        <x:v>correct</x:v>
      </x:c>
      <x:c r="K305" s="30" t="str">
        <x:v>The model answer 'Dogs of all sizes' is semantically identical to the gold answer 'Dogs of all sizes.' The only difference is the absence of a period, which is a trivial punctuation variation that does not affect the meaning or completeness of the answer.</x:v>
      </x:c>
      <x:c r="L305" s="30" t="str">
        <x:v>LongCat-2.0</x:v>
      </x:c>
      <x:c r="M305" s="30" t="str">
        <x:v>LongCat-2.0</x:v>
      </x:c>
      <x:c r="N305" s="30" t="str">
        <x:v>LongCat-2.0</x:v>
      </x:c>
      <x:c r="O305" s="30" t="str">
        <x:v>LongCat-2.0</x:v>
      </x:c>
    </x:row>
    <x:row r="306" ht="54" customHeight="1">
      <x:c r="A306" s="30" t="str">
        <x:v>memos_medium:342</x:v>
      </x:c>
      <x:c r="B306" s="30" t="str">
        <x:v>sufficient</x:v>
      </x:c>
      <x:c r="C306" s="30" t="str">
        <x:v>none</x:v>
      </x:c>
      <x:c r="D306" s="30" t="str">
        <x:v>The gold answer states that Johnson Joseph expressed excitement about using thematic cooperative board games at Albi B&amp;B. Evidence 1 directly states that 'Johnson Joseph expressed excitement about thematic cooperative board games fostering teamwork and creating memorable stays at Albi B&amp;B,' which fully supports the gold answer. Evidence 2 further corroborates this by stating he plans to incorporate them into Albi B&amp;B's offerings. Together, the evidence contains all material components of the gold answer.</x:v>
      </x:c>
      <x:c r="E306" s="30" t="str">
        <x:v>ua3_representation_or_admission_failure</x:v>
      </x:c>
      <x:c r="F306" s="30" t="str">
        <x:v>correct</x:v>
      </x:c>
      <x:c r="G306" s="30" t="str">
        <x:v>The model answer 'No, he expressed excitement' semantically conveys the complete gold answer 'No, he expressed excitement about using them.' The omission of 'about using them' does not change the meaning or add any false claim, so it is a correct paraphrase.</x:v>
      </x:c>
      <x:c r="H306" s="30" t="str">
        <x:v>correct</x:v>
      </x:c>
      <x:c r="I306" s="30" t="str">
        <x:v>The model answer 'No, he expressed excitement' semantically conveys the complete gold answer 'No, he expressed excitement about using them.' The omission of 'about using them' does not change the meaning or add any false claim; it is a concise but complete restatement of the gold answer.</x:v>
      </x:c>
      <x:c r="J306" s="30" t="str">
        <x:v>correct</x:v>
      </x:c>
      <x:c r="K306" s="30" t="str">
        <x:v>The model answer 'No, he expressed excitement' semantically conveys the complete gold answer 'No, he expressed excitement about using them.' The omission of 'about using them' does not change the meaning or add any false claim, so it is a correct paraphrase.</x:v>
      </x:c>
      <x:c r="L306" s="30" t="str">
        <x:v>LongCat-2.0</x:v>
      </x:c>
      <x:c r="M306" s="30" t="str">
        <x:v>LongCat-2.0</x:v>
      </x:c>
      <x:c r="N306" s="30" t="str">
        <x:v>LongCat-2.0</x:v>
      </x:c>
      <x:c r="O306" s="30" t="str">
        <x:v>LongCat-2.0</x:v>
      </x:c>
    </x:row>
    <x:row r="307" ht="54" customHeight="1">
      <x:c r="A307" s="30" t="str">
        <x:v>memos_long:2638</x:v>
      </x:c>
      <x:c r="B307" s="30" t="str">
        <x:v>sufficient</x:v>
      </x:c>
      <x:c r="C307" s="30" t="str"/>
      <x:c r="D307" s="30" t="str">
        <x:v>The gold answer states 'No, Oleksandr plans more nature-focused trips.' Evidence 1 directly states 'Oleksandr plans to incorporate more nature-focused trips into his future travel plans.' This fully supports both the negative response to the question about urban trips and the affirmative statement about nature-focused trips. No additional information is needed.</x:v>
      </x:c>
      <x:c r="E307" s="30" t="str">
        <x:v>robust_generation_failure</x:v>
      </x:c>
      <x:c r="F307" s="30" t="str">
        <x:v>omission</x:v>
      </x:c>
      <x:c r="G307" s="30" t="str">
        <x:v>The model answer 'No' correctly indicates that Oleksandr did not decide to focus on urban trips, but it omits the key information from the gold answer that he plans more nature-focused trips. While not factually incorrect, it provides only an incomplete subset of the gold answer.</x:v>
      </x:c>
      <x:c r="H307" s="30" t="str">
        <x:v>omission</x:v>
      </x:c>
      <x:c r="I307" s="30" t="str">
        <x:v>The model answer 'No' correctly indicates that Oleksandr did not decide to focus on urban trips, but it omits the key supporting detail from the gold answer that he plans more nature-focused trips. This makes it an incomplete subset of the gold answer.</x:v>
      </x:c>
      <x:c r="J307" s="30" t="str">
        <x:v>omission</x:v>
      </x:c>
      <x:c r="K307" s="30" t="str">
        <x:v>The model answer 'No' correctly indicates that Oleksandr did not decide to focus on urban trips, but it omits the key information from the gold answer that he plans more nature-focused trips. This makes it an incomplete subset of the gold answer.</x:v>
      </x:c>
      <x:c r="L307" s="30" t="str">
        <x:v>LongCat-2.0</x:v>
      </x:c>
      <x:c r="M307" s="30" t="str">
        <x:v>LongCat-2.0</x:v>
      </x:c>
      <x:c r="N307" s="30" t="str">
        <x:v>LongCat-2.0</x:v>
      </x:c>
      <x:c r="O307" s="30" t="str">
        <x:v>LongCat-2.0</x:v>
      </x:c>
    </x:row>
    <x:row r="308" ht="54" customHeight="1">
      <x:c r="A308" s="30" t="str">
        <x:v>memos_long:1348</x:v>
      </x:c>
      <x:c r="B308" s="30" t="str">
        <x:v>sufficient</x:v>
      </x:c>
      <x:c r="C308" s="30" t="str"/>
      <x:c r="D308" s="30" t="str">
        <x:v>The gold answer is 'Reignites her passion for film critique.' Evidence 1 states that Ananya Sharma receives positive feedback from her readers on her multimedia-integrated film critiques, reigniting her passion for film critique. This directly supports the gold answer, as it explicitly mentions that her new critique approach (multimedia-integrated film critiques) reignites her passion for film critique. All material components of the gold answer are present in the evidence.</x:v>
      </x:c>
      <x:c r="E308" s="30" t="str">
        <x:v>robust_generation_failure</x:v>
      </x:c>
      <x:c r="F308" s="30" t="str">
        <x:v>hallucination</x:v>
      </x:c>
      <x:c r="G308" s="30" t="str">
        <x:v>The gold answer states the benefit is that it 'reignites her passion for film critique,' while the model answer claims 'Positive reader feedback.' These are two distinct and unrelated benefits, and the model's answer contradicts the specific benefit described in the gold answer.</x:v>
      </x:c>
      <x:c r="H308" s="30" t="str">
        <x:v>hallucination</x:v>
      </x:c>
      <x:c r="I308" s="30" t="str">
        <x:v>The gold answer states the benefit is that it 'reignites her passion for film critique,' while the model answer claims 'Positive reader feedback.' These are two distinct and unrelated benefits, and the model's answer contradicts the specific benefit described in the gold answer.</x:v>
      </x:c>
      <x:c r="J308" s="30" t="str">
        <x:v>hallucination</x:v>
      </x:c>
      <x:c r="K308" s="30" t="str">
        <x:v>The gold answer states the benefit is that it 'reignites her passion for film critique,' while the model answer claims 'Positive reader feedback.' These are distinct and unrelated benefits; the model's answer introduces a concrete claim that is not supported by or equivalent to the gold answer, making it a hallucination.</x:v>
      </x:c>
      <x:c r="L308" s="30" t="str">
        <x:v>LongCat-2.0</x:v>
      </x:c>
      <x:c r="M308" s="30" t="str">
        <x:v>LongCat-2.0</x:v>
      </x:c>
      <x:c r="N308" s="30" t="str">
        <x:v>LongCat-2.0</x:v>
      </x:c>
      <x:c r="O308" s="30" t="str">
        <x:v>LongCat-2.0</x:v>
      </x:c>
    </x:row>
    <x:row r="309" ht="54" customHeight="1">
      <x:c r="A309" s="30" t="str">
        <x:v>memos_long:697</x:v>
      </x:c>
      <x:c r="B309" s="30" t="str">
        <x:v>sufficient</x:v>
      </x:c>
      <x:c r="C309" s="30" t="str"/>
      <x:c r="D309" s="30" t="str">
        <x:v>The gold answer has two material components: (1) the challenge Sarah faced — 'Navigating politics', and (2) her plan to overcome it — 'leveraging partnerships and setting ambitious goals'. Evidence 1 directly supports the challenge component by stating Sarah 'faced challenges navigating complex political landscapes during her advocacy efforts.' Evidence 2 supports the 'leveraging partnerships' component by stating she 'emphasized the importance of strategic partnerships with international leaders for effective advocacy.' Evidence 3 supports the 'setting ambitious goals' component by stating she 'planned to leverage her achievements by setting ambitious goals for future growth, focusing on global reach and influence.' All material components of the gold answer are directly supported by the evidence.</x:v>
      </x:c>
      <x:c r="E309" s="30" t="str">
        <x:v>robust_generation_failure</x:v>
      </x:c>
      <x:c r="F309" s="30" t="str">
        <x:v>omission</x:v>
      </x:c>
      <x:c r="G309"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false claim, it is an omission.</x:v>
      </x:c>
      <x:c r="H309" s="30" t="str">
        <x:v>omission</x:v>
      </x:c>
      <x:c r="I309"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J309" s="30" t="str">
        <x:v>omission</x:v>
      </x:c>
      <x:c r="K309"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L309" s="30" t="str">
        <x:v>LongCat-2.0</x:v>
      </x:c>
      <x:c r="M309" s="30" t="str">
        <x:v>LongCat-2.0</x:v>
      </x:c>
      <x:c r="N309" s="30" t="str">
        <x:v>LongCat-2.0</x:v>
      </x:c>
      <x:c r="O309" s="30" t="str">
        <x:v>LongCat-2.0</x:v>
      </x:c>
    </x:row>
    <x:row r="310" ht="54" customHeight="1">
      <x:c r="A310" s="30" t="str">
        <x:v>memos_long:484</x:v>
      </x:c>
      <x:c r="B310" s="30" t="str">
        <x:v>partial</x:v>
      </x:c>
      <x:c r="C310" s="30" t="str">
        <x:v>The evidence does not specify the date May 10, 2033, so it cannot confirm Donald Brown's employment status on that specific date.</x:v>
      </x:c>
      <x:c r="D310" s="30" t="str">
        <x:v>Evidence 1 states that Donald Brown's employment status changed from self-employed to employed at TechConsult Solutions, which supports the employer name 'TechConsult Solutions' in the gold answer. However, the evidence provides no temporal information—no date is given for when this change occurred or whether it was in effect on May 10, 2033. Therefore, while the employer component is supported, the critical temporal component (the specific date) is missing, making the evidence only partially sufficient.</x:v>
      </x:c>
      <x:c r="E310" s="30" t="str">
        <x:v>evidence_definition_failure</x:v>
      </x:c>
      <x:c r="F310" s="30" t="str">
        <x:v>correct</x:v>
      </x:c>
      <x:c r="G310" s="30" t="str">
        <x:v>The model answer 'Employed at TechConsult Solutions.' is semantically identical to the gold answer 'Employed at TechConsult Solutions', with only a minor punctuation difference (a period at the end). It provides the complete answer without any contradiction or omission.</x:v>
      </x:c>
      <x:c r="H310" s="30" t="str">
        <x:v>correct</x:v>
      </x:c>
      <x:c r="I310" s="30" t="str">
        <x:v>The model answer 'Employed at TechConsult Solutions.' is semantically identical to the benchmark gold answer 'Employed at TechConsult Solutions', with only a minor punctuation difference (a period at the end). The core information is complete and matches exactly.</x:v>
      </x:c>
      <x:c r="J310" s="30" t="str">
        <x:v>correct</x:v>
      </x:c>
      <x:c r="K310" s="30" t="str">
        <x:v>The model answer 'Employed at TechConsult Solutions.' is semantically identical to the benchmark gold answer 'Employed at TechConsult Solutions', with only a minor punctuation difference (a period at the end). The core information is complete and matches exactly.</x:v>
      </x:c>
      <x:c r="L310" s="30" t="str">
        <x:v>LongCat-2.0</x:v>
      </x:c>
      <x:c r="M310" s="30" t="str">
        <x:v>LongCat-2.0</x:v>
      </x:c>
      <x:c r="N310" s="30" t="str">
        <x:v>LongCat-2.0</x:v>
      </x:c>
      <x:c r="O310" s="30" t="str">
        <x:v>LongCat-2.0</x:v>
      </x:c>
    </x:row>
    <x:row r="311" ht="54" customHeight="1">
      <x:c r="A311" s="30" t="str">
        <x:v>memos_long:1405</x:v>
      </x:c>
      <x:c r="B311" s="30" t="str">
        <x:v>partial</x:v>
      </x:c>
      <x:c r="C311" s="30" t="str">
        <x:v>The evidence does not establish that Ananya Sharma sought advice from these individuals specifically on 2035-09-20. The date is not mentioned in any of the provided evidence.</x:v>
      </x:c>
      <x:c r="D311" s="30" t="str">
        <x:v>The evidence confirms that Ananya Sharma seeks support from MooreAnthony, ThomasJennifer, WilsonMatthew, and DavisSharon to manage stress, which covers all four names in the gold answer. However, none of the evidence mentions the specific date 2035-09-20, so it cannot be verified that the advice-seeking occurred on that particular date. Since the question asks about a specific date and the evidence lacks this temporal information, not all material components of the gold answer are supported.</x:v>
      </x:c>
      <x:c r="E311" s="30" t="str">
        <x:v>evidence_definition_failure</x:v>
      </x:c>
      <x:c r="F311" s="30" t="str">
        <x:v>omission</x:v>
      </x:c>
      <x:c r="G311" s="30" t="str">
        <x:v>The model answer provides only one name (MooreAnthony) from the gold answer, which lists four names (MooreAnthony, ThomasJennifer, WilsonMatthew, DavisSharon). This is an incomplete subset without adding a concrete false claim, so it qualifies as an omission.</x:v>
      </x:c>
      <x:c r="H311" s="30" t="str">
        <x:v>omission</x:v>
      </x:c>
      <x:c r="I311" s="30" t="str">
        <x:v>The model answer provides only one name (MooreAnthony) out of the four names in the gold answer (MooreAnthony, ThomasJennifer, WilsonMatthew, DavisSharon). It does not include any false or unsupported information, but it gives an incomplete subset of the correct answer.</x:v>
      </x:c>
      <x:c r="J311" s="30" t="str">
        <x:v>omission</x:v>
      </x:c>
      <x:c r="K311" s="30" t="str">
        <x:v>The model answer provides only one name (MooreAnthony) out of the four names listed in the gold answer (MooreAnthony, ThomasJennifer, WilsonMatthew, DavisSharon). It does not include any false or unsupported information, but it gives an incomplete subset of the correct answer.</x:v>
      </x:c>
      <x:c r="L311" s="30" t="str">
        <x:v>LongCat-2.0</x:v>
      </x:c>
      <x:c r="M311" s="30" t="str">
        <x:v>LongCat-2.0</x:v>
      </x:c>
      <x:c r="N311" s="30" t="str">
        <x:v>LongCat-2.0</x:v>
      </x:c>
      <x:c r="O311" s="30" t="str">
        <x:v>LongCat-2.0</x:v>
      </x:c>
    </x:row>
    <x:row r="312" ht="54" customHeight="1">
      <x:c r="A312" s="30" t="str">
        <x:v>memos_long:2988</x:v>
      </x:c>
      <x:c r="B312" s="30" t="str">
        <x:v>sufficient</x:v>
      </x:c>
      <x:c r="C312" s="30" t="str">
        <x:v>None. The evidence fully supports that Karen Brown changed her preference from cats to seeking more companionship.</x:v>
      </x:c>
      <x:c r="D312" s="30" t="str">
        <x:v>The gold answer states Karen Brown changed her preference from cats to seeking more companionship. Evidence 1 explicitly states she changed her preference from cats to seeking a pet that offers more companionship and interaction. This directly supports both material components: the change from cats and the new preference for more companionship. The evidence is sufficient to derive the complete gold answer.</x:v>
      </x:c>
      <x:c r="E312" s="30" t="str">
        <x:v>robust_generation_failure</x:v>
      </x:c>
      <x:c r="F312" s="30" t="str">
        <x:v>omission</x:v>
      </x:c>
      <x:c r="G312" s="30" t="str">
        <x:v>The model answer 'Cats' only provides a partial subset of the gold answer, which states that Karen Brown changed her preference from cats to seeking more companionship. The model answer does not mention the change or the new preference, making it incomplete without adding a concrete false claim.</x:v>
      </x:c>
      <x:c r="H312" s="30" t="str">
        <x:v>omission</x:v>
      </x:c>
      <x:c r="I312" s="30" t="str">
        <x:v>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x:v>
      </x:c>
      <x:c r="J312" s="30" t="str">
        <x:v>omission</x:v>
      </x:c>
      <x:c r="K312" s="30" t="str">
        <x:v>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x:v>
      </x:c>
      <x:c r="L312" s="30" t="str">
        <x:v>LongCat-2.0</x:v>
      </x:c>
      <x:c r="M312" s="30" t="str">
        <x:v>LongCat-2.0</x:v>
      </x:c>
      <x:c r="N312" s="30" t="str">
        <x:v>LongCat-2.0</x:v>
      </x:c>
      <x:c r="O312" s="30" t="str">
        <x:v>LongCat-2.0</x:v>
      </x:c>
    </x:row>
    <x:row r="313" ht="54" customHeight="1">
      <x:c r="A313" s="30" t="str">
        <x:v>memos_long:1675</x:v>
      </x:c>
      <x:c r="B313" s="30" t="str">
        <x:v>sufficient</x:v>
      </x:c>
      <x:c r="C313" s="30" t="str">
        <x:v>None. The evidence directly supports that emotional resonance from connecting with others motivates Susan Thompson to continue her wellness journey.</x:v>
      </x:c>
      <x:c r="D313" s="30" t="str">
        <x:v>Evidence 1 states Susan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x:v>
      </x:c>
      <x:c r="E313" s="30" t="str">
        <x:v>ua3_representation_or_admission_failure</x:v>
      </x:c>
      <x:c r="F313" s="30" t="str">
        <x:v>correct</x:v>
      </x:c>
      <x:c r="G313"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H313" s="30" t="str">
        <x:v>correct</x:v>
      </x:c>
      <x:c r="I313"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J313" s="30" t="str">
        <x:v>correct</x:v>
      </x:c>
      <x:c r="K313" s="30" t="str">
        <x:v>The model answer 'Emotional resonance with others' captures the complete meaning of the gold answer 'Emotional resonance from connecting with others.' The slight wording difference ('with' vs. 'from connecting with') does not change the semantic meaning, and the core concept of emotional resonance with others is fully preserved.</x:v>
      </x:c>
      <x:c r="L313" s="30" t="str">
        <x:v>LongCat-2.0</x:v>
      </x:c>
      <x:c r="M313" s="30" t="str">
        <x:v>LongCat-2.0</x:v>
      </x:c>
      <x:c r="N313" s="30" t="str">
        <x:v>LongCat-2.0</x:v>
      </x:c>
      <x:c r="O313" s="30" t="str">
        <x:v>LongCat-2.0</x:v>
      </x:c>
    </x:row>
    <x:row r="314" ht="54" customHeight="1">
      <x:c r="A314" s="30" t="str">
        <x:v>memos_medium:2358</x:v>
      </x:c>
      <x:c r="B314" s="30" t="str">
        <x:v>partial</x:v>
      </x:c>
      <x:c r="C314" s="30" t="str">
        <x:v>The evidence does not mention Lapsang Souchong specifically, nor does it indicate that Williams Daniel would explore historically significant teas after March 14, 2032. The evidence only mentions Earl Grey tea and general interest in historical authenticity.</x:v>
      </x:c>
      <x:c r="D314" s="30" t="str">
        <x:v>The gold answer specifies 'historically significant teas like Lapsang Souchong' as a new beverage Williams might explore after March 14, 2032. Evidence 1 supports his appreciation for historical authenticity and sensory experiences, and Evidence 2 mentions his interest in Earl Grey tea and historic tea houses. However, neither evidence mentions Lapsang Souchong, nor do they establish a timeline of 'after March 14, 2032' or suggest he would explore new beverages beyond what is already mentioned. The evidence partially supports the general theme of historical tea appreciation but does not contain enough information to derive the specific beverage (Lapsang Souchong) or the temporal framing in the gold answer.</x:v>
      </x:c>
      <x:c r="E314" s="30" t="str">
        <x:v>evidence_definition_failure</x:v>
      </x:c>
      <x:c r="F314" s="30" t="str">
        <x:v>hallucination</x:v>
      </x:c>
      <x:c r="G314" s="30" t="str">
        <x:v>The gold answer specifies historically significant teas like Lapsang Souchong, while the model answer provides Earl Grey tea, which is a different concrete answer not supported by the gold answer.</x:v>
      </x:c>
      <x:c r="H314" s="30" t="str">
        <x:v>hallucination</x:v>
      </x:c>
      <x:c r="I314" s="30" t="str">
        <x:v>The gold answer specifies historically significant teas like Lapsang Souchong, while the model answer provides Earl Grey tea, which is a different concrete answer not supported by the gold answer.</x:v>
      </x:c>
      <x:c r="J314" s="30" t="str">
        <x:v>hallucination</x:v>
      </x:c>
      <x:c r="K314" s="30" t="str">
        <x:v>The gold answer specifies historically significant teas like Lapsang Souchong, while the model answer provides Earl Grey tea, which is a different concrete answer not supported by the gold answer.</x:v>
      </x:c>
      <x:c r="L314" s="30" t="str">
        <x:v>LongCat-2.0</x:v>
      </x:c>
      <x:c r="M314" s="30" t="str">
        <x:v>LongCat-2.0</x:v>
      </x:c>
      <x:c r="N314" s="30" t="str">
        <x:v>LongCat-2.0</x:v>
      </x:c>
      <x:c r="O314" s="30" t="str">
        <x:v>LongCat-2.0</x:v>
      </x:c>
    </x:row>
    <x:row r="315" ht="54" customHeight="1">
      <x:c r="A315" s="30" t="str">
        <x:v>memos_medium:603</x:v>
      </x:c>
      <x:c r="B315" s="30" t="str">
        <x:v>sufficient</x:v>
      </x:c>
      <x:c r="C315" s="30" t="str"/>
      <x:c r="D315" s="30" t="str">
        <x:v>The gold answer is 'Games with dynamic storytelling and narrative challenges.' Evidence 1 states Sarah's dislike for traditional puzzle games changed due to innovative puzzle games that integrate dynamic storytelling. Evidence 2 shows she expressed curiosity about innovative puzzle games that combine narrative with challenge. Evidence 3 confirms she acknowledged the role of dynamic storytelling in enhancing modern puzzle games. Evidence 4 notes her intrigue with the blend of narrative and challenge in new puzzle games. Together, these pieces of evidence directly support both material components of the gold answer: 'dynamic storytelling' and 'narrative challenges.' The evidence is sufficient to derive the complete gold answer.</x:v>
      </x:c>
      <x:c r="E315" s="30" t="str">
        <x:v>ua3_representation_or_admission_failure</x:v>
      </x:c>
      <x:c r="F315" s="30" t="str">
        <x:v>correct</x:v>
      </x:c>
      <x:c r="G315" s="30" t="str">
        <x:v>The model answer 'Innovative narrative puzzle games' semantically captures the gold answer's focus on 'dynamic storytelling and narrative challenges.' Both emphasize narrative-driven gameplay, and the model's answer is a concrete, specific subset that aligns with the gold answer's meaning without introducing false or unsupported claims.</x:v>
      </x:c>
      <x:c r="H315" s="30" t="str">
        <x:v>correct</x:v>
      </x:c>
      <x:c r="I315" s="30" t="str">
        <x:v>The model answer 'Innovative narrative puzzle games' semantically captures the gold answer's focus on 'dynamic storytelling and narrative challenges.' Both emphasize narrative-driven gameplay, and 'puzzle games' with 'narrative' aligns with the concept of narrative challenges. The wording differs but the core meaning is preserved without contradiction or unsupported claims.</x:v>
      </x:c>
      <x:c r="J315" s="30" t="str">
        <x:v>correct</x:v>
      </x:c>
      <x:c r="K315" s="30" t="str">
        <x:v>The model answer 'Innovative narrative puzzle games' semantically captures the gold answer's focus on 'dynamic storytelling and narrative challenges.' Both emphasize narrative-driven gameplay, and the model's phrasing is a reasonable, more specific variation of the gold answer without introducing any false or unsupported claims.</x:v>
      </x:c>
      <x:c r="L315" s="30" t="str">
        <x:v>LongCat-2.0</x:v>
      </x:c>
      <x:c r="M315" s="30" t="str">
        <x:v>LongCat-2.0</x:v>
      </x:c>
      <x:c r="N315" s="30" t="str">
        <x:v>LongCat-2.0</x:v>
      </x:c>
      <x:c r="O315" s="30" t="str">
        <x:v>LongCat-2.0</x:v>
      </x:c>
    </x:row>
    <x:row r="316" ht="54" customHeight="1">
      <x:c r="A316" s="30" t="str">
        <x:v>memos_long:2094</x:v>
      </x:c>
      <x:c r="B316" s="30" t="str">
        <x:v>sufficient</x:v>
      </x:c>
      <x:c r="C316" s="30" t="str"/>
      <x:c r="D316" s="30" t="str">
        <x:v>The gold answer states that Sharon Brown retired to focus on health and a sports academy. Evidence 1 explicitly states she retired to focus on her health and explore opportunities aligned with her life goal of establishing a sports academy. Evidence 2 confirms she retired to focus on her health and personal projects, including establishing a sports academy. Both material components of the gold answer (health and sports academy) are directly supported by the evidence, and the evidence also supports the negative answer to the question (she did not retire solely for her sports career, but also for health). The complete gold answer is derivable from the evidence.</x:v>
      </x:c>
      <x:c r="E316" s="30" t="str">
        <x:v>robust_generation_failure</x:v>
      </x:c>
      <x:c r="F316" s="30" t="str">
        <x:v>omission</x:v>
      </x:c>
      <x:c r="G316"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H316" s="30" t="str">
        <x:v>omission</x:v>
      </x:c>
      <x:c r="I316"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J316" s="30" t="str">
        <x:v>omission</x:v>
      </x:c>
      <x:c r="K316"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L316" s="30" t="str">
        <x:v>LongCat-2.0</x:v>
      </x:c>
      <x:c r="M316" s="30" t="str">
        <x:v>LongCat-2.0</x:v>
      </x:c>
      <x:c r="N316" s="30" t="str">
        <x:v>LongCat-2.0</x:v>
      </x:c>
      <x:c r="O316" s="30" t="str">
        <x:v>LongCat-2.0</x:v>
      </x:c>
    </x:row>
    <x:row r="317" ht="54" customHeight="1">
      <x:c r="A317" s="30" t="str">
        <x:v>memos_long:572</x:v>
      </x:c>
      <x:c r="B317" s="30" t="str">
        <x:v>sufficient</x:v>
      </x:c>
      <x:c r="C317" s="30" t="str">
        <x:v>none</x:v>
      </x:c>
      <x:c r="D317" s="30" t="str">
        <x:v>Evidence 1 directly states that Sarah Garcia is exploring mindfulness practices and structured rest periods, which matches the gold answer exactly. Evidence 2 provides additional context about her health condition but does not contradict the answer. Together, the evidence fully supports both material components of the gold answer: mindfulness practices and structured rest periods.</x:v>
      </x:c>
      <x:c r="E317" s="30" t="str">
        <x:v>ua3_representation_or_admission_failure</x:v>
      </x:c>
      <x:c r="F317" s="30" t="str">
        <x:v>correct</x:v>
      </x:c>
      <x:c r="G317" s="30" t="str">
        <x:v>The model answer 'Mindfulness and structured rest' captures the complete semantic content of the gold answer 'Mindfulness practices and structured rest periods' with only minor wording differences, and adds no false or unsupported material.</x:v>
      </x:c>
      <x:c r="H317" s="30" t="str">
        <x:v>correct</x:v>
      </x:c>
      <x:c r="I317" s="30" t="str">
        <x:v>The model answer 'Mindfulness and structured rest' captures the complete semantic content of the gold answer 'Mindfulness practices and structured rest periods' with only minor wording differences (omitting 'practices' and 'periods'), which is permitted under the correct label criteria.</x:v>
      </x:c>
      <x:c r="J317" s="30" t="str">
        <x:v>correct</x:v>
      </x:c>
      <x:c r="K317" s="30" t="str">
        <x:v>The model answer 'Mindfulness and structured rest' captures the complete semantic content of the gold answer 'Mindfulness practices and structured rest periods' with only minor wording differences, and adds no false or unsupported material.</x:v>
      </x:c>
      <x:c r="L317" s="30" t="str">
        <x:v>LongCat-2.0</x:v>
      </x:c>
      <x:c r="M317" s="30" t="str">
        <x:v>LongCat-2.0</x:v>
      </x:c>
      <x:c r="N317" s="30" t="str">
        <x:v>LongCat-2.0</x:v>
      </x:c>
      <x:c r="O317" s="30" t="str">
        <x:v>LongCat-2.0</x:v>
      </x:c>
    </x:row>
    <x:row r="318" ht="54" customHeight="1">
      <x:c r="A318" s="30" t="str">
        <x:v>memos_long:1111</x:v>
      </x:c>
      <x:c r="B318" s="30" t="str">
        <x:v>sufficient</x:v>
      </x:c>
      <x:c r="C318" s="30" t="str"/>
      <x:c r="D318" s="30" t="str">
        <x:v>The gold answer is 'Documentaries on lifestyle changes.' Evidence 1 states that Taylor David's movie preference evolved to include 'documentaries on lifestyle changes,' which directly and completely supports every material component of the gold answer. No additional information is needed.</x:v>
      </x:c>
      <x:c r="E318" s="30" t="str">
        <x:v>ua3_representation_or_admission_failure</x:v>
      </x:c>
      <x:c r="F318" s="30" t="str">
        <x:v>correct</x:v>
      </x:c>
      <x:c r="G318" s="30" t="str">
        <x:v>The model answer 'Documentaries on lifestyle changes' is semantically identical to the benchmark gold answer 'Documentaries on lifestyle changes.' and provides the complete answer without any contradiction or unsupported material.</x:v>
      </x:c>
      <x:c r="H318" s="30" t="str">
        <x:v>correct</x:v>
      </x:c>
      <x:c r="I318" s="30" t="str">
        <x:v>The model answer 'Documentaries on lifestyle changes' is semantically identical to the benchmark gold answer 'Documentaries on lifestyle changes.' and provides the complete answer without any contradiction or unsupported material.</x:v>
      </x:c>
      <x:c r="J318" s="30" t="str">
        <x:v>correct</x:v>
      </x:c>
      <x:c r="K318" s="30" t="str">
        <x:v>The model answer 'Documentaries on lifestyle changes' is semantically identical to the benchmark gold answer 'Documentaries on lifestyle changes.' and provides the complete answer without any contradiction or unsupported material.</x:v>
      </x:c>
      <x:c r="L318" s="30" t="str">
        <x:v>LongCat-2.0</x:v>
      </x:c>
      <x:c r="M318" s="30" t="str">
        <x:v>LongCat-2.0</x:v>
      </x:c>
      <x:c r="N318" s="30" t="str">
        <x:v>LongCat-2.0</x:v>
      </x:c>
      <x:c r="O318" s="30" t="str">
        <x:v>LongCat-2.0</x:v>
      </x:c>
    </x:row>
    <x:row r="319" ht="54" customHeight="1">
      <x:c r="A319" s="30" t="str">
        <x:v>memos_long:2231</x:v>
      </x:c>
      <x:c r="B319" s="30" t="str">
        <x:v>sufficient</x:v>
      </x:c>
      <x:c r="C319" s="30" t="str">
        <x:v>None. The evidence directly states that Sharon Brown expressed excitement about joining a competitive bowling league, which fully supports the gold answer that she did not express a lack of interest and instead expressed excitement.</x:v>
      </x:c>
      <x:c r="D319" s="30" t="str">
        <x:v>The gold answer has two material components: (1) she did not express a lack of interest, and (2) she expressed excitement about joining a competitive bowling league. Evidence 1 directly states that Sharon Brown expressed excitement about joining a competitive bowling league, which inherently means she did not express a lack of interest. Both material components are fully supported by the evidence.</x:v>
      </x:c>
      <x:c r="E319" s="30" t="str">
        <x:v>robust_generation_failure</x:v>
      </x:c>
      <x:c r="F319" s="30" t="str">
        <x:v>omission</x:v>
      </x:c>
      <x:c r="G319"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H319" s="30" t="str">
        <x:v>omission</x:v>
      </x:c>
      <x:c r="I319" s="30" t="str">
        <x:v>The model answer 'No' correctly indicates that Sharon Brown did not express a lack of interest, but it omits the key detail from the gold answer that she expressed excitement about joining a competitive bowling league. This makes the answer incomplete, falling under omission rather than correct.</x:v>
      </x:c>
      <x:c r="J319" s="30" t="str">
        <x:v>omission</x:v>
      </x:c>
      <x:c r="K319" s="30" t="str">
        <x:v>The model answer 'No' correctly denies that Sharon Brown expressed a lack of interest, but it omits the key positive detail from the gold answer — that she expressed excitement about joining a competitive bowling league. Since it provides only an incomplete subset of the gold answer without adding a false claim, it qualifies as an omission.</x:v>
      </x:c>
      <x:c r="L319" s="30" t="str">
        <x:v>LongCat-2.0</x:v>
      </x:c>
      <x:c r="M319" s="30" t="str">
        <x:v>LongCat-2.0</x:v>
      </x:c>
      <x:c r="N319" s="30" t="str">
        <x:v>LongCat-2.0</x:v>
      </x:c>
      <x:c r="O319" s="30" t="str">
        <x:v>LongCat-2.0</x:v>
      </x:c>
    </x:row>
    <x:row r="320" ht="54" customHeight="1">
      <x:c r="A320" s="30" t="str">
        <x:v>memos_medium:1010</x:v>
      </x:c>
      <x:c r="B320" s="30" t="str">
        <x:v>sufficient</x:v>
      </x:c>
      <x:c r="C320" s="30" t="str"/>
      <x:c r="D320" s="30" t="str">
        <x:v>Evidence 1 directly states that Donna updated her pet preference to include rodents and explicitly cites their interactive nature and ease of care as the reasons. This covers every material component of the gold answer: the pet type (rodents) and the two supporting reasons (interactive nature, ease of care). Evidence 2 further supports that she plans to explore pet options aligned with her preferences. Together, the evidence fully supports the gold answer.</x:v>
      </x:c>
      <x:c r="E320" s="30" t="str">
        <x:v>robust_generation_failure</x:v>
      </x:c>
      <x:c r="F320" s="30" t="str">
        <x:v>omission</x:v>
      </x:c>
      <x:c r="G320" s="30"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H320" s="30" t="str">
        <x:v>omission</x:v>
      </x:c>
      <x:c r="I320" s="30" t="str">
        <x:v>The model answer 'Rodents' provides the correct pet type but omits the supporting reasoning about their interactive nature and ease of care that is present in the gold answer. While the core answer is correct, it is an incomplete subset of the full gold answer.</x:v>
      </x:c>
      <x:c r="J320" s="30" t="str">
        <x:v>omission</x:v>
      </x:c>
      <x:c r="K320" s="30"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L320" s="30" t="str">
        <x:v>LongCat-2.0</x:v>
      </x:c>
      <x:c r="M320" s="30" t="str">
        <x:v>LongCat-2.0</x:v>
      </x:c>
      <x:c r="N320" s="30" t="str">
        <x:v>LongCat-2.0</x:v>
      </x:c>
      <x:c r="O320" s="30" t="str">
        <x:v>LongCat-2.0</x:v>
      </x:c>
    </x:row>
    <x:row r="321" ht="54" customHeight="1">
      <x:c r="A321" s="30" t="str">
        <x:v>memos_medium:1046</x:v>
      </x:c>
      <x:c r="B321" s="30" t="str">
        <x:v>sufficient</x:v>
      </x:c>
      <x:c r="C321" s="30" t="str">
        <x:v>None. The evidence directly supports that Taylor David's highest education level is a Bachelor and that the major is Nutrition Science, which together fully support the gold answer.</x:v>
      </x:c>
      <x:c r="D321" s="30" t="str">
        <x:v>Evidence 1 states Taylor David's highest education level is Bachelor, and Evidence 2 states the major is Nutrition Science. Together, these directly support the complete gold answer: 'Taylor David's highest education level is a Bachelor in Nutrition Science.'</x:v>
      </x:c>
      <x:c r="E321" s="30" t="str">
        <x:v>robust_generation_failure</x:v>
      </x:c>
      <x:c r="F321" s="30" t="str">
        <x:v>omission</x:v>
      </x:c>
      <x:c r="G321" s="30" t="str">
        <x:v>The model answer 'No' correctly indicates that the statement is false, but it does not provide the complete gold answer, which specifies that Taylor David's highest education level is a Bachelor in Nutrition Science. The response gives no substantive information about the actual education level, making it an omission.</x:v>
      </x:c>
      <x:c r="H321" s="30" t="str">
        <x:v>omission</x:v>
      </x:c>
      <x:c r="I321" s="30" t="str">
        <x:v>The model answer 'No' correctly indicates that the claim is false, but it does not provide the complete gold answer, which specifies that Taylor David's highest education level is a Bachelor in Nutrition Science. Since it fails to supply the correct information and only gives a negation, it is an omission.</x:v>
      </x:c>
      <x:c r="J321" s="30" t="str">
        <x:v>omission</x:v>
      </x:c>
      <x:c r="K321" s="30" t="str">
        <x:v>The model answer 'No' correctly indicates that the claim is false, but it does not provide the complete gold answer, which specifies that Taylor David's highest education level is a Bachelor in Nutrition Science. By only saying 'No' without supplying the correct information, the response gives an incomplete answer without adding a concrete false claim, fitting the definition of omission.</x:v>
      </x:c>
      <x:c r="L321" s="30" t="str">
        <x:v>LongCat-2.0</x:v>
      </x:c>
      <x:c r="M321" s="30" t="str">
        <x:v>LongCat-2.0</x:v>
      </x:c>
      <x:c r="N321" s="30" t="str">
        <x:v>LongCat-2.0</x:v>
      </x:c>
      <x:c r="O321" s="30" t="str">
        <x:v>LongCat-2.0</x:v>
      </x:c>
    </x:row>
    <x:row r="322" ht="54" customHeight="1">
      <x:c r="A322" s="30" t="str">
        <x:v>memos_long:1232</x:v>
      </x:c>
      <x:c r="B322" s="30" t="str">
        <x:v>sufficient</x:v>
      </x:c>
      <x:c r="C322" s="30" t="str">
        <x:v>None. The gold answer 'Navigating policy complexities' is directly stated in both Evidence 1 and Evidence 2 as a challenge Taylor faces in his role as a Nutrition Policy Advisor.</x:v>
      </x:c>
      <x:c r="D322" s="30" t="str">
        <x:v>Evidence 1 explicitly states that Taylor David finds 'navigating the complexities of policy influence both challenging and exciting in his role as a Nutrition Policy Advisor.' Evidence 2 reinforces this by stating Taylor 'reflected on the challenges of navigating policy complexities.' Both pieces of evidence directly support the gold answer 'Navigating policy complexities' as a potential challenge Taylor faces. The evidence is sufficient to derive the complete gold answer.</x:v>
      </x:c>
      <x:c r="E322" s="30" t="str">
        <x:v>ua3_representation_or_admission_failure</x:v>
      </x:c>
      <x:c r="F322" s="30" t="str">
        <x:v>correct</x:v>
      </x:c>
      <x:c r="G322" s="30" t="str">
        <x:v>The model answer exactly matches the gold answer, providing the complete semantic content without any omissions or additions.</x:v>
      </x:c>
      <x:c r="H322" s="30" t="str">
        <x:v>correct</x:v>
      </x:c>
      <x:c r="I322" s="30" t="str">
        <x:v>The model answer exactly matches the gold answer, providing the complete semantic content without any omissions or additions.</x:v>
      </x:c>
      <x:c r="J322" s="30" t="str">
        <x:v>correct</x:v>
      </x:c>
      <x:c r="K322" s="30" t="str">
        <x:v>The model answer exactly matches the gold answer, providing the complete semantic content without any omissions or additions.</x:v>
      </x:c>
      <x:c r="L322" s="30" t="str">
        <x:v>LongCat-2.0</x:v>
      </x:c>
      <x:c r="M322" s="30" t="str">
        <x:v>LongCat-2.0</x:v>
      </x:c>
      <x:c r="N322" s="30" t="str">
        <x:v>LongCat-2.0</x:v>
      </x:c>
      <x:c r="O322" s="30" t="str">
        <x:v>LongCat-2.0</x:v>
      </x:c>
    </x:row>
    <x:row r="323" ht="54" customHeight="1">
      <x:c r="A323" s="30" t="str">
        <x:v>memos_long:390</x:v>
      </x:c>
      <x:c r="B323" s="30" t="str">
        <x:v>partial</x:v>
      </x:c>
      <x:c r="C323" s="30" t="str">
        <x:v>The evidence does not mention skydiving or any specific next sport Donald might explore; it only indicates his general interest in extreme sports that balance thrill and safety.</x:v>
      </x:c>
      <x:c r="D323" s="30" t="str">
        <x:v>The gold answer specifies 'skydiving with safety precautions' as the next extreme sport Donald might explore. The evidence supports that Donald likes extreme sports, values safety, and seeks a balance of thrill and safety, but it does not contain any information pointing to skydiving specifically. Therefore, the material component 'skydiving' is not supported, making the evidence only partially sufficient.</x:v>
      </x:c>
      <x:c r="E323" s="30" t="str">
        <x:v>evidence_definition_failure</x:v>
      </x:c>
      <x:c r="F323" s="30" t="str">
        <x:v>hallucination</x:v>
      </x:c>
      <x:c r="G323" s="30" t="str">
        <x:v>The gold answer specifies skydiving with safety precautions as the concrete suggestion. The model answer includes skydiving but adds bungee jumping, which is not supported by the gold answer and constitutes an unsupported concrete claim.</x:v>
      </x:c>
      <x:c r="H323" s="30" t="str">
        <x:v>hallucination</x:v>
      </x:c>
      <x:c r="I323" s="30" t="str">
        <x:v>The gold answer specifies skydiving with safety precautions as the concrete suggestion. The model answer includes skydiving but adds bungee jumping, which is not supported by the gold answer and constitutes an unsupported concrete claim, making it a hallucination.</x:v>
      </x:c>
      <x:c r="J323" s="30" t="str">
        <x:v>hallucination</x:v>
      </x:c>
      <x:c r="K323" s="30" t="str">
        <x:v>The gold answer specifies skydiving with safety precautions as the concrete suggestion. The model answer includes skydiving but adds bungee jumping, which is not supported by the gold answer and constitutes an unsupported concrete claim, making it a hallucination.</x:v>
      </x:c>
      <x:c r="L323" s="30" t="str">
        <x:v>LongCat-2.0</x:v>
      </x:c>
      <x:c r="M323" s="30" t="str">
        <x:v>LongCat-2.0</x:v>
      </x:c>
      <x:c r="N323" s="30" t="str">
        <x:v>LongCat-2.0</x:v>
      </x:c>
      <x:c r="O323" s="30" t="str">
        <x:v>LongCat-2.0</x:v>
      </x:c>
    </x:row>
    <x:row r="324" ht="54" customHeight="1">
      <x:c r="A324" s="30" t="str">
        <x:v>memos_long:1997</x:v>
      </x:c>
      <x:c r="B324" s="30" t="str">
        <x:v>partial</x:v>
      </x:c>
      <x:c r="C324" s="30" t="str">
        <x:v>The evidence mentions Joseph's shift to cinema history influencing his 'educational programs' and his wondering about revisiting classic literature affecting his 'current projects,' but it does not explicitly state that film insights will be integrated into his creative projects after June 20, 2035. The connection between cinema history reading and creative projects specifically is not directly supported.</x:v>
      </x:c>
      <x:c r="D324" s="30" t="str">
        <x:v>The gold answer states that Joseph's shift to cinema history books may integrate film insights into his creative projects after June 20, 2035. Evidence 1 mentions the shift influencing 'educational programs,' not creative projects. Evidence 2 mentions curiosity about revisiting classic literature, not cinema history. Evidence 3 mentions wondering how revisiting literary favorites might affect 'current projects,' but this refers to literature, not cinema history. None of the evidence directly supports that cinema history insights will be integrated into creative projects after the specified date. The evidence is related but does not fully support the material components of the gold answer.</x:v>
      </x:c>
      <x:c r="E324" s="30" t="str">
        <x:v>evidence_definition_failure</x:v>
      </x:c>
      <x:c r="F324" s="30" t="str">
        <x:v>hallucination</x:v>
      </x:c>
      <x:c r="G324"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H324" s="30" t="str">
        <x:v>omission</x:v>
      </x:c>
      <x:c r="I324" s="30" t="str">
        <x:v>The model answer 'Influence his educational programs' does not address the gold answer's focus on integrating film insights into creative projects. It provides a different, incomplete direction without capturing the core meaning of the gold answer, and does not add a concrete false claim that directly contradicts it.</x:v>
      </x:c>
      <x:c r="J324" s="30" t="str">
        <x:v>hallucination</x:v>
      </x:c>
      <x:c r="K324" s="30" t="str">
        <x:v>The gold answer states that Joseph's shift to cinema history books may integrate film insights into his projects. The model answer claims it will 'influence his educational programs,' which introduces a specific, unsupported claim about educational programs that is not mentioned or implied in the gold answer. This constitutes a concrete answer that includes unsupported/incorrect material.</x:v>
      </x:c>
      <x:c r="L324" s="30" t="str">
        <x:v>LongCat-2.0</x:v>
      </x:c>
      <x:c r="M324" s="30" t="str">
        <x:v>LongCat-2.0</x:v>
      </x:c>
      <x:c r="N324" s="30" t="str">
        <x:v>LongCat-2.0</x:v>
      </x:c>
      <x:c r="O324" s="30" t="str">
        <x:v>LongCat-2.0</x:v>
      </x:c>
    </x:row>
    <x:row r="325" ht="54" customHeight="1">
      <x:c r="A325" s="30" t="str">
        <x:v>memos_medium:3049</x:v>
      </x:c>
      <x:c r="B325" s="30" t="str">
        <x:v>insufficient</x:v>
      </x:c>
      <x:c r="C325" s="30" t="str">
        <x:v>The evidence does not mention running, cycling, or triathlon. It only discusses Karen Brown's preference for competitive swimming and its benefits, but provides no information about her interest in or consideration of running, cycling, or combining multiple sports into a triathlon.</x:v>
      </x:c>
      <x:c r="D325" s="30" t="str">
        <x:v>The gold answer is 'Triathlon, as it includes swimming, running, and cycling.' The evidence only supports that Karen Brown has an interest in competitive swimming. While swimming is one component of a triathlon, the evidence contains no information about running or cycling, nor any indication that Karen Brown would consider a triathlon. Therefore, the evidence does not support the complete gold answer.</x:v>
      </x:c>
      <x:c r="E325" s="30" t="str">
        <x:v>evidence_definition_failure</x:v>
      </x:c>
      <x:c r="F325" s="30" t="str">
        <x:v>omission</x:v>
      </x:c>
      <x:c r="G325"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H325" s="30" t="str">
        <x:v>omission</x:v>
      </x:c>
      <x:c r="I325"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J325" s="30" t="str">
        <x:v>omission</x:v>
      </x:c>
      <x:c r="K325"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L325" s="30" t="str">
        <x:v>LongCat-2.0</x:v>
      </x:c>
      <x:c r="M325" s="30" t="str">
        <x:v>LongCat-2.0</x:v>
      </x:c>
      <x:c r="N325" s="30" t="str">
        <x:v>LongCat-2.0</x:v>
      </x:c>
      <x:c r="O325" s="30" t="str">
        <x:v>LongCat-2.0</x:v>
      </x:c>
    </x:row>
    <x:row r="326" ht="54" customHeight="1">
      <x:c r="A326" s="30" t="str">
        <x:v>memos_medium:1724</x:v>
      </x:c>
      <x:c r="B326" s="30" t="str">
        <x:v>sufficient</x:v>
      </x:c>
      <x:c r="C326" s="30" t="str"/>
      <x:c r="D326" s="30" t="str">
        <x:v>Evidence 1 establishes that Susan Thompson appreciates the stress-relieving qualities of cats. Evidence 2 establishes that she plans to share insights on pet ownership in her health workshops to inspire others to consider the wellness benefits of having pets. Together, these support the gold answer that she may suggest pets with stress-reducing qualities, as her appreciation for cats' stress-relieving qualities would naturally influence her to recommend pets with similar wellness benefits in her workshops.</x:v>
      </x:c>
      <x:c r="E326" s="30" t="str">
        <x:v>robust_generation_failure</x:v>
      </x:c>
      <x:c r="F326" s="30" t="str">
        <x:v>omission</x:v>
      </x:c>
      <x:c r="G326" s="30" t="str">
        <x:v>The gold answer states she may suggest pets with stress-reducing qualities, which is a broader category that includes cats but is not limited to them. The model answer narrows it down to only cats, which is an incomplete subset of the gold answer and does not fully capture the semantic content of suggesting pets with stress-reducing qualities.</x:v>
      </x:c>
      <x:c r="H326" s="30" t="str">
        <x:v>hallucination</x:v>
      </x:c>
      <x:c r="I326" s="30" t="str">
        <x:v>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x:v>
      </x:c>
      <x:c r="J326" s="30" t="str">
        <x:v>hallucination</x:v>
      </x:c>
      <x:c r="K326" s="30" t="str">
        <x:v>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x:v>
      </x:c>
      <x:c r="L326" s="30" t="str">
        <x:v>LongCat-2.0</x:v>
      </x:c>
      <x:c r="M326" s="30" t="str">
        <x:v>LongCat-2.0</x:v>
      </x:c>
      <x:c r="N326" s="30" t="str">
        <x:v>LongCat-2.0</x:v>
      </x:c>
      <x:c r="O326" s="30" t="str">
        <x:v>LongCat-2.0</x:v>
      </x:c>
    </x:row>
    <x:row r="327" ht="54" customHeight="1">
      <x:c r="A327" s="30" t="str">
        <x:v>memos_long:1170</x:v>
      </x:c>
      <x:c r="B327" s="30" t="str">
        <x:v>sufficient</x:v>
      </x:c>
      <x:c r="C327" s="30" t="str"/>
      <x:c r="D327" s="30" t="str">
        <x:v>Evidence 1 establishes that Taylor is working on new strategies to expand the impact of the Global Nutrition Initiative globally, which aligns with the question's focus on strategies after Sep 01, 2035. Evidence 2 directly states that Taylor's strategic initiative development involves 'leveraging emotional resonance and empathetic interactions through AI for support,' which matches the gold answer exactly. Together, these two pieces of evidence fully support every material component of the gold answer.</x:v>
      </x:c>
      <x:c r="E327" s="30" t="str">
        <x:v>robust_generation_failure</x:v>
      </x:c>
      <x:c r="F327" s="30" t="str">
        <x:v>omission</x:v>
      </x:c>
      <x:c r="G327"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H327" s="30" t="str">
        <x:v>omission</x:v>
      </x:c>
      <x:c r="I327" s="30" t="str">
        <x:v>The model answer captures 'empathetic support' and 'AI' but omits the key element of 'emotional resonance' and the broader concept of 'empathetic interactions' present in the gold answer. It provides only an incomplete subset of the gold answer without adding false claims.</x:v>
      </x:c>
      <x:c r="J327" s="30" t="str">
        <x:v>omission</x:v>
      </x:c>
      <x:c r="K327"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L327" s="30" t="str">
        <x:v>LongCat-2.0</x:v>
      </x:c>
      <x:c r="M327" s="30" t="str">
        <x:v>LongCat-2.0</x:v>
      </x:c>
      <x:c r="N327" s="30" t="str">
        <x:v>LongCat-2.0</x:v>
      </x:c>
      <x:c r="O327" s="30" t="str">
        <x:v>LongCat-2.0</x:v>
      </x:c>
    </x:row>
    <x:row r="328" ht="54" customHeight="1">
      <x:c r="A328" s="30" t="str">
        <x:v>memos_long:455</x:v>
      </x:c>
      <x:c r="B328" s="30" t="str">
        <x:v>partial</x:v>
      </x:c>
      <x:c r="C328" s="30" t="str">
        <x:v>The evidence does not mention hiking boots or any specific footwear for hiking trips; it only discusses ergonomic sneakers for standing and general well-being.</x:v>
      </x:c>
      <x:c r="D328" s="30" t="str">
        <x:v>The gold answer is 'Ergonomic hiking boots.' The evidence supports Donald Brown's preference for ergonomic footwear and his commitment to supportive footwear for comfort and well-being, which partially supports the 'ergonomic' component. However, the evidence contains no information about hiking boots, hiking trips, or any footwear specifically designed for hiking. The jump from 'ergonomic sneakers' to 'ergonomic hiking boots' requires an unsupported inference that ergonomic sneakers would translate to ergonomic hiking boots for a hiking trip. Thus, only some material components are supported.</x:v>
      </x:c>
      <x:c r="E328" s="30" t="str">
        <x:v>evidence_definition_failure</x:v>
      </x:c>
      <x:c r="F328" s="30" t="str">
        <x:v>hallucination</x:v>
      </x:c>
      <x:c r="G328" s="30" t="str">
        <x:v>The gold answer specifies 'ergonomic hiking boots' as the appropriate footwear for a hiking trip, while the model answer states 'ergonomic sneakers.' Sneakers are a different type of footwear from hiking boots, and the model's answer contradicts the gold answer by providing an incorrect concrete claim rather than the correct type of footwear for the hiking context.</x:v>
      </x:c>
      <x:c r="H328" s="30" t="str">
        <x:v>hallucination</x:v>
      </x:c>
      <x:c r="I328"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J328" s="30" t="str">
        <x:v>hallucination</x:v>
      </x:c>
      <x:c r="K328"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L328" s="30" t="str">
        <x:v>LongCat-2.0</x:v>
      </x:c>
      <x:c r="M328" s="30" t="str">
        <x:v>LongCat-2.0</x:v>
      </x:c>
      <x:c r="N328" s="30" t="str">
        <x:v>LongCat-2.0</x:v>
      </x:c>
      <x:c r="O328" s="30" t="str">
        <x:v>LongCat-2.0</x:v>
      </x:c>
    </x:row>
    <x:row r="329" ht="54" customHeight="1">
      <x:c r="A329" s="30" t="str">
        <x:v>memos_medium:2218</x:v>
      </x:c>
      <x:c r="B329" s="30" t="str">
        <x:v>sufficient</x:v>
      </x:c>
      <x:c r="C329" s="30" t="str">
        <x:v>None. The evidence directly supports that Sharon might consider incorporating rugby into her academy curriculum.</x:v>
      </x:c>
      <x:c r="D329" s="30" t="str">
        <x:v>Evidence 1 and 2 establish that Sharon Brown appreciates rugby's strategic complexity alongside cricket. Evidence 3 shows she plans to incorporate cricket into her academy curriculum to enhance strategic thinking. Since rugby shares the same strategic qualities she values in cricket, ordinary reasoning supports that she might also consider incorporating rugby into her curriculum. The gold answer is directly derivable from the evidence.</x:v>
      </x:c>
      <x:c r="E329" s="30" t="str">
        <x:v>robust_generation_failure</x:v>
      </x:c>
      <x:c r="F329" s="30" t="str">
        <x:v>hallucination</x:v>
      </x:c>
      <x:c r="G329" s="30" t="str">
        <x:v>The model answer 'Cricket' is a concrete answer that contradicts the gold answer 'rugby'.</x:v>
      </x:c>
      <x:c r="H329" s="30" t="str">
        <x:v>hallucination</x:v>
      </x:c>
      <x:c r="I329" s="30" t="str">
        <x:v>The gold answer is rugby, but the model answer is cricket, which is a different sport and contradicts the gold answer.</x:v>
      </x:c>
      <x:c r="J329" s="30" t="str">
        <x:v>hallucination</x:v>
      </x:c>
      <x:c r="K329" s="30" t="str">
        <x:v>The model answer 'Cricket' is a concrete answer that contradicts the gold answer 'rugby'.</x:v>
      </x:c>
      <x:c r="L329" s="30" t="str">
        <x:v>LongCat-2.0</x:v>
      </x:c>
      <x:c r="M329" s="30" t="str">
        <x:v>LongCat-2.0</x:v>
      </x:c>
      <x:c r="N329" s="30" t="str">
        <x:v>LongCat-2.0</x:v>
      </x:c>
      <x:c r="O329" s="30" t="str">
        <x:v>LongCat-2.0</x:v>
      </x:c>
    </x:row>
    <x:row r="330" ht="54" customHeight="1">
      <x:c r="A330" s="30" t="str">
        <x:v>memos_medium:2381</x:v>
      </x:c>
      <x:c r="B330" s="30" t="str">
        <x:v>sufficient</x:v>
      </x:c>
      <x:c r="C330" s="30" t="str"/>
      <x:c r="D330" s="30" t="str">
        <x:v>The gold answer is 'Traditional ramen'. Evidence 1 states that Williams Daniel's food preference evolved to include traditional ramen after understanding its historical and cultural significance. This directly supports the complete gold answer, as it identifies the new food preference as traditional ramen. No material components are missing.</x:v>
      </x:c>
      <x:c r="E330" s="30" t="str">
        <x:v>ua3_representation_or_admission_failure</x:v>
      </x:c>
      <x:c r="F330" s="30" t="str">
        <x:v>correct</x:v>
      </x:c>
      <x:c r="G330" s="30" t="str">
        <x:v>The model answer 'Traditional ramen' exactly matches the benchmark gold answer 'Traditional ramen', providing the complete correct answer with no contradictions or omissions.</x:v>
      </x:c>
      <x:c r="H330" s="30" t="str">
        <x:v>correct</x:v>
      </x:c>
      <x:c r="I330" s="30" t="str">
        <x:v>The model answer 'Traditional ramen' exactly matches the benchmark gold answer 'Traditional ramen', providing the complete answer with no contradictions or omissions.</x:v>
      </x:c>
      <x:c r="J330" s="30" t="str">
        <x:v>correct</x:v>
      </x:c>
      <x:c r="K330" s="30" t="str">
        <x:v>The model answer 'Traditional ramen' exactly matches the benchmark gold answer 'Traditional ramen', providing the complete and correct information.</x:v>
      </x:c>
      <x:c r="L330" s="30" t="str">
        <x:v>LongCat-2.0</x:v>
      </x:c>
      <x:c r="M330" s="30" t="str">
        <x:v>LongCat-2.0</x:v>
      </x:c>
      <x:c r="N330" s="30" t="str">
        <x:v>LongCat-2.0</x:v>
      </x:c>
      <x:c r="O330" s="30" t="str">
        <x:v>LongCat-2.0</x:v>
      </x:c>
    </x:row>
    <x:row r="331" ht="54" customHeight="1">
      <x:c r="A331" s="30" t="str">
        <x:v>memos_medium:331</x:v>
      </x:c>
      <x:c r="B331" s="30" t="str">
        <x:v>sufficient</x:v>
      </x:c>
      <x:c r="C331" s="30" t="str"/>
      <x:c r="D331" s="30" t="str">
        <x:v>Evidence 1 directly states that Johnson Joseph's reading preference changed to liking memoirs of successful entrepreneurs from various industries, which matches the gold answer exactly. The evidence also implies this change occurred after a certain point (the question specifies after Sep 02, 2041), and the evidence supports the complete answer without any missing material components.</x:v>
      </x:c>
      <x:c r="E331" s="30" t="str">
        <x:v>robust_generation_failure</x:v>
      </x:c>
      <x:c r="F331" s="30" t="str">
        <x:v>omission</x:v>
      </x:c>
      <x:c r="G331"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x:v>
      </x:c>
      <x:c r="H331" s="30" t="str">
        <x:v>omission</x:v>
      </x:c>
      <x:c r="I331"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x:v>
      </x:c>
      <x:c r="J331" s="30" t="str">
        <x:v>omission</x:v>
      </x:c>
      <x:c r="K331"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 Since it does not add any false claims, it is classified as an omission rather than a hallucination.</x:v>
      </x:c>
      <x:c r="L331" s="30" t="str">
        <x:v>LongCat-2.0</x:v>
      </x:c>
      <x:c r="M331" s="30" t="str">
        <x:v>LongCat-2.0</x:v>
      </x:c>
      <x:c r="N331" s="30" t="str">
        <x:v>LongCat-2.0</x:v>
      </x:c>
      <x:c r="O331" s="30" t="str">
        <x:v>LongCat-2.0</x:v>
      </x:c>
    </x:row>
    <x:row r="332" ht="54" customHeight="1">
      <x:c r="A332" s="30" t="str">
        <x:v>memos_medium:1444</x:v>
      </x:c>
      <x:c r="B332" s="30" t="str">
        <x:v>partial</x:v>
      </x:c>
      <x:c r="C332" s="30" t="str">
        <x:v>The evidence does not confirm that Jennifer Martin works at TechCloud Solutions; it states she works at CloudTech Advisors instead.</x:v>
      </x:c>
      <x:c r="D332" s="30" t="str">
        <x:v>The gold answer claims Jennifer works at TechCloud Solutions, but the provided evidence only supports that she works at CloudTech Advisors. The job title 'Cloud Solutions Consultant' is fully supported by Evidence 2, but the employer name is a material component that is contradicted rather than supported. Therefore, only some material components are supported.</x:v>
      </x:c>
      <x:c r="E332" s="30" t="str">
        <x:v>evidence_definition_failure</x:v>
      </x:c>
      <x:c r="F332" s="30" t="str">
        <x:v>omission</x:v>
      </x:c>
      <x:c r="G332"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x:v>
      </x:c>
      <x:c r="H332" s="30" t="str">
        <x:v>omission</x:v>
      </x:c>
      <x:c r="I332"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incomplete subset.</x:v>
      </x:c>
      <x:c r="J332" s="30" t="str">
        <x:v>omission</x:v>
      </x:c>
      <x:c r="K332"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x:v>
      </x:c>
      <x:c r="L332" s="30" t="str">
        <x:v>LongCat-2.0</x:v>
      </x:c>
      <x:c r="M332" s="30" t="str">
        <x:v>LongCat-2.0</x:v>
      </x:c>
      <x:c r="N332" s="30" t="str">
        <x:v>LongCat-2.0</x:v>
      </x:c>
      <x:c r="O332" s="30" t="str">
        <x:v>LongCat-2.0</x:v>
      </x:c>
    </x:row>
    <x:row r="333" ht="54" customHeight="1">
      <x:c r="A333" s="30" t="str">
        <x:v>memos_long:3213</x:v>
      </x:c>
      <x:c r="B333" s="30" t="str">
        <x:v>insufficient</x:v>
      </x:c>
      <x:c r="C333" s="30" t="str">
        <x:v>The evidence does not mention ginger, digestion, or any specific ingredient for digestive benefits. It only mentions chia seeds for heart health and a general preference for balancing taste with nutrition.</x:v>
      </x:c>
      <x:c r="D333" s="30" t="str">
        <x:v>The gold answer claims Barbara could try ginger for digestion benefits, but the provided evidence contains no information about ginger, digestive health, or any ingredient specifically for digestion. The evidence only supports that she uses chia seeds for heart health and values nutritional benefits, which does not allow derivation of the ginger-for-digestion claim.</x:v>
      </x:c>
      <x:c r="E333" s="30" t="str">
        <x:v>evidence_definition_failure</x:v>
      </x:c>
      <x:c r="F333" s="30" t="str">
        <x:v>hallucination</x:v>
      </x:c>
      <x:c r="G333" s="30" t="str">
        <x:v>The gold answer specifies ginger as the ingredient for digestion benefits. The model answer includes ginger but also adds mint, which is not supported by the gold answer. Since mint is a concrete claim not present in the gold answer and is not indicated as a digestion-specific recommendation in the benchmark, this constitutes a hallucination.</x:v>
      </x:c>
      <x:c r="H333" s="30" t="str">
        <x:v>hallucination</x:v>
      </x:c>
      <x:c r="I333" s="30" t="str">
        <x:v>The gold answer specifies ginger as the ingredient for digestion benefits. The model answer includes ginger but also adds mint, which is not supported by the gold answer. Since mint is presented as an alternative concrete answer without basis in the gold answer, this constitutes a hallucination.</x:v>
      </x:c>
      <x:c r="J333" s="30" t="str">
        <x:v>hallucination</x:v>
      </x:c>
      <x:c r="K333" s="30" t="str">
        <x:v>The gold answer specifies ginger as the ingredient for digestion benefits. The model answer includes ginger but also adds mint, which is not supported by the gold answer. Since mint is a concrete claim not present in the gold answer, this constitutes a hallucination.</x:v>
      </x:c>
      <x:c r="L333" s="30" t="str">
        <x:v>LongCat-2.0</x:v>
      </x:c>
      <x:c r="M333" s="30" t="str">
        <x:v>LongCat-2.0</x:v>
      </x:c>
      <x:c r="N333" s="30" t="str">
        <x:v>LongCat-2.0</x:v>
      </x:c>
      <x:c r="O333" s="30" t="str">
        <x:v>LongCat-2.0</x:v>
      </x:c>
    </x:row>
    <x:row r="334" ht="54" customHeight="1">
      <x:c r="A334" s="30" t="str">
        <x:v>memos_medium:1634</x:v>
      </x:c>
      <x:c r="B334" s="30" t="str">
        <x:v>sufficient</x:v>
      </x:c>
      <x:c r="C334" s="30" t="str"/>
      <x:c r="D334" s="30" t="str">
        <x:v>Evidence 1 explicitly states that Susan Thompson's travel preference has evolved to include backpacking as a viable travel style for short trips. This directly supports the gold answer 'Backpacking' and fully covers the material component of the question, which asks what travel style she adopted for short trips.</x:v>
      </x:c>
      <x:c r="E334" s="30" t="str">
        <x:v>ua3_representation_or_admission_failure</x:v>
      </x:c>
      <x:c r="F334" s="30" t="str">
        <x:v>correct</x:v>
      </x:c>
      <x:c r="G334" s="30" t="str">
        <x:v>The model answer 'Backpacking' exactly matches the benchmark gold answer, providing the complete and correct travel style adopted by Susan Thompson.</x:v>
      </x:c>
      <x:c r="H334" s="30" t="str">
        <x:v>correct</x:v>
      </x:c>
      <x:c r="I334" s="30" t="str">
        <x:v>The model answer 'Backpacking' exactly matches the benchmark gold answer, providing the complete and correct travel style.</x:v>
      </x:c>
      <x:c r="J334" s="30" t="str">
        <x:v>correct</x:v>
      </x:c>
      <x:c r="K334" s="30" t="str">
        <x:v>The model answer 'Backpacking' exactly matches the benchmark gold answer, providing the complete and correct travel style adopted by Susan Thompson.</x:v>
      </x:c>
      <x:c r="L334" s="30" t="str">
        <x:v>LongCat-2.0</x:v>
      </x:c>
      <x:c r="M334" s="30" t="str">
        <x:v>LongCat-2.0</x:v>
      </x:c>
      <x:c r="N334" s="30" t="str">
        <x:v>LongCat-2.0</x:v>
      </x:c>
      <x:c r="O334" s="30" t="str">
        <x:v>LongCat-2.0</x:v>
      </x:c>
    </x:row>
    <x:row r="335" ht="54" customHeight="1">
      <x:c r="A335" s="30" t="str">
        <x:v>memos_long:1030</x:v>
      </x:c>
      <x:c r="B335" s="30" t="str">
        <x:v>sufficient</x:v>
      </x:c>
      <x:c r="C335" s="30" t="str"/>
      <x:c r="D335" s="30" t="str">
        <x:v>The gold answer states that Donna might consider adopting rodents. Evidence 1 directly states that Donna feels optimistic about integrating rodents into her life, which supports the idea that she might consider adopting them. Evidence 2 and Evidence 3 provide additional context about why her preference changed, but the core material component of the answer—that rodents are the new type of pet she might consider—is directly supported by Evidence 1. All material components of the gold answer are derivable from the evidence.</x:v>
      </x:c>
      <x:c r="E335" s="30" t="str">
        <x:v>ua3_representation_or_admission_failure</x:v>
      </x:c>
      <x:c r="F335" s="30" t="str">
        <x:v>correct</x:v>
      </x:c>
      <x:c r="G335" s="30" t="str">
        <x:v>The model answer 'Rodents' is semantically equivalent to the gold answer 'Donna might consider adopting rodents.' It provides the complete answer with only minor wording differences, omitting the framing but retaining the core content without any false or unsupported claims.</x:v>
      </x:c>
      <x:c r="H335" s="30" t="str">
        <x:v>correct</x:v>
      </x:c>
      <x:c r="I335" s="30" t="str">
        <x:v>The model answer 'Rodents' is a semantically complete match to the gold answer 'Donna might consider adopting rodents.' The wording is shorter but conveys the same meaning without adding false or unsupported information.</x:v>
      </x:c>
      <x:c r="J335" s="30" t="str">
        <x:v>correct</x:v>
      </x:c>
      <x:c r="K335" s="30" t="str">
        <x:v>The model answer 'Rodents' is semantically equivalent to the gold answer 'Donna might consider adopting rodents.' The wording is more concise but conveys the same complete meaning without any false or unsupported claims.</x:v>
      </x:c>
      <x:c r="L335" s="30" t="str">
        <x:v>LongCat-2.0</x:v>
      </x:c>
      <x:c r="M335" s="30" t="str">
        <x:v>LongCat-2.0</x:v>
      </x:c>
      <x:c r="N335" s="30" t="str">
        <x:v>LongCat-2.0</x:v>
      </x:c>
      <x:c r="O335" s="30" t="str">
        <x:v>LongCat-2.0</x:v>
      </x:c>
    </x:row>
    <x:row r="336" ht="54" customHeight="1">
      <x:c r="A336" s="30" t="str">
        <x:v>memos_long:2899</x:v>
      </x:c>
      <x:c r="B336" s="30" t="str">
        <x:v>sufficient</x:v>
      </x:c>
      <x:c r="C336" s="30" t="str"/>
      <x:c r="D336" s="30" t="str">
        <x:v>The gold answer is 'Donald Smith loves cats.' Evidence 1 states that 'Donald Smith reaffirmed his love for cats,' which directly supports the gold answer. The evidence also provides additional context about his new kitten and the playful nature, but the core material component — that Donald Smith loves cats — is fully supported and directly derivable from the evidence.</x:v>
      </x:c>
      <x:c r="E336" s="30" t="str">
        <x:v>ua3_representation_or_admission_failure</x:v>
      </x:c>
      <x:c r="F336" s="30" t="str">
        <x:v>correct</x:v>
      </x:c>
      <x:c r="G336" s="30" t="str">
        <x:v>The model answer 'Loves cats' semantically conveys the complete gold answer 'Donald Smith loves cats' with only minor wording differences, and does not add any false or unsupported claims.</x:v>
      </x:c>
      <x:c r="H336" s="30" t="str">
        <x:v>correct</x:v>
      </x:c>
      <x:c r="I336" s="30" t="str">
        <x:v>The model answer 'Loves cats' semantically conveys the complete gold answer 'Donald Smith loves cats' with only minor wording differences, and does not add any false or unsupported information.</x:v>
      </x:c>
      <x:c r="J336" s="30" t="str">
        <x:v>correct</x:v>
      </x:c>
      <x:c r="K336" s="30" t="str">
        <x:v>The model answer 'Loves cats' semantically conveys the same information as the gold answer 'Donald Smith loves cats,' with only minor wording differences and no false or unsupported claims.</x:v>
      </x:c>
      <x:c r="L336" s="30" t="str">
        <x:v>LongCat-2.0</x:v>
      </x:c>
      <x:c r="M336" s="30" t="str">
        <x:v>LongCat-2.0</x:v>
      </x:c>
      <x:c r="N336" s="30" t="str">
        <x:v>LongCat-2.0</x:v>
      </x:c>
      <x:c r="O336" s="30" t="str">
        <x:v>LongCat-2.0</x:v>
      </x:c>
    </x:row>
    <x:row r="337" ht="54" customHeight="1">
      <x:c r="A337" s="30" t="str">
        <x:v>memos_medium:1361</x:v>
      </x:c>
      <x:c r="B337" s="30" t="str">
        <x:v>partial</x:v>
      </x:c>
      <x:c r="C337" s="30" t="str">
        <x:v>The specific sport 'tennis' is not mentioned in the evidence.</x:v>
      </x:c>
      <x:c r="D337" s="30" t="str">
        <x:v>Evidence 1 states that Ananya's social circle has influenced her to explore new sports interests, which supports the general idea of her social circle introducing her to new sports. However, the gold answer specifies 'tennis' as the particular sport, and neither Evidence 1 nor Evidence 2 mentions tennis or any specific sport. Therefore, the material component 'tennis' is not supported, making the evidence only partially sufficient.</x:v>
      </x:c>
      <x:c r="E337" s="30" t="str">
        <x:v>evidence_definition_failure</x:v>
      </x:c>
      <x:c r="F337" s="30" t="str">
        <x:v>omission</x:v>
      </x:c>
      <x:c r="G337" s="30" t="str">
        <x:v>The model answer 'Explore new sports interests' is vague and does not include the specific sport 'tennis' mentioned in the gold answer. It provides only an incomplete subset of the gold answer without adding a concrete false claim, so it qualifies as an omission.</x:v>
      </x:c>
      <x:c r="H337" s="30" t="str">
        <x:v>omission</x:v>
      </x:c>
      <x:c r="I337" s="30" t="str">
        <x:v>The model answer 'Explore new sports interests' is vague and does not include the specific sport 'tennis' mentioned in the gold answer. It provides only an incomplete subset of the gold answer without adding a concrete false claim.</x:v>
      </x:c>
      <x:c r="J337" s="30" t="str">
        <x:v>omission</x:v>
      </x:c>
      <x:c r="K337" s="30" t="str">
        <x:v>The model answer 'Explore new sports interests' is vague and incomplete compared to the gold answer, which specifically mentions 'tennis' as a concrete example of a new sport. The model answer omits the specific sport (tennis) and the mechanism (social circle introducing her to it), providing only a general statement without the key detail.</x:v>
      </x:c>
      <x:c r="L337" s="30" t="str">
        <x:v>LongCat-2.0</x:v>
      </x:c>
      <x:c r="M337" s="30" t="str">
        <x:v>LongCat-2.0</x:v>
      </x:c>
      <x:c r="N337" s="30" t="str">
        <x:v>LongCat-2.0</x:v>
      </x:c>
      <x:c r="O337" s="30" t="str">
        <x:v>LongCat-2.0</x:v>
      </x:c>
    </x:row>
    <x:row r="338" ht="54" customHeight="1">
      <x:c r="A338" s="30" t="str">
        <x:v>memos_medium:1470</x:v>
      </x:c>
      <x:c r="B338" s="30" t="str">
        <x:v>partial</x:v>
      </x:c>
      <x:c r="C338" s="30" t="str">
        <x:v>The evidence does not explicitly state that Jennifer Martin's health status was 'Poor' on Jul 15, 2027, or that it was 'Improved' on Nov 05, 2027. The gold answer requires a specific temporal mapping of the health status change to these dates, which is not provided.</x:v>
      </x:c>
      <x:c r="D338" s="30" t="str">
        <x:v>Evidence 1 indicates a change from 'Below Normal' to 'Poor' but does not specify the date of this change. Evidence 2 mentions an improvement due to exercise and mindfulness but does not specify when this improvement occurred. The gold answer 'From poor to improved' requires linking these statuses to the specific dates Jul 15, 2027, and Nov 05, 2027, which the evidence does not do. Therefore, only some material components are supported.</x:v>
      </x:c>
      <x:c r="E338" s="30" t="str">
        <x:v>evidence_definition_failure</x:v>
      </x:c>
      <x:c r="F338" s="30" t="str">
        <x:v>correct</x:v>
      </x:c>
      <x:c r="G338" s="30" t="str">
        <x:v>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x:v>
      </x:c>
      <x:c r="H338" s="30" t="str">
        <x:v>correct</x:v>
      </x:c>
      <x:c r="I338" s="30" t="str">
        <x:v>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x:v>
      </x:c>
      <x:c r="J338" s="30" t="str">
        <x:v>correct</x:v>
      </x:c>
      <x:c r="K338" s="30" t="str">
        <x:v>The model answer 'Improved from poor to better' conveys the same semantic meaning as the gold answer 'From poor to improved'—both indicate that Jennifer Martin's health started at a poor status and moved to a better/improved status. The wording differs slightly but the complete meaning is preserved without any contradiction or unsupported claims.</x:v>
      </x:c>
      <x:c r="L338" s="30" t="str">
        <x:v>LongCat-2.0</x:v>
      </x:c>
      <x:c r="M338" s="30" t="str">
        <x:v>LongCat-2.0</x:v>
      </x:c>
      <x:c r="N338" s="30" t="str">
        <x:v>LongCat-2.0</x:v>
      </x:c>
      <x:c r="O338" s="30" t="str">
        <x:v>LongCat-2.0</x:v>
      </x:c>
    </x:row>
    <x:row r="339" ht="54" customHeight="1">
      <x:c r="A339" s="30" t="str">
        <x:v>memos_long:1828</x:v>
      </x:c>
      <x:c r="B339" s="30" t="str">
        <x:v>sufficient</x:v>
      </x:c>
      <x:c r="C339" s="30" t="str"/>
      <x:c r="D339" s="30" t="str">
        <x:v>The gold answer states that suitable games are those that 'challenge analytical skills and offer emotional engagement.' Evidence 1 explicitly states Michelle Hernandez is seeking AI-driven strategy games that 'challenge her analytical skills and offer emotional engagement.' Evidence 2 similarly states she is seeking titles that 'challenge her analytical skills while providing emotional engagement.' Both pieces of evidence directly support every material component of the gold answer, and together they are sufficient to derive the complete answer.</x:v>
      </x:c>
      <x:c r="E339" s="30" t="str">
        <x:v>robust_generation_failure</x:v>
      </x:c>
      <x:c r="F339" s="30" t="str">
        <x:v>omission</x:v>
      </x:c>
      <x:c r="G339" s="30" t="str">
        <x:v>The model answer only mentions 'Games challenging analytical skills,' which is an incomplete subset of the gold answer. The gold answer also includes 'offer emotional engagement,' which the model answer omits without adding any concrete false claim.</x:v>
      </x:c>
      <x:c r="H339" s="30" t="str">
        <x:v>omission</x:v>
      </x:c>
      <x:c r="I339" s="30" t="str">
        <x:v>The model answer only mentions 'Games challenging analytical skills,' which is an incomplete subset of the gold answer. The gold answer also includes 'offer emotional engagement,' which the model answer omits without adding any concrete false claim.</x:v>
      </x:c>
      <x:c r="J339" s="30" t="str">
        <x:v>omission</x:v>
      </x:c>
      <x:c r="K339" s="30" t="str">
        <x:v>The model answer only mentions 'Games challenging analytical skills,' which is an incomplete subset of the gold answer. The gold answer also includes 'offer emotional engagement,' which the model answer omits without adding any concrete false claim.</x:v>
      </x:c>
      <x:c r="L339" s="30" t="str">
        <x:v>LongCat-2.0</x:v>
      </x:c>
      <x:c r="M339" s="30" t="str">
        <x:v>LongCat-2.0</x:v>
      </x:c>
      <x:c r="N339" s="30" t="str">
        <x:v>LongCat-2.0</x:v>
      </x:c>
      <x:c r="O339" s="30" t="str">
        <x:v>LongCat-2.0</x:v>
      </x:c>
    </x:row>
    <x:row r="340" ht="54" customHeight="1">
      <x:c r="A340" s="30" t="str">
        <x:v>memos_long:1756</x:v>
      </x:c>
      <x:c r="B340" s="30" t="str">
        <x:v>sufficient</x:v>
      </x:c>
      <x:c r="C340" s="30" t="str"/>
      <x:c r="D340" s="30" t="str">
        <x:v>The gold answer states that Susan Thompson's salary increase 'enhanced her capacity to support other women.' Evidence 2 directly states that Susan discussed the potential for her financial boost to 'enhance her ability to inspire and support other women,' which matches the gold answer almost verbatim. Evidence 1 and Evidence 3 provide additional supporting context about her plans to allocate increased income toward wellness initiatives and leverage her financial stability for expanding wellness projects. Together, the evidence fully supports every material component of the gold answer through direct statements and ordinary reasoning.</x:v>
      </x:c>
      <x:c r="E340" s="30" t="str">
        <x:v>robust_generation_failure</x:v>
      </x:c>
      <x:c r="F340" s="30" t="str">
        <x:v>omission</x:v>
      </x:c>
      <x:c r="G340" s="30" t="str">
        <x:v>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x:v>
      </x:c>
      <x:c r="H340" s="30" t="str">
        <x:v>omission</x:v>
      </x:c>
      <x:c r="I340" s="30" t="str">
        <x:v>The model answer 'Enhanced her ability to inspire' captures part of the gold answer but omits the specific detail about 'other women' and the nature of the support, making it an incomplete subset of the gold answer.</x:v>
      </x:c>
      <x:c r="J340" s="30" t="str">
        <x:v>omission</x:v>
      </x:c>
      <x:c r="K340" s="30" t="str">
        <x:v>The model answer 'Enhanced her ability to inspire' is incomplete compared to the gold answer 'It enhanced her capacity to support other women.' The model omits the specific target group 'other women' and the specific action 'support,' providing only a vague subset of the gold answer without adding false claims.</x:v>
      </x:c>
      <x:c r="L340" s="30" t="str">
        <x:v>LongCat-2.0</x:v>
      </x:c>
      <x:c r="M340" s="30" t="str">
        <x:v>LongCat-2.0</x:v>
      </x:c>
      <x:c r="N340" s="30" t="str">
        <x:v>LongCat-2.0</x:v>
      </x:c>
      <x:c r="O340" s="30" t="str">
        <x:v>LongCat-2.0</x:v>
      </x:c>
    </x:row>
    <x:row r="341" ht="54" customHeight="1">
      <x:c r="A341" s="30" t="str">
        <x:v>memos_medium:2236</x:v>
      </x:c>
      <x:c r="B341" s="30" t="str">
        <x:v>sufficient</x:v>
      </x:c>
      <x:c r="C341" s="30" t="str"/>
      <x:c r="D341" s="30" t="str">
        <x:v>Evidence 1 states that on Sep 20, 2035, Sharon Brown's focus was on 'personal health and family life.' Evidence 2 states that by Sep 01, 2036, her focus shifted to 'family, hobbies, and new experiences.' Together, these directly support the gold answer's claim that her focus changed 'from health and family to family, hobbies, and new experiences.' Every material component of the gold answer is derivable from the provided evidence.</x:v>
      </x:c>
      <x:c r="E341" s="30" t="str">
        <x:v>robust_generation_failure</x:v>
      </x:c>
      <x:c r="F341" s="30" t="str">
        <x:v>hallucination</x:v>
      </x:c>
      <x:c r="G341"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H341" s="30" t="str">
        <x:v>hallucination</x:v>
      </x:c>
      <x:c r="I341"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J341" s="30" t="str">
        <x:v>hallucination</x:v>
      </x:c>
      <x:c r="K341"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L341" s="30" t="str">
        <x:v>LongCat-2.0</x:v>
      </x:c>
      <x:c r="M341" s="30" t="str">
        <x:v>LongCat-2.0</x:v>
      </x:c>
      <x:c r="N341" s="30" t="str">
        <x:v>LongCat-2.0</x:v>
      </x:c>
      <x:c r="O341" s="30" t="str">
        <x:v>LongCat-2.0</x:v>
      </x:c>
    </x:row>
    <x:row r="342" ht="54" customHeight="1">
      <x:c r="A342" s="30" t="str">
        <x:v>memos_long:972</x:v>
      </x:c>
      <x:c r="B342" s="30" t="str">
        <x:v>sufficient</x:v>
      </x:c>
      <x:c r="C342" s="30" t="str"/>
      <x:c r="D342" s="30" t="str">
        <x:v>Evidence 1 directly states that Donna expressed excitement about discovering healthier processed snack options made with natural ingredients at a health expo, which supports the gold answer that she might prefer snacks made with natural ingredients. Evidence 2 reinforces this by showing her preference shift toward snacks with natural components. Together, the evidence fully supports the material component of the gold answer.</x:v>
      </x:c>
      <x:c r="E342" s="30" t="str">
        <x:v>robust_generation_failure</x:v>
      </x:c>
      <x:c r="F342" s="30" t="str">
        <x:v>hallucination</x:v>
      </x:c>
      <x:c r="G342"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H342" s="30" t="str">
        <x:v>hallucination</x:v>
      </x:c>
      <x:c r="I342"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J342" s="30" t="str">
        <x:v>hallucination</x:v>
      </x:c>
      <x:c r="K342" s="30" t="str">
        <x:v>The gold answer specifies 'snacks made with natural ingredients,' which emphasizes whole, natural components. The model answer 'Natural processed snacks' introduces the concept of 'processed,' which contradicts the spirit of the gold answer by implying a level of manufacturing or alteration that is not supported by or aligned with the gold answer's focus on natural ingredients.</x:v>
      </x:c>
      <x:c r="L342" s="30" t="str">
        <x:v>LongCat-2.0</x:v>
      </x:c>
      <x:c r="M342" s="30" t="str">
        <x:v>LongCat-2.0</x:v>
      </x:c>
      <x:c r="N342" s="30" t="str">
        <x:v>LongCat-2.0</x:v>
      </x:c>
      <x:c r="O342" s="30" t="str">
        <x:v>LongCat-2.0</x:v>
      </x:c>
    </x:row>
    <x:row r="343" ht="54" customHeight="1">
      <x:c r="A343" s="30" t="str">
        <x:v>memos_medium:3315</x:v>
      </x:c>
      <x:c r="B343" s="30" t="str">
        <x:v>sufficient</x:v>
      </x:c>
      <x:c r="C343" s="30" t="str"/>
      <x:c r="D343" s="30" t="str">
        <x:v>The gold answer states that Christopher can maintain the sustainability of his care plans by fostering collaboration with colleagues and book club members. Evidence 1 directly supports this by stating Christopher leveraged relationships with colleagues like Sarah and book club members like Sandra to foster a collaborative environment. Evidence 2 supports the role of collaboration in successfully implementing care plans. Evidence 3 explicitly states Christopher reflected on the importance of maintaining collaborative relationships for the sustainability of his initiatives. Together, all material components of the gold answer are fully supported.</x:v>
      </x:c>
      <x:c r="E343" s="30" t="str">
        <x:v>robust_generation_failure</x:v>
      </x:c>
      <x:c r="F343" s="30" t="str">
        <x:v>hallucination</x:v>
      </x:c>
      <x:c r="G343" s="30" t="str">
        <x:v>The model answer includes 'competition,' which is not supported by the gold answer and introduces an unsupported/incorrect element, making it a hallucination.</x:v>
      </x:c>
      <x:c r="H343" s="30" t="str">
        <x:v>hallucination</x:v>
      </x:c>
      <x:c r="I343" s="30" t="str">
        <x:v>The model answer includes 'competition,' which is not supported by the gold answer and introduces an unsupported/incorrect element, making it a hallucination.</x:v>
      </x:c>
      <x:c r="J343" s="30" t="str">
        <x:v>hallucination</x:v>
      </x:c>
      <x:c r="K343" s="30" t="str">
        <x:v>The gold answer specifies 'collaboration with colleagues and book club members.' The model answer says 'Collaboration and competition.' While 'collaboration' partially overlaps with the gold answer, 'competition' is not mentioned or supported in the gold answer and introduces unsupported material, making it a hallucination.</x:v>
      </x:c>
      <x:c r="L343" s="30" t="str">
        <x:v>LongCat-2.0</x:v>
      </x:c>
      <x:c r="M343" s="30" t="str">
        <x:v>LongCat-2.0</x:v>
      </x:c>
      <x:c r="N343" s="30" t="str">
        <x:v>LongCat-2.0</x:v>
      </x:c>
      <x:c r="O343" s="30" t="str">
        <x:v>LongCat-2.0</x:v>
      </x:c>
    </x:row>
    <x:row r="344" ht="54" customHeight="1">
      <x:c r="A344" s="30" t="str">
        <x:v>memos_long:549</x:v>
      </x:c>
      <x:c r="B344" s="30" t="str">
        <x:v>sufficient</x:v>
      </x:c>
      <x:c r="C344" s="30" t="str">
        <x:v>None. The evidence directly supports that Sarah Garcia prefers uplifting and energetic music, which fully aligns with the gold answer of an uplifting and energetic music concert.</x:v>
      </x:c>
      <x:c r="D344" s="30" t="str">
        <x:v>The gold answer is 'An uplifting and energetic music concert.' Evidence 1 explicitly states Sarah Garcia prefers music that is uplifting and energetic. Evidence 2 and 3 reinforce this by describing her upbeat personality and use of music to maintain a positive outlook and energize her routine. Together, these pieces of evidence directly support every material component of the gold answer: the event type (music concert) and its characteristics (uplifting and energetic). No additional information is needed.</x:v>
      </x:c>
      <x:c r="E344" s="30" t="str">
        <x:v>robust_generation_failure</x:v>
      </x:c>
      <x:c r="F344" s="30" t="str">
        <x:v>omission</x:v>
      </x:c>
      <x:c r="G344" s="30" t="str">
        <x:v>The model answer 'Uplifting and energetic music' captures the key descriptors from the gold answer but omits the specific event type 'concert,' making it an incomplete subset of the full gold answer.</x:v>
      </x:c>
      <x:c r="H344" s="30" t="str">
        <x:v>omission</x:v>
      </x:c>
      <x:c r="I344" s="30" t="str">
        <x:v>The model answer 'Uplifting and energetic music' captures the key descriptors but omits the specific event type 'concert' mentioned in the gold answer 'An uplifting and energetic music concert.' While the model's answer is not false, it provides only an incomplete subset of the gold answer by leaving out the concrete event type, making it an omission rather than a complete semantic match.</x:v>
      </x:c>
      <x:c r="J344" s="30" t="str">
        <x:v>omission</x:v>
      </x:c>
      <x:c r="K344" s="30" t="str">
        <x:v>The model answer 'Uplifting and energetic music' captures the key descriptors from the gold answer but omits the specific event type 'concert,' making it an incomplete subset of the full gold answer.</x:v>
      </x:c>
      <x:c r="L344" s="30" t="str">
        <x:v>LongCat-2.0</x:v>
      </x:c>
      <x:c r="M344" s="30" t="str">
        <x:v>LongCat-2.0</x:v>
      </x:c>
      <x:c r="N344" s="30" t="str">
        <x:v>LongCat-2.0</x:v>
      </x:c>
      <x:c r="O344" s="30" t="str">
        <x:v>LongCat-2.0</x:v>
      </x:c>
    </x:row>
    <x:row r="345" ht="54" customHeight="1">
      <x:c r="A345" s="30" t="str">
        <x:v>memos_medium:1548</x:v>
      </x:c>
      <x:c r="B345" s="30" t="str">
        <x:v>sufficient</x:v>
      </x:c>
      <x:c r="C345" s="30" t="str"/>
      <x:c r="D345" s="30" t="str">
        <x:v>Evidence 1 directly states that Jennifer's exploratory motivation drives her to test industry boundaries, which is the complete gold answer. Evidence 2 provides additional context about her conference attendance but is not needed to derive the answer. The gold answer is fully supported by the evidence.</x:v>
      </x:c>
      <x:c r="E345" s="30" t="str">
        <x:v>ua3_representation_or_admission_failure</x:v>
      </x:c>
      <x:c r="F345" s="30" t="str">
        <x:v>correct</x:v>
      </x:c>
      <x:c r="G345"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H345" s="30" t="str">
        <x:v>correct</x:v>
      </x:c>
      <x:c r="I345"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J345" s="30" t="str">
        <x:v>correct</x:v>
      </x:c>
      <x:c r="K345"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L345" s="30" t="str">
        <x:v>LongCat-2.0</x:v>
      </x:c>
      <x:c r="M345" s="30" t="str">
        <x:v>LongCat-2.0</x:v>
      </x:c>
      <x:c r="N345" s="30" t="str">
        <x:v>LongCat-2.0</x:v>
      </x:c>
      <x:c r="O345" s="30" t="str">
        <x:v>LongCat-2.0</x:v>
      </x:c>
    </x:row>
    <x:row r="346" ht="54" customHeight="1">
      <x:c r="A346" s="30" t="str">
        <x:v>memos_long:2506</x:v>
      </x:c>
      <x:c r="B346" s="30" t="str">
        <x:v>partial</x:v>
      </x:c>
      <x:c r="C346" s="30" t="str">
        <x:v>The evidence does not specify that Steven Miller actually switched to healthier options or that such a switch would improve his energy levels and productivity; it only states that he discussed implications and expressed curiosity about how changes might affect his routine.</x:v>
      </x:c>
      <x:c r="D346" s="30" t="str">
        <x:v>The gold answer claims that switching to healthier options might improve his energy levels and productivity. Evidence 1 states that Steven discussed implications of beverage preference changes on energy levels and productivity, and Evidence 2 states he expressed curiosity about how changes might affect his daily routine. While the evidence supports that he considered the topic, it does not establish that he switched to healthier options or that such a switch would lead to improved energy and productivity. The causal link and the specific healthier options component are not directly derivable from the evidence.</x:v>
      </x:c>
      <x:c r="E346" s="30" t="str">
        <x:v>evidence_definition_failure</x:v>
      </x:c>
      <x:c r="F346" s="30" t="str">
        <x:v>omission</x:v>
      </x:c>
      <x:c r="G346" s="30" t="str">
        <x:v>The model answer 'Energy levels and productivity' is an incomplete subset of the gold answer. It omits the key causal mechanism (switching to healthier options) and the directional effect (improve), providing only the topics without a concrete, complete answer.</x:v>
      </x:c>
      <x:c r="H346" s="30" t="str">
        <x:v>omission</x:v>
      </x:c>
      <x:c r="I346" s="30" t="str">
        <x:v>The model answer 'Energy levels and productivity' is an incomplete subset of the gold answer. It omits the key causal mechanism (switching to healthier options) and the directional effect (improve), providing only the topics without a concrete claim about how productivity might be affected.</x:v>
      </x:c>
      <x:c r="J346" s="30" t="str">
        <x:v>omission</x:v>
      </x:c>
      <x:c r="K346" s="30" t="str">
        <x:v>The model answer 'Energy levels and productivity' is an incomplete subset of the gold answer. It mentions the affected aspects but omits the causal mechanism (switching to healthier options might improve them) and the conditional framing, making it too vague to be considered a complete semantic match.</x:v>
      </x:c>
      <x:c r="L346" s="30" t="str">
        <x:v>LongCat-2.0</x:v>
      </x:c>
      <x:c r="M346" s="30" t="str">
        <x:v>LongCat-2.0</x:v>
      </x:c>
      <x:c r="N346" s="30" t="str">
        <x:v>LongCat-2.0</x:v>
      </x:c>
      <x:c r="O346" s="30" t="str">
        <x:v>LongCat-2.0</x:v>
      </x:c>
    </x:row>
    <x:row r="347" ht="54" customHeight="1">
      <x:c r="A347" s="30" t="str">
        <x:v>memos_long:1852</x:v>
      </x:c>
      <x:c r="B347" s="30" t="str">
        <x:v>insufficient</x:v>
      </x:c>
      <x:c r="C347" s="30" t="str">
        <x:v>The evidence does not mention organic foods or yoga, nor does it provide any specific health-conscious choices Michelle might explore beyond her preference for natural flavored sparkling water.</x:v>
      </x:c>
      <x:c r="D347" s="30" t="str">
        <x:v>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x:v>
      </x:c>
      <x:c r="E347" s="30" t="str">
        <x:v>evidence_definition_failure</x:v>
      </x:c>
      <x:c r="F347" s="30" t="str">
        <x:v>hallucination</x:v>
      </x:c>
      <x:c r="G347" s="30" t="str">
        <x:v>The gold answer suggests Michelle might explore organic foods or yoga. The model answer 'Natural flavored sparkling water' is a concrete claim that is not supported by or semantically equivalent to the gold answer, and it introduces unsupported material not present in the gold answer.</x:v>
      </x:c>
      <x:c r="H347" s="30" t="str">
        <x:v>omission</x:v>
      </x:c>
      <x:c r="I347" s="30" t="str">
        <x:v>The model answer 'Natural flavored sparkling water' does not include any part of the gold answer (organic foods or yoga). It provides a different concrete suggestion that is not supported by the gold answer, but since it does not contradict the gold answer and simply offers an unrelated alternative, it is best classified as an omission of the expected answer rather than a direct hallucination against it.</x:v>
      </x:c>
      <x:c r="J347" s="30" t="str">
        <x:v>hallucination</x:v>
      </x:c>
      <x:c r="K347" s="30" t="str">
        <x:v>The model answer 'Natural flavored sparkling water' is a concrete health-related suggestion that is not supported by or present in the gold answer, which only mentions 'organic foods or yoga'. Since the model provided a specific, unsupported claim rather than the correct options, it constitutes a hallucination.</x:v>
      </x:c>
      <x:c r="L347" s="30" t="str">
        <x:v>LongCat-2.0</x:v>
      </x:c>
      <x:c r="M347" s="30" t="str">
        <x:v>LongCat-2.0</x:v>
      </x:c>
      <x:c r="N347" s="30" t="str">
        <x:v>LongCat-2.0</x:v>
      </x:c>
      <x:c r="O347" s="30" t="str">
        <x:v>LongCat-2.0</x:v>
      </x:c>
    </x:row>
    <x:row r="348" ht="54" customHeight="1">
      <x:c r="A348" s="30" t="str">
        <x:v>memos_long:923</x:v>
      </x:c>
      <x:c r="B348" s="30" t="str">
        <x:v>sufficient</x:v>
      </x:c>
      <x:c r="C348" s="30" t="str">
        <x:v>None. The evidence fully supports that Donna will prioritize popular tourist spots for networking.</x:v>
      </x:c>
      <x:c r="D348" s="30" t="str">
        <x:v>Evidence 1 states Donna modified her travel preferences to include popular tourist spots for networking opportunities, recognizing their value in the tech sector. Evidence 2 states Donna appreciates popular tourist spots for their potential in networking and identifying business opportunities in the tech sector. Together, these directly support the gold answer that Donna will prioritize popular tourist spots for networking. The question asks about her approach after April 10, 2029, and the evidence describes her modified preferences and appreciation for these spots, which is sufficient to derive the complete gold answer.</x:v>
      </x:c>
      <x:c r="E348" s="30" t="str">
        <x:v>ua3_representation_or_admission_failure</x:v>
      </x:c>
      <x:c r="F348" s="30" t="str">
        <x:v>correct</x:v>
      </x:c>
      <x:c r="G348" s="30" t="str">
        <x:v>The model answer 'Prioritize popular tourist spots' is a concise restatement of the gold answer 'Donna will prioritize popular tourist spots for networking.' It captures the complete semantic meaning without adding false or unsupported information.</x:v>
      </x:c>
      <x:c r="H348" s="30" t="str">
        <x:v>correct</x:v>
      </x:c>
      <x:c r="I348" s="30" t="str">
        <x:v>The model answer 'Prioritize popular tourist spots' is a concise restatement of the gold answer 'Donna will prioritize popular tourist spots for networking.' It captures the complete semantic meaning without adding false or unsupported information.</x:v>
      </x:c>
      <x:c r="J348" s="30" t="str">
        <x:v>correct</x:v>
      </x:c>
      <x:c r="K348" s="30" t="str">
        <x:v>The model answer 'Prioritize popular tourist spots' is a concise restatement of the gold answer 'Donna will prioritize popular tourist spots for networking.' It captures the complete semantic meaning without adding false or unsupported information.</x:v>
      </x:c>
      <x:c r="L348" s="30" t="str">
        <x:v>LongCat-2.0</x:v>
      </x:c>
      <x:c r="M348" s="30" t="str">
        <x:v>LongCat-2.0</x:v>
      </x:c>
      <x:c r="N348" s="30" t="str">
        <x:v>LongCat-2.0</x:v>
      </x:c>
      <x:c r="O348" s="30" t="str">
        <x:v>LongCat-2.0</x:v>
      </x:c>
    </x:row>
    <x:row r="349" ht="54" customHeight="1">
      <x:c r="A349" s="30" t="str">
        <x:v>memos_long:36</x:v>
      </x:c>
      <x:c r="B349" s="30" t="str">
        <x:v>sufficient</x:v>
      </x:c>
      <x:c r="C349" s="30" t="str">
        <x:v>none</x:v>
      </x:c>
      <x:c r="D349" s="30" t="str">
        <x:v>Evidence 1 directly states that Martin expressed curiosity about integrating heavy metal into his relaxation routine, alongside ambient and jazz music. This explicitly supports both material components of the gold answer (ambient and jazz music) as types of music he might explore next for relaxation. Evidence 2 further supports jazz music as part of his exploratory motivation for unwinding. Together, the evidence fully supports the complete gold answer.</x:v>
      </x:c>
      <x:c r="E349" s="30" t="str">
        <x:v>robust_generation_failure</x:v>
      </x:c>
      <x:c r="F349" s="30" t="str">
        <x:v>hallucination</x:v>
      </x:c>
      <x:c r="G349" s="30" t="str">
        <x:v>The gold answer specifies ambient or jazz music as the next type Martin might explore for relaxation. The model answer includes 'heavy metal,' which contradicts the premise of exploring something new for relaxation and is unsupported by the gold answer, making it a hallucination.</x:v>
      </x:c>
      <x:c r="H349" s="30" t="str">
        <x:v>hallucination</x:v>
      </x:c>
      <x:c r="I349"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J349" s="30" t="str">
        <x:v>hallucination</x:v>
      </x:c>
      <x:c r="K349"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L349" s="30" t="str">
        <x:v>LongCat-2.0</x:v>
      </x:c>
      <x:c r="M349" s="30" t="str">
        <x:v>LongCat-2.0</x:v>
      </x:c>
      <x:c r="N349" s="30" t="str">
        <x:v>LongCat-2.0</x:v>
      </x:c>
      <x:c r="O349" s="30" t="str">
        <x:v>LongCat-2.0</x:v>
      </x:c>
    </x:row>
    <x:row r="350" ht="54" customHeight="1">
      <x:c r="A350" s="30" t="str">
        <x:v>memos_medium:2404</x:v>
      </x:c>
      <x:c r="B350" s="30" t="str">
        <x:v>sufficient</x:v>
      </x:c>
      <x:c r="C350" s="30" t="str"/>
      <x:c r="D350" s="30" t="str">
        <x:v>Evidence 1 explicitly states that Williams Daniel's reading preference is focused on biographies of 18th-century figures, which directly matches the gold answer 'Biographies of 18th-century figures.' The evidence fully supports the material component of the gold answer.</x:v>
      </x:c>
      <x:c r="E350" s="30" t="str">
        <x:v>ua3_representation_or_admission_failure</x:v>
      </x:c>
      <x:c r="F350" s="30" t="str">
        <x:v>correct</x:v>
      </x:c>
      <x:c r="G350" s="30" t="str">
        <x:v>The model answer '18th-century biographies' is semantically equivalent to the gold answer 'Biographies of 18th-century figures.' Both convey the same reading preference with only minor wording differences.</x:v>
      </x:c>
      <x:c r="H350" s="30" t="str">
        <x:v>correct</x:v>
      </x:c>
      <x:c r="I350" s="30" t="str">
        <x:v>The model answer '18th-century biographies' is semantically equivalent to the gold answer 'Biographies of 18th-century figures.' Both convey the same reading preference with only minor wording differences.</x:v>
      </x:c>
      <x:c r="J350" s="30" t="str">
        <x:v>correct</x:v>
      </x:c>
      <x:c r="K350" s="30" t="str">
        <x:v>The model answer '18th-century biographies' is semantically equivalent to the gold answer 'Biographies of 18th-century figures.' Both convey the same reading preference with only minor wording differences.</x:v>
      </x:c>
      <x:c r="L350" s="30" t="str">
        <x:v>LongCat-2.0</x:v>
      </x:c>
      <x:c r="M350" s="30" t="str">
        <x:v>LongCat-2.0</x:v>
      </x:c>
      <x:c r="N350" s="30" t="str">
        <x:v>LongCat-2.0</x:v>
      </x:c>
      <x:c r="O350" s="30" t="str">
        <x:v>LongCat-2.0</x:v>
      </x:c>
    </x:row>
    <x:row r="351" ht="54" customHeight="1">
      <x:c r="A351" s="30" t="str">
        <x:v>memos_medium:2278</x:v>
      </x:c>
      <x:c r="B351" s="30" t="str">
        <x:v>sufficient</x:v>
      </x:c>
      <x:c r="C351" s="30" t="str"/>
      <x:c r="D351" s="30" t="str">
        <x:v>Evidence 1 explicitly states that Williams Daniel seeks advice on efficiently managing research tasks alongside creative work, which directly supports the gold answer 'Seek efficient management advice.' Evidence 2 reinforces this by noting he discussed the challenge of balancing research time with creative project management, confirming the context. Together, the evidence fully supports the material component of the gold answer.</x:v>
      </x:c>
      <x:c r="E351" s="30" t="str">
        <x:v>ua3_representation_or_admission_failure</x:v>
      </x:c>
      <x:c r="F351" s="30" t="str">
        <x:v>correct</x:v>
      </x:c>
      <x:c r="G351" s="30" t="str">
        <x:v>The model answer 'Seek advice on task management' is semantically equivalent to the gold answer 'Seek efficient management advice.' Both convey the same core idea of seeking guidance on managing tasks, with only minor wording differences.</x:v>
      </x:c>
      <x:c r="H351" s="30" t="str">
        <x:v>correct</x:v>
      </x:c>
      <x:c r="I351" s="30" t="str">
        <x:v>The model answer 'Seek advice on task management' is semantically equivalent to the gold answer 'Seek efficient management advice.' Both convey the same core idea of seeking guidance on managing tasks, with only minor wording differences.</x:v>
      </x:c>
      <x:c r="J351" s="30" t="str">
        <x:v>correct</x:v>
      </x:c>
      <x:c r="K351" s="30" t="str">
        <x:v>The model answer 'Seek advice on task management' is semantically equivalent to the gold answer 'Seek efficient management advice.' Both convey the same core idea of seeking guidance on managing tasks, with only minor wording differences.</x:v>
      </x:c>
      <x:c r="L351" s="30" t="str">
        <x:v>LongCat-2.0</x:v>
      </x:c>
      <x:c r="M351" s="30" t="str">
        <x:v>LongCat-2.0</x:v>
      </x:c>
      <x:c r="N351" s="30" t="str">
        <x:v>LongCat-2.0</x:v>
      </x:c>
      <x:c r="O351" s="30" t="str">
        <x:v>LongCat-2.0</x:v>
      </x:c>
    </x:row>
    <x:row r="352" ht="54" customHeight="1">
      <x:c r="A352" s="30" t="str">
        <x:v>memos_long:1865</x:v>
      </x:c>
      <x:c r="B352" s="30" t="str">
        <x:v>sufficient</x:v>
      </x:c>
      <x:c r="C352" s="30" t="str"/>
      <x:c r="D352" s="30" t="str">
        <x:v>Evidence 1 establishes that Michelle's belief in AI's transformative potential drives her optimism about her startup's future. Evidence 2 shows that this belief makes her more confident in her leadership and optimistic about future growth and innovation. Together, these support both material components of the gold answer: 'optimism' (directly stated in both evidences) and 'visionary planning' (derivable from her optimism about future growth and innovation, which implies forward-looking, visionary planning in her leadership style).</x:v>
      </x:c>
      <x:c r="E352" s="30" t="str">
        <x:v>ua3_representation_or_admission_failure</x:v>
      </x:c>
      <x:c r="F352" s="30" t="str">
        <x:v>correct</x:v>
      </x:c>
      <x:c r="G352"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or forward-looking change. The wording differs but the semantics are complete and aligned.</x:v>
      </x:c>
      <x:c r="H352" s="30" t="str">
        <x:v>correct</x:v>
      </x:c>
      <x:c r="I352"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J352" s="30" t="str">
        <x:v>correct</x:v>
      </x:c>
      <x:c r="K352" s="30" t="str">
        <x:v>The model answer 'Optimistic and transformative' captures the core meaning of the gold answer 'It drives optimism and visionary planning.' 'Optimistic' directly corresponds to 'optimism,' and 'transformative' aligns with the forward-looking, change-oriented nature of 'visionary planning.' While more concise, the model answer semantically conveys the complete meaning of the gold answer without contradiction or unsupported claims.</x:v>
      </x:c>
      <x:c r="L352" s="30" t="str">
        <x:v>LongCat-2.0</x:v>
      </x:c>
      <x:c r="M352" s="30" t="str">
        <x:v>LongCat-2.0</x:v>
      </x:c>
      <x:c r="N352" s="30" t="str">
        <x:v>LongCat-2.0</x:v>
      </x:c>
      <x:c r="O352" s="30" t="str">
        <x:v>LongCat-2.0</x:v>
      </x:c>
    </x:row>
    <x:row r="353" ht="54" customHeight="1">
      <x:c r="A353" s="30" t="str">
        <x:v>memos_long:1231</x:v>
      </x:c>
      <x:c r="B353" s="30" t="str">
        <x:v>sufficient</x:v>
      </x:c>
      <x:c r="C353" s="30" t="str"/>
      <x:c r="D353" s="30" t="str">
        <x:v>The gold answer has two material components: (1) leveraging an expanded network and (2) leveraging AI tools. Evidence 1 directly supports the first component by stating Taylor's social relationships have expanded to include ChenLi, a key policy maker in the nutrition sector, with whom he collaborates to implement impactful policy reforms. Evidence 2 directly supports the second component by stating Taylor uses AI tools to analyze data quickly and identify trends, improving efficiency in his advocacy work. Together, both components of the gold answer are fully supported by the evidence.</x:v>
      </x:c>
      <x:c r="E353" s="30" t="str">
        <x:v>robust_generation_failure</x:v>
      </x:c>
      <x:c r="F353" s="30" t="str">
        <x:v>omission</x:v>
      </x:c>
      <x:c r="G353"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H353" s="30" t="str">
        <x:v>omission</x:v>
      </x:c>
      <x:c r="I353" s="30" t="str">
        <x:v>The model answer 'Collaborate with ChenLi' provides a concrete but incomplete and unsupported claim. The gold answer specifies 'Leverage expanded network and AI tools,' which is a broader strategic approach. The model's answer introduces a specific collaborator (ChenLi) that is not mentioned in the gold answer and does not address the key elements of leveraging networks or AI tools, making it an incomplete subset that omits the core components of the gold answer.</x:v>
      </x:c>
      <x:c r="J353" s="30" t="str">
        <x:v>omission</x:v>
      </x:c>
      <x:c r="K353" s="30" t="str">
        <x:v>The model answer 'Collaborate with ChenLi' does not mention leveraging an expanded network or AI tools, which are the core components of the gold answer. It provides a different, incomplete answer without addressing the key strategic elements, and does not add a concrete false claim—it simply omits the required information.</x:v>
      </x:c>
      <x:c r="L353" s="30" t="str">
        <x:v>LongCat-2.0</x:v>
      </x:c>
      <x:c r="M353" s="30" t="str">
        <x:v>LongCat-2.0</x:v>
      </x:c>
      <x:c r="N353" s="30" t="str">
        <x:v>LongCat-2.0</x:v>
      </x:c>
      <x:c r="O353" s="30" t="str">
        <x:v>LongCat-2.0</x:v>
      </x:c>
    </x:row>
    <x:row r="354" ht="54" customHeight="1">
      <x:c r="A354" s="30" t="str">
        <x:v>memos_long:1608</x:v>
      </x:c>
      <x:c r="B354" s="30" t="str">
        <x:v>sufficient</x:v>
      </x:c>
      <x:c r="C354" s="30" t="str"/>
      <x:c r="D354" s="30" t="str">
        <x:v>Evidence 1 directly states that Susan Thompson's employment_status was updated to 'retired', which fully supports the gold answer 'Retired' with no missing components.</x:v>
      </x:c>
      <x:c r="E354" s="30" t="str">
        <x:v>ua3_representation_or_admission_failure</x:v>
      </x:c>
      <x:c r="F354" s="30" t="str">
        <x:v>correct</x:v>
      </x:c>
      <x:c r="G354" s="30" t="str">
        <x:v>The model answer 'Retired' matches the benchmark gold answer exactly, providing the complete and correct information about Susan Thompson's career status.</x:v>
      </x:c>
      <x:c r="H354" s="30" t="str">
        <x:v>correct</x:v>
      </x:c>
      <x:c r="I354" s="30" t="str">
        <x:v>The model answer 'Retired' matches the benchmark gold answer exactly, providing the complete and correct information about Susan Thompson's career status.</x:v>
      </x:c>
      <x:c r="J354" s="30" t="str">
        <x:v>correct</x:v>
      </x:c>
      <x:c r="K354" s="30" t="str">
        <x:v>The model answer 'Retired' matches the benchmark gold answer exactly, providing the complete and correct information about Susan Thompson's career status.</x:v>
      </x:c>
      <x:c r="L354" s="30" t="str">
        <x:v>LongCat-2.0</x:v>
      </x:c>
      <x:c r="M354" s="30" t="str">
        <x:v>LongCat-2.0</x:v>
      </x:c>
      <x:c r="N354" s="30" t="str">
        <x:v>LongCat-2.0</x:v>
      </x:c>
      <x:c r="O354" s="30" t="str">
        <x:v>LongCat-2.0</x:v>
      </x:c>
    </x:row>
    <x:row r="355" ht="54" customHeight="1">
      <x:c r="A355" s="30" t="str">
        <x:v>memos_medium:9</x:v>
      </x:c>
      <x:c r="B355" s="30" t="str">
        <x:v>sufficient</x:v>
      </x:c>
      <x:c r="C355" s="30" t="str">
        <x:v>none</x:v>
      </x:c>
      <x:c r="D355" s="30" t="str">
        <x:v>Evidence 1 supports 'Dogs', Evidence 2 supports 'Cats', and Evidence 3 supports 'Parrots'. Together, all three material components of the gold answer 'Dogs, cats, and parrots' are directly derivable from the provided evidence.</x:v>
      </x:c>
      <x:c r="E355" s="30" t="str">
        <x:v>ua3_representation_or_admission_failure</x:v>
      </x:c>
      <x:c r="F355" s="30" t="str">
        <x:v>correct</x:v>
      </x:c>
      <x:c r="G355" s="30" t="str">
        <x:v>The model answer lists the same three pet types as the gold answer (dogs, cats, and parrots), with only a minor punctuation difference (missing period), which does not affect semantic completeness.</x:v>
      </x:c>
      <x:c r="H355" s="30" t="str">
        <x:v>correct</x:v>
      </x:c>
      <x:c r="I355" s="30" t="str">
        <x:v>The model answer lists the same three pets (dogs, cats, and parrots) as the gold answer, with only a minor punctuation difference (missing period), which does not affect semantic completeness.</x:v>
      </x:c>
      <x:c r="J355" s="30" t="str">
        <x:v>correct</x:v>
      </x:c>
      <x:c r="K355" s="30" t="str">
        <x:v>The model answer lists the same three pet types as the gold answer (dogs, cats, and parrots), with only a minor punctuation difference (missing period), which does not affect semantic completeness.</x:v>
      </x:c>
      <x:c r="L355" s="30" t="str">
        <x:v>LongCat-2.0</x:v>
      </x:c>
      <x:c r="M355" s="30" t="str">
        <x:v>LongCat-2.0</x:v>
      </x:c>
      <x:c r="N355" s="30" t="str">
        <x:v>LongCat-2.0</x:v>
      </x:c>
      <x:c r="O355" s="30" t="str">
        <x:v>LongCat-2.0</x:v>
      </x:c>
    </x:row>
    <x:row r="356" ht="54" customHeight="1">
      <x:c r="A356" s="30" t="str">
        <x:v>memos_medium:2527</x:v>
      </x:c>
      <x:c r="B356" s="30" t="str">
        <x:v>sufficient</x:v>
      </x:c>
      <x:c r="C356" s="30" t="str"/>
      <x:c r="D356" s="30" t="str">
        <x:v>Evidence 1 directly states that Steven Miller adopted mindfulness practices to reduce stress, which matches the gold answer exactly. The evidence also confirms the purpose (to reduce stress) aligns with the question, and no additional material components are missing.</x:v>
      </x:c>
      <x:c r="E356" s="30" t="str">
        <x:v>ua3_representation_or_admission_failure</x:v>
      </x:c>
      <x:c r="F356" s="30" t="str">
        <x:v>correct</x:v>
      </x:c>
      <x:c r="G356" s="30" t="str">
        <x:v>The model answer 'Mindfulness practices' exactly matches the benchmark gold answer 'Mindfulness practices', providing the complete and correct information.</x:v>
      </x:c>
      <x:c r="H356" s="30" t="str">
        <x:v>correct</x:v>
      </x:c>
      <x:c r="I356" s="30" t="str">
        <x:v>The model answer 'Mindfulness practices' exactly matches the benchmark gold answer 'Mindfulness practices', providing the complete and correct information.</x:v>
      </x:c>
      <x:c r="J356" s="30" t="str">
        <x:v>correct</x:v>
      </x:c>
      <x:c r="K356" s="30" t="str">
        <x:v>The model answer 'Mindfulness practices' exactly matches the benchmark gold answer 'Mindfulness practices', providing the complete and correct information.</x:v>
      </x:c>
      <x:c r="L356" s="30" t="str">
        <x:v>LongCat-2.0</x:v>
      </x:c>
      <x:c r="M356" s="30" t="str">
        <x:v>LongCat-2.0</x:v>
      </x:c>
      <x:c r="N356" s="30" t="str">
        <x:v>LongCat-2.0</x:v>
      </x:c>
      <x:c r="O356" s="30" t="str">
        <x:v>LongCat-2.0</x:v>
      </x:c>
    </x:row>
    <x:row r="357" ht="54" customHeight="1">
      <x:c r="A357" s="30" t="str">
        <x:v>memos_long:3075</x:v>
      </x:c>
      <x:c r="B357" s="30" t="str">
        <x:v>sufficient</x:v>
      </x:c>
      <x:c r="C357" s="30" t="str"/>
      <x:c r="D357" s="30" t="str">
        <x:v>The gold answer states that Karen's strategic partnerships 'facilitated advancements in features and scalability.' Evidence 2 directly states that her strategic partnership with Innovate Property Tech 'enhanced her platform's features and scalability,' which fully supports both material components of the gold answer (advancements in features and scalability). Evidence 1 and 3 provide additional context about the partnerships and their positive impact. The complete gold answer is directly derivable from the evidence.</x:v>
      </x:c>
      <x:c r="E357" s="30" t="str">
        <x:v>ua3_representation_or_admission_failure</x:v>
      </x:c>
      <x:c r="F357" s="30" t="str">
        <x:v>correct</x:v>
      </x:c>
      <x:c r="G357" s="30" t="str">
        <x:v>The model answer 'Enhanced features and scalability' semantically captures the complete meaning of the gold answer 'They facilitated advancements in features and scalability.' Both convey that the partnerships led to improvements in features and scalability, with only minor wording differences.</x:v>
      </x:c>
      <x:c r="H357" s="30" t="str">
        <x:v>correct</x:v>
      </x:c>
      <x:c r="I357" s="30" t="str">
        <x:v>The model answer 'Enhanced features and scalability' captures the complete semantic meaning of the gold answer 'They facilitated advancements in features and scalability.' Both convey that the partnerships led to improvements in features and scalability, with only minor wording differences.</x:v>
      </x:c>
      <x:c r="J357" s="30" t="str">
        <x:v>correct</x:v>
      </x:c>
      <x:c r="K357" s="30" t="str">
        <x:v>The model answer 'Enhanced features and scalability' semantically captures the complete meaning of the gold answer 'They facilitated advancements in features and scalability,' with only minor wording differences and no missing or contradictory information.</x:v>
      </x:c>
      <x:c r="L357" s="30" t="str">
        <x:v>LongCat-2.0</x:v>
      </x:c>
      <x:c r="M357" s="30" t="str">
        <x:v>LongCat-2.0</x:v>
      </x:c>
      <x:c r="N357" s="30" t="str">
        <x:v>LongCat-2.0</x:v>
      </x:c>
      <x:c r="O357" s="30" t="str">
        <x:v>LongCat-2.0</x:v>
      </x:c>
    </x:row>
    <x:row r="358" ht="54" customHeight="1">
      <x:c r="A358" s="30" t="str">
        <x:v>memos_medium:1717</x:v>
      </x:c>
      <x:c r="B358" s="30" t="str">
        <x:v>sufficient</x:v>
      </x:c>
      <x:c r="C358" s="30" t="str"/>
      <x:c r="D358" s="30" t="str">
        <x:v>Evidence 3 directly states Susan explored 'lactose-free and plant-based alternatives,' and Evidence 2 notes her motivation to find 'suitable dietary alternatives.' Together, these support 'plant-based' (explicitly mentioned) and 'other health-focused alternatives' (implied by her health-focused motivation and adaptability in her wellness journey). All material components of the gold answer are derivable.</x:v>
      </x:c>
      <x:c r="E358" s="30" t="str">
        <x:v>robust_generation_failure</x:v>
      </x:c>
      <x:c r="F358" s="30" t="str">
        <x:v>hallucination</x:v>
      </x:c>
      <x:c r="G358" s="30" t="str">
        <x:v>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partial answer.</x:v>
      </x:c>
      <x:c r="H358" s="30" t="str">
        <x:v>hallucination</x:v>
      </x:c>
      <x:c r="I358" s="30" t="str">
        <x:v>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omitted answer.</x:v>
      </x:c>
      <x:c r="J358" s="30" t="str">
        <x:v>omission</x:v>
      </x:c>
      <x:c r="K358" s="30" t="str">
        <x:v>The model answer mentions 'lactose-free and plant-based alternatives.' While 'plant-based' is part of the gold answer, 'lactose-free' is not mentioned in the gold answer and is not a concrete false claim that contradicts it, but the model answer omits the broader 'other health-focused alternatives' category from the gold answer, providing only an incomplete subset.</x:v>
      </x:c>
      <x:c r="L358" s="30" t="str">
        <x:v>LongCat-2.0</x:v>
      </x:c>
      <x:c r="M358" s="30" t="str">
        <x:v>LongCat-2.0</x:v>
      </x:c>
      <x:c r="N358" s="30" t="str">
        <x:v>LongCat-2.0</x:v>
      </x:c>
      <x:c r="O358" s="30" t="str">
        <x:v>LongCat-2.0</x:v>
      </x:c>
    </x:row>
    <x:row r="359" ht="54" customHeight="1">
      <x:c r="A359" s="30" t="str">
        <x:v>memos_long:2410</x:v>
      </x:c>
      <x:c r="B359" s="30" t="str">
        <x:v>partial</x:v>
      </x:c>
      <x:c r="C359" s="30" t="str">
        <x:v>The evidence does not specify that the beverage is 'tea' — it only mentions 'traditional beverages' generally and references bubble tea as a past experience, but does not establish that Williams Daniel would explore traditional tea specifically next.</x:v>
      </x:c>
      <x:c r="D359" s="30" t="str">
        <x:v>The gold answer has two material components: (1) 'traditional tea' and (2) 'artisanal qualities'. Evidence 1 supports the artisanal qualities component by stating Williams Daniel is interested in exploring artisanal aspects of traditional beverages. Evidence 2 and 3 reference bubble tea, which is a type of tea, but they describe past experiences rather than what he might explore next. The evidence supports 'artisanal qualities' and 'traditional beverages' generally, but does not specifically establish 'traditional tea' as the next beverage to explore. Therefore, only some material components are supported.</x:v>
      </x:c>
      <x:c r="E359" s="30" t="str">
        <x:v>evidence_definition_failure</x:v>
      </x:c>
      <x:c r="F359" s="30" t="str">
        <x:v>omission</x:v>
      </x:c>
      <x:c r="G359" s="30" t="str">
        <x:v>The model answer 'Traditional artisanal beverages' is broader and less specific than the gold answer 'Traditional tea with artisanal qualities.' While it captures the general theme, it omits the specific beverage type (tea) that is central to the gold answer, making it an incomplete subset.</x:v>
      </x:c>
      <x:c r="H359" s="30" t="str">
        <x:v>omission</x:v>
      </x:c>
      <x:c r="I359" s="30" t="str">
        <x:v>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x:v>
      </x:c>
      <x:c r="J359" s="30" t="str">
        <x:v>omission</x:v>
      </x:c>
      <x:c r="K359" s="30" t="str">
        <x:v>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x:v>
      </x:c>
      <x:c r="L359" s="30" t="str">
        <x:v>LongCat-2.0</x:v>
      </x:c>
      <x:c r="M359" s="30" t="str">
        <x:v>LongCat-2.0</x:v>
      </x:c>
      <x:c r="N359" s="30" t="str">
        <x:v>LongCat-2.0</x:v>
      </x:c>
      <x:c r="O359" s="30" t="str">
        <x:v>LongCat-2.0</x:v>
      </x:c>
    </x:row>
    <x:row r="360" ht="54" customHeight="1">
      <x:c r="A360" s="30" t="str">
        <x:v>memos_long:2803</x:v>
      </x:c>
      <x:c r="B360" s="30" t="str">
        <x:v>sufficient</x:v>
      </x:c>
      <x:c r="C360" s="30" t="str"/>
      <x:c r="D360" s="30" t="str">
        <x:v>The gold answer is 'Increased Stress'. Evidence 1 explicitly states that Donald Smith's health status changed and that the demands of his role and pressure to perform have increased his stress levels, impacting his mental well-being. This directly supports and fully derives the complete gold answer, covering the material component of his latest health status as increased stress.</x:v>
      </x:c>
      <x:c r="E360" s="30" t="str">
        <x:v>ua3_representation_or_admission_failure</x:v>
      </x:c>
      <x:c r="F360" s="30" t="str">
        <x:v>correct</x:v>
      </x:c>
      <x:c r="G360" s="30" t="str">
        <x:v>The model answer 'Stress impacting mental well-being' semantically conveys the same core information as the gold answer 'Increased Stress' — both indicate that stress is the relevant health status. The wording differs but the meaning is preserved without adding false or unsupported claims.</x:v>
      </x:c>
      <x:c r="H360" s="30" t="str">
        <x:v>correct</x:v>
      </x:c>
      <x:c r="I360" s="30" t="str">
        <x:v>The model answer 'Stress impacting mental well-being' semantically conveys the same core information as the gold answer 'Increased Stress'—both indicate that stress is the relevant health status. The wording differs but the meaning is preserved without contradiction or unsupported claims.</x:v>
      </x:c>
      <x:c r="J360" s="30" t="str">
        <x:v>correct</x:v>
      </x:c>
      <x:c r="K360" s="30" t="str">
        <x:v>The model answer 'Stress impacting mental well-being' semantically conveys the same core information as the gold answer 'Increased Stress'—both indicate that stress is the relevant health status. The wording differs but the meaning is preserved without adding false or unsupported claims.</x:v>
      </x:c>
      <x:c r="L360" s="30" t="str">
        <x:v>LongCat-2.0</x:v>
      </x:c>
      <x:c r="M360" s="30" t="str">
        <x:v>LongCat-2.0</x:v>
      </x:c>
      <x:c r="N360" s="30" t="str">
        <x:v>LongCat-2.0</x:v>
      </x:c>
      <x:c r="O360" s="30" t="str">
        <x:v>LongCat-2.0</x:v>
      </x:c>
    </x:row>
    <x:row r="361" ht="54" customHeight="1">
      <x:c r="A361" s="30" t="str">
        <x:v>memos_medium:157</x:v>
      </x:c>
      <x:c r="B361" s="30" t="str">
        <x:v>partial</x:v>
      </x:c>
      <x:c r="C361" s="30" t="str">
        <x:v>The evidence does not specify the date (Aug 03, 2035) on which Martin Mark expressed enthusiasm.</x:v>
      </x:c>
      <x:c r="D361" s="30" t="str">
        <x:v>Evidence 1 confirms that Martin Mark expressed enthusiasm about integrating insights on feline communication into his pet preferences, which directly supports the core claim in the gold answer. However, the evidence contains no temporal information whatsoever, so the specific date of Aug 03, 2035 cannot be verified or derived from the provided evidence. Since the date is a material component of the gold answer, the evidence is only partially sufficient.</x:v>
      </x:c>
      <x:c r="E361" s="30" t="str">
        <x:v>evidence_definition_failure</x:v>
      </x:c>
      <x:c r="F361" s="30" t="str">
        <x:v>omission</x:v>
      </x:c>
      <x:c r="G361" s="30" t="str">
        <x:v>The model answer 'No' correctly denies that Martin Mark expressed disinterest, but it omits the key information from the gold answer that he expressed enthusiasm about integrating the insights. This makes it an incomplete subset of the gold answer.</x:v>
      </x:c>
      <x:c r="H361" s="30" t="str">
        <x:v>omission</x:v>
      </x:c>
      <x:c r="I361" s="30" t="str">
        <x:v>The model answer 'No' correctly denies that Martin Mark expressed disinterest, but it omits the key detail from the gold answer that he expressed enthusiasm about integrating the insights. This makes it an incomplete subset of the gold answer.</x:v>
      </x:c>
      <x:c r="J361" s="30" t="str">
        <x:v>omission</x:v>
      </x:c>
      <x:c r="K361" s="30" t="str">
        <x:v>The model answer 'No' correctly negates the disinterest claim but omits the key positive detail from the gold answer that Martin Mark expressed enthusiasm about integrating the insights. This makes it an incomplete subset of the gold answer.</x:v>
      </x:c>
      <x:c r="L361" s="30" t="str">
        <x:v>LongCat-2.0</x:v>
      </x:c>
      <x:c r="M361" s="30" t="str">
        <x:v>LongCat-2.0</x:v>
      </x:c>
      <x:c r="N361" s="30" t="str">
        <x:v>LongCat-2.0</x:v>
      </x:c>
      <x:c r="O361" s="30" t="str">
        <x:v>LongCat-2.0</x:v>
      </x:c>
    </x:row>
    <x:row r="362" ht="54" customHeight="1">
      <x:c r="A362" s="30" t="str">
        <x:v>memos_long:2632</x:v>
      </x:c>
      <x:c r="B362" s="30" t="str">
        <x:v>sufficient</x:v>
      </x:c>
      <x:c r="C362" s="30" t="str">
        <x:v>None. The gold answer 'Expanded significantly with new contacts' is directly supported by Evidence 1 ('significantly expanded his professional network'), Evidence 2 ('expanded significantly, including a new contact'), and Evidence 3 ('leveraging new professional connections'). All material components — the significant expansion and the addition of new contacts — are explicitly stated across the evidence.</x:v>
      </x:c>
      <x:c r="D362" s="30" t="str">
        <x:v>The gold answer has two material components: (1) the network expanded significantly, and (2) new contacts were added. Evidence 1 directly states the network 'significantly expanded.' Evidence 2 confirms the significant expansion and explicitly mentions 'a new contact.' Evidence 3 reinforces the presence of 'new professional connections.' Together, these fully support every material component of the gold answer.</x:v>
      </x:c>
      <x:c r="E362" s="30" t="str">
        <x:v>robust_generation_failure</x:v>
      </x:c>
      <x:c r="F362" s="30" t="str">
        <x:v>omission</x:v>
      </x:c>
      <x:c r="G362" s="30" t="str">
        <x:v>The model answer states that Oleksandr expanded his professional network, but omits the key detail 'significantly with new contacts' from the gold answer, making it an incomplete subset.</x:v>
      </x:c>
      <x:c r="H362" s="30" t="str">
        <x:v>omission</x:v>
      </x:c>
      <x:c r="I362" s="30" t="str">
        <x:v>The model answer states that Oleksandr expanded his professional network, but omits the key detail 'significantly with new contacts' from the gold answer. While not factually incorrect, it provides only an incomplete subset of the gold answer's information.</x:v>
      </x:c>
      <x:c r="J362" s="30" t="str">
        <x:v>omission</x:v>
      </x:c>
      <x:c r="K362" s="30" t="str">
        <x:v>The model answer states that Oleksandr expanded his professional network, but omits the key detail 'significantly with new contacts' from the gold answer, making it an incomplete subset.</x:v>
      </x:c>
      <x:c r="L362" s="30" t="str">
        <x:v>LongCat-2.0</x:v>
      </x:c>
      <x:c r="M362" s="30" t="str">
        <x:v>LongCat-2.0</x:v>
      </x:c>
      <x:c r="N362" s="30" t="str">
        <x:v>LongCat-2.0</x:v>
      </x:c>
      <x:c r="O362" s="30" t="str">
        <x:v>LongCat-2.0</x:v>
      </x:c>
    </x:row>
    <x:row r="363" ht="54" customHeight="1">
      <x:c r="A363" s="30" t="str">
        <x:v>memos_long:3197</x:v>
      </x:c>
      <x:c r="B363" s="30" t="str">
        <x:v>partial</x:v>
      </x:c>
      <x:c r="C363" s="30" t="str">
        <x:v>The evidence does not specify which genres (fantasy or sci-fi) Barbara could explore; it only mentions fictional content and different genres in general.</x:v>
      </x:c>
      <x:c r="D363" s="30" t="str">
        <x:v>The gold answer specifies 'Fantasy or sci-fi genres' as the type of fictional content Barbara could explore. The evidence establishes that Barbara shifted to fictional content for mental relaxation and creative stimulation, and that she is excited about exploring different genres of fiction for personal and professional growth. However, none of the evidence mentions fantasy or sci-fi specifically. While the evidence supports that Barbara explores fictional content and different genres, it does not support the specific genre types named in the gold answer. Therefore, only some material components (fictional content, different genres) are supported, but the specific genres (fantasy or sci-fi) are not.</x:v>
      </x:c>
      <x:c r="E363" s="30" t="str">
        <x:v>evidence_definition_failure</x:v>
      </x:c>
      <x:c r="F363" s="30" t="str">
        <x:v>omission</x:v>
      </x:c>
      <x:c r="G363" s="30" t="str">
        <x:v>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x:v>
      </x:c>
      <x:c r="H363" s="30" t="str">
        <x:v>omission</x:v>
      </x:c>
      <x:c r="I363" s="30" t="str">
        <x:v>The gold answer specifies 'Fantasy or sci-fi genres' as the type of fictional content. The model answer 'Fictional movies' is too vague and does not provide the specific genres required by the gold answer, making it an incomplete subset without adding a concrete false claim.</x:v>
      </x:c>
      <x:c r="J363" s="30" t="str">
        <x:v>omission</x:v>
      </x:c>
      <x:c r="K363" s="30" t="str">
        <x:v>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x:v>
      </x:c>
      <x:c r="L363" s="30" t="str">
        <x:v>LongCat-2.0</x:v>
      </x:c>
      <x:c r="M363" s="30" t="str">
        <x:v>LongCat-2.0</x:v>
      </x:c>
      <x:c r="N363" s="30" t="str">
        <x:v>LongCat-2.0</x:v>
      </x:c>
      <x:c r="O363" s="30" t="str">
        <x:v>LongCat-2.0</x:v>
      </x:c>
    </x:row>
    <x:row r="364" ht="54" customHeight="1">
      <x:c r="A364" s="30" t="str">
        <x:v>memos_medium:210</x:v>
      </x:c>
      <x:c r="B364" s="30" t="str">
        <x:v>sufficient</x:v>
      </x:c>
      <x:c r="C364" s="30" t="str"/>
      <x:c r="D364" s="30" t="str">
        <x:v>Evidence 1 directly states that Johnson Joseph adopted mindfulness practices and scheduled downtime to manage stress effectively. This matches both material components of the gold answer: 'mindfulness practices' and 'scheduled downtime.' No additional information is needed to derive the complete gold answer.</x:v>
      </x:c>
      <x:c r="E364" s="30" t="str">
        <x:v>ua3_representation_or_admission_failure</x:v>
      </x:c>
      <x:c r="F364" s="30" t="str">
        <x:v>correct</x:v>
      </x:c>
      <x:c r="G364"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H364" s="30" t="str">
        <x:v>correct</x:v>
      </x:c>
      <x:c r="I364" s="30" t="str">
        <x:v>The model answer 'Mindfulness and scheduled downtime' semantically captures the complete gold answer 'Mindfulness practices and scheduled downtime.' The omission of the word 'practices' does not change the meaning or introduce any false claim, and both key components (mindfulness and scheduled downtime) are fully present.</x:v>
      </x:c>
      <x:c r="J364" s="30" t="str">
        <x:v>correct</x:v>
      </x:c>
      <x:c r="K364" s="30" t="str">
        <x:v>The model answer 'Mindfulness and scheduled downtime' semantically captures the complete gold answer 'Mindfulness practices and scheduled downtime.' The omission of the word 'practices' does not change the meaning, and both key elements (mindfulness and scheduled downtime) are fully present.</x:v>
      </x:c>
      <x:c r="L364" s="30" t="str">
        <x:v>LongCat-2.0</x:v>
      </x:c>
      <x:c r="M364" s="30" t="str">
        <x:v>LongCat-2.0</x:v>
      </x:c>
      <x:c r="N364" s="30" t="str">
        <x:v>LongCat-2.0</x:v>
      </x:c>
      <x:c r="O364" s="30" t="str">
        <x:v>LongCat-2.0</x:v>
      </x:c>
    </x:row>
    <x:row r="365" ht="54" customHeight="1">
      <x:c r="A365" s="30" t="str">
        <x:v>memos_long:70</x:v>
      </x:c>
      <x:c r="B365" s="30" t="str">
        <x:v>sufficient</x:v>
      </x:c>
      <x:c r="C365" s="30" t="str">
        <x:v>none</x:v>
      </x:c>
      <x:c r="D365" s="30" t="str">
        <x:v>Evidence 1 directly states that Martin explores new smoothie ingredients including chia seeds, spirulina, and goji berries. Evidence 2 shows his motivation is to sustain energy levels, and Evidence 3 confirms his interest in using superfood smoothies for high-demand activities. Together, these three components of the gold answer (chia seeds, spirulina, goji berries) are explicitly supported, and the context of high-energy/high-demand activities aligns with the question's scenario.</x:v>
      </x:c>
      <x:c r="E365" s="30" t="str">
        <x:v>robust_generation_failure</x:v>
      </x:c>
      <x:c r="F365" s="30" t="str">
        <x:v>omission</x:v>
      </x:c>
      <x:c r="G365" s="30" t="str">
        <x:v>The model answer 'Add superfood ingredients' is vague and does not specify the concrete ingredients (chia seeds, spirulina, and goji berries) required by the gold answer. It provides only an incomplete, generic subset without adding a false claim.</x:v>
      </x:c>
      <x:c r="H365" s="30" t="str">
        <x:v>omission</x:v>
      </x:c>
      <x:c r="I365" s="30" t="str">
        <x:v>The model answer 'Add superfood ingredients' is too vague and does not specify the concrete ingredients (chia seeds, spirulina, and goji berries) required by the gold answer. It provides only an incomplete subset without adding a false claim, so it qualifies as an omission.</x:v>
      </x:c>
      <x:c r="J365" s="30" t="str">
        <x:v>omission</x:v>
      </x:c>
      <x:c r="K365" s="30" t="str">
        <x:v>The model answer 'Add superfood ingredients' is vague and does not specify the concrete ingredients (chia seeds, spirulina, goji berries) required by the gold answer. It provides only an incomplete subset without adding a false claim, so it qualifies as an omission.</x:v>
      </x:c>
      <x:c r="L365" s="30" t="str">
        <x:v>LongCat-2.0</x:v>
      </x:c>
      <x:c r="M365" s="30" t="str">
        <x:v>LongCat-2.0</x:v>
      </x:c>
      <x:c r="N365" s="30" t="str">
        <x:v>LongCat-2.0</x:v>
      </x:c>
      <x:c r="O365" s="30" t="str">
        <x:v>LongCat-2.0</x:v>
      </x:c>
    </x:row>
    <x:row r="366" ht="54" customHeight="1">
      <x:c r="A366" s="30" t="str">
        <x:v>memos_long:3435</x:v>
      </x:c>
      <x:c r="B366" s="30" t="str">
        <x:v>sufficient</x:v>
      </x:c>
      <x:c r="C366" s="30" t="str"/>
      <x:c r="D366" s="30" t="str">
        <x:v>The gold answer states Christopher may explore home-based or flexible wellness practices. Evidence 1 shows he ceased formal yoga due to increased commitments, Evidence 2 shows he adopted a flexible, unstructured yoga practice at home, and Evidence 3 shows he plans to explore alternative wellness practices to balance commitments with health. Together, these directly support both 'home-based' and 'flexible' components of the gold answer, fully covering all material components.</x:v>
      </x:c>
      <x:c r="E366" s="30" t="str">
        <x:v>robust_generation_failure</x:v>
      </x:c>
      <x:c r="F366" s="30" t="str">
        <x:v>omission</x:v>
      </x:c>
      <x:c r="G366" s="30" t="str">
        <x:v>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x:v>
      </x:c>
      <x:c r="H366" s="30" t="str">
        <x:v>omission</x:v>
      </x:c>
      <x:c r="I366" s="30" t="str">
        <x:v>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x:v>
      </x:c>
      <x:c r="J366" s="30" t="str">
        <x:v>omission</x:v>
      </x:c>
      <x:c r="K366" s="30" t="str">
        <x:v>The model answer 'Alternative wellness practices' is extremely vague and does not provide the specific information contained in the gold answer, which mentions 'home-based or flexible wellness practices.' The model answer gives only an incomplete subset without adding concrete details, making it an omission.</x:v>
      </x:c>
      <x:c r="L366" s="30" t="str">
        <x:v>LongCat-2.0</x:v>
      </x:c>
      <x:c r="M366" s="30" t="str">
        <x:v>LongCat-2.0</x:v>
      </x:c>
      <x:c r="N366" s="30" t="str">
        <x:v>LongCat-2.0</x:v>
      </x:c>
      <x:c r="O366" s="30" t="str">
        <x:v>LongCat-2.0</x:v>
      </x:c>
    </x:row>
    <x:row r="367" ht="54" customHeight="1">
      <x:c r="A367" s="30" t="str">
        <x:v>memos_medium:1199</x:v>
      </x:c>
      <x:c r="B367" s="30" t="str">
        <x:v>sufficient</x:v>
      </x:c>
      <x:c r="C367" s="30" t="str"/>
      <x:c r="D367" s="30" t="str">
        <x:v>Evidence 1 directly states that Taylor David's clothing preference has shifted from disliking harsh fabrics to accepting them if they are treated with innovative softening technology. This fully supports the gold answer 'Accepting harsh fabrics if treated with softening technology,' covering both material components: (1) acceptance of harsh fabrics and (2) the condition of softening technology treatment.</x:v>
      </x:c>
      <x:c r="E367" s="30" t="str">
        <x:v>ua3_representation_or_admission_failure</x:v>
      </x:c>
      <x:c r="F367" s="30" t="str">
        <x:v>correct</x:v>
      </x:c>
      <x:c r="G367"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H367" s="30" t="str">
        <x:v>correct</x:v>
      </x:c>
      <x:c r="I367"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J367" s="30" t="str">
        <x:v>correct</x:v>
      </x:c>
      <x:c r="K367"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L367" s="30" t="str">
        <x:v>LongCat-2.0</x:v>
      </x:c>
      <x:c r="M367" s="30" t="str">
        <x:v>LongCat-2.0</x:v>
      </x:c>
      <x:c r="N367" s="30" t="str">
        <x:v>LongCat-2.0</x:v>
      </x:c>
      <x:c r="O367" s="30" t="str">
        <x:v>LongCat-2.0</x:v>
      </x:c>
    </x:row>
    <x:row r="368" ht="54" customHeight="1">
      <x:c r="A368" s="30" t="str">
        <x:v>memos_medium:1214</x:v>
      </x:c>
      <x:c r="B368" s="30" t="str">
        <x:v>sufficient</x:v>
      </x:c>
      <x:c r="C368" s="30" t="str"/>
      <x:c r="D368" s="30" t="str">
        <x:v>Evidence 1 directly states that Taylor David's instrumental motivation involves using AI tools to improve efficiency and solve practical problems related to global nutrition initiatives. This fully supports both material components of the gold answer: 'improving efficiency' and 'solving practical problems'. Evidence 2 provides additional context about his leadership approach but is not needed to derive the gold answer. The complete gold answer is directly derivable from the evidence.</x:v>
      </x:c>
      <x:c r="E368" s="30" t="str">
        <x:v>ua3_representation_or_admission_failure</x:v>
      </x:c>
      <x:c r="F368" s="30" t="str">
        <x:v>correct</x:v>
      </x:c>
      <x:c r="G368" s="30" t="str">
        <x:v>The model answer 'Improved efficiency and problem-solving' semantically captures the complete gold answer 'Improving efficiency and solving practical problems'. The wording differs slightly but conveys the same meaning without adding false or unsupported claims.</x:v>
      </x:c>
      <x:c r="H368" s="30" t="str">
        <x:v>correct</x:v>
      </x:c>
      <x:c r="I368" s="30" t="str">
        <x:v>The model answer 'Improved efficiency and problem-solving' semantically captures the complete gold answer 'Improving efficiency and solving practical problems'. Both convey the same two key roles: efficiency improvement and problem-solving, with only minor wording differences.</x:v>
      </x:c>
      <x:c r="J368" s="30" t="str">
        <x:v>correct</x:v>
      </x:c>
      <x:c r="K368" s="30" t="str">
        <x:v>The model answer 'Improved efficiency and problem-solving' semantically captures the complete gold answer 'Improving efficiency and solving practical problems'. Both convey the same two core ideas: efficiency improvement and problem-solving, with only minor wording differences ('improved' vs 'improving', 'problem-solving' vs 'solving practical problems'). No information is omitted or contradicted.</x:v>
      </x:c>
      <x:c r="L368" s="30" t="str">
        <x:v>LongCat-2.0</x:v>
      </x:c>
      <x:c r="M368" s="30" t="str">
        <x:v>LongCat-2.0</x:v>
      </x:c>
      <x:c r="N368" s="30" t="str">
        <x:v>LongCat-2.0</x:v>
      </x:c>
      <x:c r="O368" s="30" t="str">
        <x:v>LongCat-2.0</x:v>
      </x:c>
    </x:row>
    <x:row r="369" ht="54" customHeight="1">
      <x:c r="A369" s="30" t="str">
        <x:v>memos_long:994</x:v>
      </x:c>
      <x:c r="B369" s="30" t="str">
        <x:v>sufficient</x:v>
      </x:c>
      <x:c r="C369" s="30" t="str"/>
      <x:c r="D369" s="30" t="str">
        <x:v>Evidence 1 directly states that Williams Donna's monthly income changed from 12,500 yuan to zero due to her transition to self-employment. This fully supports both material components of the gold answer: the starting income (12,500 yuan) and the ending income (zero). Evidence 2 corroborates the career transition context. No information is missing.</x:v>
      </x:c>
      <x:c r="E369" s="30" t="str">
        <x:v>robust_generation_failure</x:v>
      </x:c>
      <x:c r="F369" s="30" t="str">
        <x:v>omission</x:v>
      </x:c>
      <x:c r="G369" s="30" t="str">
        <x:v>The model answer states that income dropped to zero, which is part of the gold answer, but it omits the starting value of 12,500 yuan. Since it provides only an incomplete subset of the gold answer without adding a false claim, it is classified as omission.</x:v>
      </x:c>
      <x:c r="H369" s="30" t="str">
        <x:v>omission</x:v>
      </x:c>
      <x:c r="I369" s="30" t="str">
        <x:v>The model answer states that income dropped to zero but omits the starting value of 12,500 yuan, providing only an incomplete subset of the gold answer.</x:v>
      </x:c>
      <x:c r="J369" s="30" t="str">
        <x:v>omission</x:v>
      </x:c>
      <x:c r="K369" s="30" t="str">
        <x:v>The model answer states that income dropped to zero but omits the starting value of 12,500 yuan, providing only an incomplete subset of the gold answer.</x:v>
      </x:c>
      <x:c r="L369" s="30" t="str">
        <x:v>LongCat-2.0</x:v>
      </x:c>
      <x:c r="M369" s="30" t="str">
        <x:v>LongCat-2.0</x:v>
      </x:c>
      <x:c r="N369" s="30" t="str">
        <x:v>LongCat-2.0</x:v>
      </x:c>
      <x:c r="O369" s="30" t="str">
        <x:v>LongCat-2.0</x:v>
      </x:c>
    </x:row>
    <x:row r="370" ht="54" customHeight="1">
      <x:c r="A370" s="30" t="str">
        <x:v>memos_medium:2423</x:v>
      </x:c>
      <x:c r="B370" s="30" t="str">
        <x:v>sufficient</x:v>
      </x:c>
      <x:c r="C370" s="30" t="str"/>
      <x:c r="D370" s="30" t="str">
        <x:v>Evidence 2 directly states that Williams Daniel expressed excitement about 'revisiting creative ideas without industry constraints,' which matches the gold answer verbatim. Evidence 1 provides supporting context that he began focusing on personal projects after retiring from active filmmaking, establishing the timeframe and nature of his activities. Together, the evidence fully supports every material component of the gold answer.</x:v>
      </x:c>
      <x:c r="E370" s="30" t="str">
        <x:v>robust_generation_failure</x:v>
      </x:c>
      <x:c r="F370" s="30" t="str">
        <x:v>hallucination</x:v>
      </x:c>
      <x:c r="G370" s="30" t="str">
        <x:v>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x:v>
      </x:c>
      <x:c r="H370" s="30" t="str">
        <x:v>hallucination</x:v>
      </x:c>
      <x:c r="I370" s="30" t="str">
        <x:v>The gold answer states the focus is 'Revisiting creative ideas without industry constraints,' while the model answer replaces 'Revisiting creative ideas' with 'Storytelling.' Storytelling is a specific, concrete claim that is not supported by the gold answer and alters the meaning, making it a hallucination rather than a semantically equivalent rephrasing.</x:v>
      </x:c>
      <x:c r="J370" s="30" t="str">
        <x:v>hallucination</x:v>
      </x:c>
      <x:c r="K370" s="30" t="str">
        <x:v>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x:v>
      </x:c>
      <x:c r="L370" s="30" t="str">
        <x:v>LongCat-2.0</x:v>
      </x:c>
      <x:c r="M370" s="30" t="str">
        <x:v>LongCat-2.0</x:v>
      </x:c>
      <x:c r="N370" s="30" t="str">
        <x:v>LongCat-2.0</x:v>
      </x:c>
      <x:c r="O370" s="30" t="str">
        <x:v>LongCat-2.0</x:v>
      </x:c>
    </x:row>
    <x:row r="371" ht="54" customHeight="1">
      <x:c r="A371" s="30" t="str">
        <x:v>memos_long:2562</x:v>
      </x:c>
      <x:c r="B371" s="30" t="str">
        <x:v>sufficient</x:v>
      </x:c>
      <x:c r="C371" s="30" t="str"/>
      <x:c r="D371" s="30" t="str">
        <x:v>Evidence 1 directly states that Steven Miller highlighted the need for balance between innovation and practicality when managing multiple innovative projects simultaneously. This fully supports the gold answer 'Balance innovation with practicality.' Evidence 2 provides additional context about his fulfillment in seeing innovative tech projects come to life, which is consistent with the persona. Together, the evidence contains all material components of the gold answer.</x:v>
      </x:c>
      <x:c r="E371" s="30" t="str">
        <x:v>ua3_representation_or_admission_failure</x:v>
      </x:c>
      <x:c r="F371" s="30" t="str">
        <x:v>correct</x:v>
      </x:c>
      <x:c r="G371"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H371" s="30" t="str">
        <x:v>correct</x:v>
      </x:c>
      <x:c r="I371"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J371" s="30" t="str">
        <x:v>correct</x:v>
      </x:c>
      <x:c r="K371"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L371" s="30" t="str">
        <x:v>LongCat-2.0</x:v>
      </x:c>
      <x:c r="M371" s="30" t="str">
        <x:v>LongCat-2.0</x:v>
      </x:c>
      <x:c r="N371" s="30" t="str">
        <x:v>LongCat-2.0</x:v>
      </x:c>
      <x:c r="O371" s="30" t="str">
        <x:v>LongCat-2.0</x:v>
      </x:c>
    </x:row>
    <x:row r="372" ht="54" customHeight="1">
      <x:c r="A372" s="30" t="str">
        <x:v>memos_long:3432</x:v>
      </x:c>
      <x:c r="B372" s="30" t="str">
        <x:v>sufficient</x:v>
      </x:c>
      <x:c r="C372" s="30" t="str"/>
      <x:c r="D372" s="30" t="str">
        <x:v>The gold answer is 'Collaborations with local organizations.' Evidence 1 explicitly states that Christopher 'considered collaborations with local organizations' to address challenges in sustaining community engagement for senior-related initiatives. Evidence 2 also mentions collaborations with local organizations as part of his considerations. Together, these directly support the complete gold answer with no missing material components.</x:v>
      </x:c>
      <x:c r="E372" s="30" t="str">
        <x:v>ua3_representation_or_admission_failure</x:v>
      </x:c>
      <x:c r="F372" s="30" t="str">
        <x:v>correct</x:v>
      </x:c>
      <x:c r="G372" s="30" t="str">
        <x:v>The model answer 'Collaborations with local organizations.' is semantically identical to the benchmark gold answer 'Collaborations with local organizations', with only minor punctuation differences. It provides the complete answer without any false or unsupported claims.</x:v>
      </x:c>
      <x:c r="H372" s="30" t="str">
        <x:v>correct</x:v>
      </x:c>
      <x:c r="I372" s="30" t="str">
        <x:v>The model answer 'Collaborations with local organizations.' is semantically identical to the benchmark gold answer 'Collaborations with local organizations', with only a minor punctuation difference (period added). It provides the complete answer without any false or unsupported claims.</x:v>
      </x:c>
      <x:c r="J372" s="30" t="str">
        <x:v>correct</x:v>
      </x:c>
      <x:c r="K372" s="30" t="str">
        <x:v>The model answer 'Collaborations with local organizations.' is semantically identical to the benchmark gold answer 'Collaborations with local organizations', with only a minor punctuation difference (period added). It provides the complete answer without any false or unsupported claims.</x:v>
      </x:c>
      <x:c r="L372" s="30" t="str">
        <x:v>LongCat-2.0</x:v>
      </x:c>
      <x:c r="M372" s="30" t="str">
        <x:v>LongCat-2.0</x:v>
      </x:c>
      <x:c r="N372" s="30" t="str">
        <x:v>LongCat-2.0</x:v>
      </x:c>
      <x:c r="O372" s="30" t="str">
        <x:v>LongCat-2.0</x:v>
      </x:c>
    </x:row>
    <x:row r="373" ht="54" customHeight="1">
      <x:c r="A373" s="30" t="str">
        <x:v>memos_long:1404</x:v>
      </x:c>
      <x:c r="B373" s="30" t="str">
        <x:v>sufficient</x:v>
      </x:c>
      <x:c r="C373" s="30" t="str"/>
      <x:c r="D373" s="30" t="str">
        <x:v>The evidence explicitly states that Ananya Sharma's career_description was updated to 'As the Head of Film Studies Department at the University of Film Studies, I am responsible for shaping the curriculum and mentoring the next generation of film critics and enthusiasts...' This directly contains both material components of the gold answer: 'Shaping curriculum' and 'mentoring at University of Film Studies.' The gold answer is fully derivable from the evidence.</x:v>
      </x:c>
      <x:c r="E373" s="30" t="str">
        <x:v>robust_generation_failure</x:v>
      </x:c>
      <x:c r="F373" s="30" t="str">
        <x:v>hallucination</x:v>
      </x:c>
      <x:c r="G373" s="30" t="str">
        <x:v>The model answer 'Head of Film Studies' is a concrete claim that contradicts the gold answer 'Shaping curriculum and mentoring at University of Film Studies.' The model invents a specific job title that is not supported by the gold answer, which describes a role focused on curriculum and mentoring rather than a leadership position.</x:v>
      </x:c>
      <x:c r="H373" s="30" t="str">
        <x:v>hallucination</x:v>
      </x:c>
      <x:c r="I373"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J373" s="30" t="str">
        <x:v>hallucination</x:v>
      </x:c>
      <x:c r="K373"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L373" s="30" t="str">
        <x:v>LongCat-2.0</x:v>
      </x:c>
      <x:c r="M373" s="30" t="str">
        <x:v>LongCat-2.0</x:v>
      </x:c>
      <x:c r="N373" s="30" t="str">
        <x:v>LongCat-2.0</x:v>
      </x:c>
      <x:c r="O373" s="30" t="str">
        <x:v>LongCat-2.0</x:v>
      </x:c>
    </x:row>
    <x:row r="374" ht="54" customHeight="1">
      <x:c r="A374" s="30" t="str">
        <x:v>memos_long:3121</x:v>
      </x:c>
      <x:c r="B374" s="30" t="str">
        <x:v>sufficient</x:v>
      </x:c>
      <x:c r="C374" s="30" t="str"/>
      <x:c r="D374" s="30" t="str">
        <x:v>Evidence 1 directly states that Barbara Jones has been diagnosed with Chronic Fatigue Syndrome. This matches the gold answer exactly, and no additional material components are required to answer the question.</x:v>
      </x:c>
      <x:c r="E374" s="30" t="str">
        <x:v>ua3_representation_or_admission_failure</x:v>
      </x:c>
      <x:c r="F374" s="30" t="str">
        <x:v>correct</x:v>
      </x:c>
      <x:c r="G374" s="30" t="str">
        <x:v>The model answer 'Chronic Fatigue Syndrome' exactly matches the benchmark gold answer, providing the complete and correct chronic condition Barbara Jones was diagnosed with.</x:v>
      </x:c>
      <x:c r="H374" s="30" t="str">
        <x:v>correct</x:v>
      </x:c>
      <x:c r="I374" s="30" t="str">
        <x:v>The model answer 'Chronic Fatigue Syndrome' exactly matches the benchmark gold answer, providing the complete and correct information.</x:v>
      </x:c>
      <x:c r="J374" s="30" t="str">
        <x:v>correct</x:v>
      </x:c>
      <x:c r="K374" s="30" t="str">
        <x:v>The model answer 'Chronic Fatigue Syndrome' exactly matches the benchmark gold answer, providing the complete and correct information.</x:v>
      </x:c>
      <x:c r="L374" s="30" t="str">
        <x:v>LongCat-2.0</x:v>
      </x:c>
      <x:c r="M374" s="30" t="str">
        <x:v>LongCat-2.0</x:v>
      </x:c>
      <x:c r="N374" s="30" t="str">
        <x:v>LongCat-2.0</x:v>
      </x:c>
      <x:c r="O374" s="30" t="str">
        <x:v>LongCat-2.0</x:v>
      </x:c>
    </x:row>
    <x:row r="375" ht="54" customHeight="1">
      <x:c r="A375" s="30" t="str">
        <x:v>memos_medium:2496</x:v>
      </x:c>
      <x:c r="B375" s="30" t="str">
        <x:v>sufficient</x:v>
      </x:c>
      <x:c r="C375" s="30" t="str"/>
      <x:c r="D375" s="30" t="str">
        <x:v>The gold answer is 'Psychological thrillers with complex plots.' Evidence 1 establishes that Steven Miller likes psychological thrillers due to their intellectual stimulation. Evidence 2 explicitly states his appreciation for psychological thrillers reflects his desire for intellectually engaging films with complex plots. Evidence 3 reinforces that he appreciates films offering intellectual stimulation through complex plots. Together, these three pieces of evidence directly support both material components of the gold answer: the genre (psychological thrillers) and the defining characteristic (complex plots). The question's temporal condition (after Nov 24, 2029) does not introduce any conflicting information, and the evidence sufficiently supports the complete answer.</x:v>
      </x:c>
      <x:c r="E375" s="30" t="str">
        <x:v>robust_generation_failure</x:v>
      </x:c>
      <x:c r="F375" s="30" t="str">
        <x:v>omission</x:v>
      </x:c>
      <x:c r="G375" s="30" t="str">
        <x:v>The model answer 'Psychological thrillers' captures part of the gold answer but omits the key qualifier 'with complex plots,' which is essential to the complete answer. Since it provides only an incomplete subset without adding a false claim, it is an omission.</x:v>
      </x:c>
      <x:c r="H375" s="30" t="str">
        <x:v>omission</x:v>
      </x:c>
      <x:c r="I375" s="30" t="str">
        <x:v>The model answer 'Psychological thrillers' captures part of the gold answer but omits the important qualifier 'with complex plots,' which is a key component of the complete answer. Since it provides only an incomplete subset of the gold answer without adding false claims, this is an omission.</x:v>
      </x:c>
      <x:c r="J375" s="30" t="str">
        <x:v>omission</x:v>
      </x:c>
      <x:c r="K375" s="30" t="str">
        <x:v>The model answer 'Psychological thrillers' is a subset of the gold answer 'Psychological thrillers with complex plots' but omits the key detail 'with complex plots' without adding any false claim, making it an incomplete answer.</x:v>
      </x:c>
      <x:c r="L375" s="30" t="str">
        <x:v>LongCat-2.0</x:v>
      </x:c>
      <x:c r="M375" s="30" t="str">
        <x:v>LongCat-2.0</x:v>
      </x:c>
      <x:c r="N375" s="30" t="str">
        <x:v>LongCat-2.0</x:v>
      </x:c>
      <x:c r="O375" s="30" t="str">
        <x:v>LongCat-2.0</x:v>
      </x:c>
    </x:row>
    <x:row r="376" ht="54" customHeight="1">
      <x:c r="A376" s="30" t="str">
        <x:v>memos_long:3381</x:v>
      </x:c>
      <x:c r="B376" s="30" t="str">
        <x:v>sufficient</x:v>
      </x:c>
      <x:c r="C376" s="30" t="str"/>
      <x:c r="D376" s="30" t="str">
        <x:v>The gold answer consists of two material components: 'creative motivation' and 'emotional motivation.' Evidence 1 explicitly states that Christopher 'emphasized the importance of creative motivation in generating ideas for community programs,' directly supporting the creative motivation component. Evidence 2 explicitly states that 'Christopher's emotional motivation drives his efforts to seek emotional support and companionship,' directly supporting the emotional motivation component. Together, the evidence covers every material component of the gold answer.</x:v>
      </x:c>
      <x:c r="E376" s="30" t="str">
        <x:v>robust_generation_failure</x:v>
      </x:c>
      <x:c r="F376" s="30" t="str">
        <x:v>hallucination</x:v>
      </x:c>
      <x:c r="G376" s="30" t="str">
        <x:v>The gold answer identifies 'Creative and emotional motivation' as the factors. The model answer replaces 'Creative' with 'Humanitarian goals,' which is a concrete claim not supported by the gold answer and contradicts it by substituting a different motivational factor.</x:v>
      </x:c>
      <x:c r="H376" s="30" t="str">
        <x:v>hallucination</x:v>
      </x:c>
      <x:c r="I376" s="30" t="str">
        <x:v>The gold answer states that Christopher's motivational factors are 'Creative and emotional motivation.' The model answer replaces 'Creative' with 'Humanitarian goals,' which is a concrete claim that contradicts the gold answer. Since the model provides an unsupported/incorrect material in place of the correct factor, this is a hallucination.</x:v>
      </x:c>
      <x:c r="J376" s="30" t="str">
        <x:v>hallucination</x:v>
      </x:c>
      <x:c r="K376" s="30" t="str">
        <x:v>The gold answer states that Christopher's motivational factors are 'Creative and emotional motivation.' The model answer replaces 'Creative' with 'Humanitarian goals,' which is a concrete claim that contradicts the gold answer. Since the model provides an unsupported/incorrect motivational factor, this is a hallucination.</x:v>
      </x:c>
      <x:c r="L376" s="30" t="str">
        <x:v>LongCat-2.0</x:v>
      </x:c>
      <x:c r="M376" s="30" t="str">
        <x:v>LongCat-2.0</x:v>
      </x:c>
      <x:c r="N376" s="30" t="str">
        <x:v>LongCat-2.0</x:v>
      </x:c>
      <x:c r="O376" s="30" t="str">
        <x:v>LongCat-2.0</x:v>
      </x:c>
    </x:row>
    <x:row r="377" ht="54" customHeight="1">
      <x:c r="A377" s="30" t="str">
        <x:v>memos_medium:1853</x:v>
      </x:c>
      <x:c r="B377" s="30" t="str">
        <x:v>insufficient</x:v>
      </x:c>
      <x:c r="C377" s="30" t="str">
        <x:v>The evidence does not mention organic foods or yoga, nor does it provide any specific health-conscious choices Michelle might explore beyond her preference for natural flavored sparkling water.</x:v>
      </x:c>
      <x:c r="D377" s="30" t="str">
        <x:v>The gold answer states Michelle might explore organic foods or yoga. The provided evidence only establishes that Michelle prefers natural flavored sparkling water and has expressed curiosity/desire to explore other health-conscious lifestyle choices. However, there is no information in the evidence that specifically supports organic foods or yoga as the choices she might explore. The evidence is too vague to derive these specific material components of the gold answer.</x:v>
      </x:c>
      <x:c r="E377" s="30" t="str">
        <x:v>evidence_definition_failure</x:v>
      </x:c>
      <x:c r="F377" s="30" t="str">
        <x:v>omission</x:v>
      </x:c>
      <x:c r="G377" s="30" t="str">
        <x:v>The model answer 'Natural flavored sparkling water' does not include any part of the gold answer (organic foods or yoga), nor does it contradict it. It provides a different concrete suggestion that is not supported by the gold answer, making it an incomplete subset without matching the required content.</x:v>
      </x:c>
      <x:c r="H377" s="30" t="str">
        <x:v>hallucination</x:v>
      </x:c>
      <x:c r="I377" s="30" t="str">
        <x:v>The gold answer suggests Michelle might explore organic foods or yoga. The model answer 'Natural flavored sparkling water' is a concrete health-related suggestion that is not mentioned or supported by the gold answer, making it a hallucination.</x:v>
      </x:c>
      <x:c r="J377" s="30" t="str">
        <x:v>omission</x:v>
      </x:c>
      <x:c r="K377" s="30" t="str">
        <x:v>The model answer 'Natural flavored sparkling water' is a concrete health-related choice, but it does not match or semantically cover the gold answer's suggestions of 'organic foods or yoga.' It introduces a different, unsupported suggestion rather than providing the gold answer's content, making it an omission of the expected answer.</x:v>
      </x:c>
      <x:c r="L377" s="30" t="str">
        <x:v>LongCat-2.0</x:v>
      </x:c>
      <x:c r="M377" s="30" t="str">
        <x:v>LongCat-2.0</x:v>
      </x:c>
      <x:c r="N377" s="30" t="str">
        <x:v>LongCat-2.0</x:v>
      </x:c>
      <x:c r="O377" s="30" t="str">
        <x:v>LongCat-2.0</x:v>
      </x:c>
    </x:row>
    <x:row r="378" ht="54" customHeight="1">
      <x:c r="A378" s="30" t="str">
        <x:v>memos_medium:1676</x:v>
      </x:c>
      <x:c r="B378" s="30" t="str">
        <x:v>sufficient</x:v>
      </x:c>
      <x:c r="C378" s="30" t="str">
        <x:v>None. The evidence directly supports that emotional resonance from connecting with others motivates Susan Thompson to continue her wellness journey.</x:v>
      </x:c>
      <x:c r="D378" s="30" t="str">
        <x:v>Evidence 1 states Susan Thompson is motivated by emotional resonance in helping others achieve health goals. Evidence 2 explicitly states she is inspired by the emotional resonance she finds in connecting with others, driving her motivation to continue her wellness journey. Together, these directly support the gold answer that emotional resonance from connecting with others motivates her to continue her wellness journey after Dec 20, 2032.</x:v>
      </x:c>
      <x:c r="E378" s="30" t="str">
        <x:v>ua3_representation_or_admission_failure</x:v>
      </x:c>
      <x:c r="F378" s="30" t="str">
        <x:v>correct</x:v>
      </x:c>
      <x:c r="G378"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H378" s="30" t="str">
        <x:v>correct</x:v>
      </x:c>
      <x:c r="I378" s="30" t="str">
        <x:v>The model answer 'Emotional resonance with others' is semantically equivalent to the gold answer 'Emotional resonance from connecting with others.' Both convey the same core idea of emotional connection with others as the motivation, with only minor wording differences ('with' vs. 'from connecting with').</x:v>
      </x:c>
      <x:c r="J378" s="30" t="str">
        <x:v>correct</x:v>
      </x:c>
      <x:c r="K378" s="30" t="str">
        <x:v>The model answer 'Emotional resonance with others' is semantically equivalent to the gold answer 'Emotional resonance from connecting with others.' Both convey the same core idea that Susan Thompson is motivated by an emotional connection or resonance with other people. The slight wording difference ('with' vs. 'from connecting with') does not change the meaning, and no information is omitted or contradicted.</x:v>
      </x:c>
      <x:c r="L378" s="30" t="str">
        <x:v>LongCat-2.0</x:v>
      </x:c>
      <x:c r="M378" s="30" t="str">
        <x:v>LongCat-2.0</x:v>
      </x:c>
      <x:c r="N378" s="30" t="str">
        <x:v>LongCat-2.0</x:v>
      </x:c>
      <x:c r="O378" s="30" t="str">
        <x:v>LongCat-2.0</x:v>
      </x:c>
    </x:row>
    <x:row r="379" ht="54" customHeight="1">
      <x:c r="A379" s="30" t="str">
        <x:v>memos_medium:1949</x:v>
      </x:c>
      <x:c r="B379" s="30" t="str">
        <x:v>sufficient</x:v>
      </x:c>
      <x:c r="C379" s="30" t="str"/>
      <x:c r="D379" s="30" t="str">
        <x:v>Evidence 1 directly states that Joseph Garcia's employment status changed to self-employed, which matches the gold answer exactly. No additional information is needed to derive the complete answer.</x:v>
      </x:c>
      <x:c r="E379" s="30" t="str">
        <x:v>ua3_representation_or_admission_failure</x:v>
      </x:c>
      <x:c r="F379" s="30" t="str">
        <x:v>correct</x:v>
      </x:c>
      <x:c r="G379" s="30" t="str">
        <x:v>The model answer 'Self-employed' matches the benchmark gold answer exactly, providing the complete and correct employment status.</x:v>
      </x:c>
      <x:c r="H379" s="30" t="str">
        <x:v>correct</x:v>
      </x:c>
      <x:c r="I379" s="30" t="str">
        <x:v>The model answer 'Self-employed' matches the benchmark gold answer exactly, providing the complete and correct employment status.</x:v>
      </x:c>
      <x:c r="J379" s="30" t="str">
        <x:v>correct</x:v>
      </x:c>
      <x:c r="K379" s="30" t="str">
        <x:v>The model answer 'Self-employed' matches the benchmark gold answer exactly, providing the complete and correct employment status.</x:v>
      </x:c>
      <x:c r="L379" s="30" t="str">
        <x:v>LongCat-2.0</x:v>
      </x:c>
      <x:c r="M379" s="30" t="str">
        <x:v>LongCat-2.0</x:v>
      </x:c>
      <x:c r="N379" s="30" t="str">
        <x:v>LongCat-2.0</x:v>
      </x:c>
      <x:c r="O379" s="30" t="str">
        <x:v>LongCat-2.0</x:v>
      </x:c>
    </x:row>
    <x:row r="380" ht="54" customHeight="1">
      <x:c r="A380" s="30" t="str">
        <x:v>memos_long:3013</x:v>
      </x:c>
      <x:c r="B380" s="30" t="str">
        <x:v>sufficient</x:v>
      </x:c>
      <x:c r="C380" s="30" t="str">
        <x:v>none</x:v>
      </x:c>
      <x:c r="D380" s="30" t="str">
        <x:v>Evidence 2 establishes that Karen plans to invest her increased salary into her software platform development. Evidence 3 specifies that she plans to integrate AI-driven insights and innovative solutions into her property management platform. Together, these directly support the gold answer that she would invest in AI-driven analytics and innovative solutions, covering every material component of the answer.</x:v>
      </x:c>
      <x:c r="E380" s="30" t="str">
        <x:v>robust_generation_failure</x:v>
      </x:c>
      <x:c r="F380" s="30" t="str">
        <x:v>omission</x:v>
      </x:c>
      <x:c r="G380" s="30" t="str">
        <x:v>The model answer mentions 'AI-driven platform development' but omits the 'innovative solutions' component of the gold answer, making it an incomplete subset.</x:v>
      </x:c>
      <x:c r="H380" s="30" t="str">
        <x:v>omission</x:v>
      </x:c>
      <x:c r="I380" s="30" t="str">
        <x:v>The model answer 'Invest in AI-driven solutions' captures part of the gold answer but omits 'analytics and innovative', which are key components of the complete gold answer. No false claim is added, but the answer is incomplete.</x:v>
      </x:c>
      <x:c r="J380" s="30" t="str">
        <x:v>omission</x:v>
      </x:c>
      <x:c r="K380" s="30" t="str">
        <x:v>The model answer mentions 'AI-driven platform development' but omits the 'innovative solutions' component of the gold answer, making it an incomplete subset.</x:v>
      </x:c>
      <x:c r="L380" s="30" t="str">
        <x:v>LongCat-2.0</x:v>
      </x:c>
      <x:c r="M380" s="30" t="str">
        <x:v>LongCat-2.0</x:v>
      </x:c>
      <x:c r="N380" s="30" t="str">
        <x:v>LongCat-2.0</x:v>
      </x:c>
      <x:c r="O380" s="30" t="str">
        <x:v>LongCat-2.0</x:v>
      </x:c>
    </x:row>
    <x:row r="381" ht="54" customHeight="1">
      <x:c r="A381" s="30" t="str">
        <x:v>memos_long:310</x:v>
      </x:c>
      <x:c r="B381" s="30" t="str">
        <x:v>sufficient</x:v>
      </x:c>
      <x:c r="C381" s="30" t="str"/>
      <x:c r="D381" s="30" t="str">
        <x:v>The gold answer states that Johnson Joseph's physical health status changed from 'Good' to 'Excellent'. Evidence 1 explicitly states that 'Johnson Joseph's physical health status changed from 'Good' to 'Excellent' due to regular exercise and mindfulness.' This directly supports both material components of the gold answer: the starting status ('Good') and the ending status ('Excellent'). The evidence is authoritative and contains all necessary information to derive the complete gold answer.</x:v>
      </x:c>
      <x:c r="E381" s="30" t="str">
        <x:v>robust_generation_failure</x:v>
      </x:c>
      <x:c r="F381" s="30" t="str">
        <x:v>omission</x:v>
      </x:c>
      <x:c r="G381" s="30" t="str">
        <x:v>The gold answer specifies a change from 'Good' to 'Excellent', which includes both the starting state and the resulting state. The model answer only provides 'Excellent', which is an incomplete subset of the full answer and omits the 'from Good' portion of the change.</x:v>
      </x:c>
      <x:c r="H381" s="30" t="str">
        <x:v>omission</x:v>
      </x:c>
      <x:c r="I381" s="30" t="str">
        <x:v>The gold answer specifies a change from 'Good' to 'Excellent', which includes both the starting state and the resulting state. The model answer only provides 'Excellent', omitting the 'from Good' portion of the change, making it an incomplete subset of the gold answer.</x:v>
      </x:c>
      <x:c r="J381" s="30" t="str">
        <x:v>omission</x:v>
      </x:c>
      <x:c r="K381" s="30" t="str">
        <x:v>The gold answer specifies a change from 'Good' to 'Excellent', which includes both the starting state and the resulting state. The model answer only provides 'Excellent', which is an incomplete subset of the full answer and omits the 'from Good' portion of the change.</x:v>
      </x:c>
      <x:c r="L381" s="30" t="str">
        <x:v>LongCat-2.0</x:v>
      </x:c>
      <x:c r="M381" s="30" t="str">
        <x:v>LongCat-2.0</x:v>
      </x:c>
      <x:c r="N381" s="30" t="str">
        <x:v>LongCat-2.0</x:v>
      </x:c>
      <x:c r="O381" s="30" t="str">
        <x:v>LongCat-2.0</x:v>
      </x:c>
    </x:row>
    <x:row r="382" ht="54" customHeight="1">
      <x:c r="A382" s="31" t="str">
        <x:v>memos_long:3107</x:v>
      </x:c>
      <x:c r="B382" s="31" t="str">
        <x:v>sufficient</x:v>
      </x:c>
      <x:c r="C382" s="31" t="str"/>
      <x:c r="D382" s="31" t="str">
        <x:v>Evidence 1 shows Barbara Jones planned to adjust her work schedule to prioritize self-care and improve her health by incorporating more breaks and flexible hours, indicating the process of evolving her work-life balance. Evidence 2 confirms she expressed satisfaction in achieving a sustainable work-life balance that improved both her professional performance and personal health. Together, these two pieces of evidence cover the full evolution from planning/adjusting to achieving a sustainable work-life balance, which directly supports every material component of the gold answer 'Achieved sustainable work-life balance'.</x:v>
      </x:c>
      <x:c r="E382" s="31" t="str">
        <x:v>robust_generation_failure</x:v>
      </x:c>
      <x:c r="F382" s="31" t="str">
        <x:v>omission</x:v>
      </x:c>
      <x:c r="G382" s="31"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H382" s="31" t="str">
        <x:v>omission</x:v>
      </x:c>
      <x:c r="I382" s="31"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J382" s="31" t="str">
        <x:v>omission</x:v>
      </x:c>
      <x:c r="K382" s="31"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L382" s="31" t="str">
        <x:v>LongCat-2.0</x:v>
      </x:c>
      <x:c r="M382" s="31" t="str">
        <x:v>LongCat-2.0</x:v>
      </x:c>
      <x:c r="N382" s="31" t="str">
        <x:v>LongCat-2.0</x:v>
      </x:c>
      <x:c r="O382" s="31" t="str">
        <x:v>LongCat-2.0</x:v>
      </x:c>
    </x:row>
  </x:sheetData>
  <x:pageMargins left="0.7" right="0.7" top="0.75" bottom="0.75" header="0.3" footer="0.3"/>
  <x:tableParts count="1">
    <x:tablePart xmlns:r="http://schemas.openxmlformats.org/officeDocument/2006/relationships" r:id="R72662ac7076e4a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18.1299991607666" hidden="0" customWidth="1"/>
    <x:col min="3" max="3" width="18.1299991607666" hidden="0" customWidth="1"/>
    <x:col min="4" max="4" width="18.1299991607666" hidden="0" customWidth="1"/>
    <x:col min="5" max="5" width="37.5" hidden="0" customWidth="1"/>
    <x:col min="6" max="6" width="32.5" hidden="0" customWidth="1"/>
    <x:col min="7" max="7" width="32.5" hidden="0" customWidth="1"/>
    <x:col min="8" max="8" width="18.1299991607666" hidden="0" customWidth="1"/>
    <x:col min="9" max="9" width="18.1299991607666" hidden="0" customWidth="1"/>
    <x:col min="10" max="10" width="18.1299991607666" hidden="0" customWidth="1"/>
    <x:col min="11" max="11" width="18.1299991607666" hidden="0" customWidth="1"/>
    <x:col min="12" max="12" width="18.1299991607666" hidden="0" customWidth="1"/>
    <x:col min="13" max="13" width="18.1299991607666" hidden="0" customWidth="1"/>
    <x:col min="14" max="14" width="18.1299991607666" hidden="0" customWidth="1"/>
    <x:col min="15" max="15" width="32.5" hidden="0" customWidth="1"/>
    <x:col min="16" max="16" width="18.1299991607666" hidden="0" customWidth="1"/>
    <x:col min="17" max="17" width="18.1299991607666" hidden="0" customWidth="1"/>
    <x:col min="18" max="18" width="18.1299991607666" hidden="0" customWidth="1"/>
    <x:col min="19" max="19" width="18.1299991607666" hidden="0" customWidth="1"/>
  </x:cols>
  <x:sheetData>
    <x:row r="1" ht="25.5" customHeight="1">
      <x:c r="A1" s="19" t="str">
        <x:v>case_id</x:v>
      </x:c>
      <x:c r="B1" s="20" t="str">
        <x:v>dataset</x:v>
      </x:c>
      <x:c r="C1" s="20" t="str">
        <x:v>question_type</x:v>
      </x:c>
      <x:c r="D1" s="20" t="str">
        <x:v>replicate</x:v>
      </x:c>
      <x:c r="E1" s="20" t="str">
        <x:v>question</x:v>
      </x:c>
      <x:c r="F1" s="20" t="str">
        <x:v>gold_answer</x:v>
      </x:c>
      <x:c r="G1" s="20" t="str">
        <x:v>model_answer</x:v>
      </x:c>
      <x:c r="H1" s="20" t="str">
        <x:v>generation_requested_model</x:v>
      </x:c>
      <x:c r="I1" s="20" t="str">
        <x:v>generation_response_model</x:v>
      </x:c>
      <x:c r="J1" s="20" t="str">
        <x:v>context_hash</x:v>
      </x:c>
      <x:c r="K1" s="20" t="str">
        <x:v>prompt_hash</x:v>
      </x:c>
      <x:c r="L1" s="20" t="str">
        <x:v>generation_latency_ms</x:v>
      </x:c>
      <x:c r="M1" s="20" t="str">
        <x:v>generation_usage</x:v>
      </x:c>
      <x:c r="N1" s="20" t="str">
        <x:v>judge_label</x:v>
      </x:c>
      <x:c r="O1" s="20" t="str">
        <x:v>judge_rationale</x:v>
      </x:c>
      <x:c r="P1" s="20" t="str">
        <x:v>judge_requested_model</x:v>
      </x:c>
      <x:c r="Q1" s="20" t="str">
        <x:v>judge_response_model</x:v>
      </x:c>
      <x:c r="R1" s="20" t="str">
        <x:v>judge_latency_ms</x:v>
      </x:c>
      <x:c r="S1" s="21" t="str">
        <x:v>judge_usage</x:v>
      </x:c>
    </x:row>
    <x:row r="2">
      <x:c r="A2" s="29" t="str">
        <x:v>memos_long:1010</x:v>
      </x:c>
      <x:c r="B2" s="29" t="str">
        <x:v>long</x:v>
      </x:c>
      <x:c r="C2" s="29" t="str">
        <x:v>Generalization &amp; Application</x:v>
      </x:c>
      <x:c r="D2" s="29" t="n">
        <x:v>1</x:v>
      </x:c>
      <x:c r="E2" s="29" t="str">
        <x:v>What type of pets might Donna consider adopting after August 17, 2037, given her updated preferences?</x:v>
      </x:c>
      <x:c r="F2" s="29" t="str">
        <x:v>Rodents, due to their interactive nature and ease of care.</x:v>
      </x:c>
      <x:c r="G2" s="29" t="str">
        <x:v>Rodents</x:v>
      </x:c>
      <x:c r="H2" s="29" t="str">
        <x:v>deepseek-v4-flash</x:v>
      </x:c>
      <x:c r="I2" s="29" t="str">
        <x:v>deepseek-v4-flash</x:v>
      </x:c>
      <x:c r="J2" s="29" t="str">
        <x:v>322fcb3b139f12110309bd75233f935dcbc5abdcb57c8f60cff41688ce01f061</x:v>
      </x:c>
      <x:c r="K2" s="29" t="str">
        <x:v>3f710e229e827833a08a886b22f8cc9ce5f39f18b2e0854c79d192da722ec8d4</x:v>
      </x:c>
      <x:c r="L2" s="29" t="n">
        <x:v>577.5</x:v>
      </x:c>
      <x:c r="M2" s="29" t="str">
        <x:v>{"completion_tokens": 2, "prompt_tokens": 570, "total_tokens": 572, "completion_tokens_details": null, "prompt_tokens_details": {"audio_tokens": null, "cached_tokens": 512}, "prompt_cache_hit_tokens": 512, "prompt_cache_miss_tokens": 58}</x:v>
      </x:c>
      <x:c r="N2" s="29" t="str">
        <x:v>omission</x:v>
      </x:c>
      <x:c r="O2" s="29"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P2" s="29" t="str">
        <x:v>LongCat-2.0</x:v>
      </x:c>
      <x:c r="Q2" s="29" t="str">
        <x:v>LongCat-2.0</x:v>
      </x:c>
      <x:c r="R2" s="29" t="n">
        <x:v>3772.09</x:v>
      </x:c>
      <x:c r="S2" s="29"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
      <x:c r="A3" s="30" t="str">
        <x:v>memos_long:1010</x:v>
      </x:c>
      <x:c r="B3" s="30" t="str">
        <x:v>long</x:v>
      </x:c>
      <x:c r="C3" s="30" t="str">
        <x:v>Generalization &amp; Application</x:v>
      </x:c>
      <x:c r="D3" s="30" t="n">
        <x:v>2</x:v>
      </x:c>
      <x:c r="E3" s="30" t="str">
        <x:v>What type of pets might Donna consider adopting after August 17, 2037, given her updated preferences?</x:v>
      </x:c>
      <x:c r="F3" s="30" t="str">
        <x:v>Rodents, due to their interactive nature and ease of care.</x:v>
      </x:c>
      <x:c r="G3" s="30" t="str">
        <x:v>Rodents</x:v>
      </x:c>
      <x:c r="H3" s="30" t="str">
        <x:v>deepseek-v4-flash</x:v>
      </x:c>
      <x:c r="I3" s="30" t="str">
        <x:v>deepseek-v4-flash</x:v>
      </x:c>
      <x:c r="J3" s="30" t="str">
        <x:v>322fcb3b139f12110309bd75233f935dcbc5abdcb57c8f60cff41688ce01f061</x:v>
      </x:c>
      <x:c r="K3" s="30" t="str">
        <x:v>3f710e229e827833a08a886b22f8cc9ce5f39f18b2e0854c79d192da722ec8d4</x:v>
      </x:c>
      <x:c r="L3" s="30" t="n">
        <x:v>711.7</x:v>
      </x:c>
      <x:c r="M3" s="30" t="str">
        <x:v>{"completion_tokens": 2, "prompt_tokens": 570, "total_tokens": 572, "completion_tokens_details": null, "prompt_tokens_details": {"audio_tokens": null, "cached_tokens": 512}, "prompt_cache_hit_tokens": 512, "prompt_cache_miss_tokens": 58}</x:v>
      </x:c>
      <x:c r="N3" s="30" t="str">
        <x:v>omission</x:v>
      </x:c>
      <x:c r="O3" s="30" t="str">
        <x:v>The model answer 'Rodents' provides the correct pet type but omits the supporting reasons ('due to their interactive nature and ease of care') that are part of the complete gold answer. Since it gives only an incomplete subset without adding a false claim, it is classified as omission.</x:v>
      </x:c>
      <x:c r="P3" s="30" t="str">
        <x:v>LongCat-2.0</x:v>
      </x:c>
      <x:c r="Q3" s="30" t="str">
        <x:v>LongCat-2.0</x:v>
      </x:c>
      <x:c r="R3" s="30" t="n">
        <x:v>3789.07</x:v>
      </x:c>
      <x:c r="S3"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
      <x:c r="A4" s="30" t="str">
        <x:v>memos_long:1010</x:v>
      </x:c>
      <x:c r="B4" s="30" t="str">
        <x:v>long</x:v>
      </x:c>
      <x:c r="C4" s="30" t="str">
        <x:v>Generalization &amp; Application</x:v>
      </x:c>
      <x:c r="D4" s="30" t="n">
        <x:v>3</x:v>
      </x:c>
      <x:c r="E4" s="30" t="str">
        <x:v>What type of pets might Donna consider adopting after August 17, 2037, given her updated preferences?</x:v>
      </x:c>
      <x:c r="F4" s="30" t="str">
        <x:v>Rodents, due to their interactive nature and ease of care.</x:v>
      </x:c>
      <x:c r="G4" s="30" t="str">
        <x:v>Rodents</x:v>
      </x:c>
      <x:c r="H4" s="30" t="str">
        <x:v>deepseek-v4-flash</x:v>
      </x:c>
      <x:c r="I4" s="30" t="str">
        <x:v>deepseek-v4-flash</x:v>
      </x:c>
      <x:c r="J4" s="30" t="str">
        <x:v>322fcb3b139f12110309bd75233f935dcbc5abdcb57c8f60cff41688ce01f061</x:v>
      </x:c>
      <x:c r="K4" s="30" t="str">
        <x:v>3f710e229e827833a08a886b22f8cc9ce5f39f18b2e0854c79d192da722ec8d4</x:v>
      </x:c>
      <x:c r="L4" s="30" t="n">
        <x:v>860.92</x:v>
      </x:c>
      <x:c r="M4" s="30" t="str">
        <x:v>{"completion_tokens": 2, "prompt_tokens": 570, "total_tokens": 572, "completion_tokens_details": null, "prompt_tokens_details": {"audio_tokens": null, "cached_tokens": 512}, "prompt_cache_hit_tokens": 512, "prompt_cache_miss_tokens": 58}</x:v>
      </x:c>
      <x:c r="N4" s="30" t="str">
        <x:v>omission</x:v>
      </x:c>
      <x:c r="O4" s="30" t="str">
        <x:v>The model answer 'Rodents' provides the correct pet type but omits the supporting reasons ('due to their interactive nature and ease of care') that are part of the complete gold answer. Since it gives only an incomplete subset without adding a false claim, it is classified as omission.</x:v>
      </x:c>
      <x:c r="P4" s="30" t="str">
        <x:v>LongCat-2.0</x:v>
      </x:c>
      <x:c r="Q4" s="30" t="str">
        <x:v>LongCat-2.0</x:v>
      </x:c>
      <x:c r="R4" s="30" t="n">
        <x:v>3870.54</x:v>
      </x:c>
      <x:c r="S4"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
      <x:c r="A5" s="30" t="str">
        <x:v>memos_long:1028</x:v>
      </x:c>
      <x:c r="B5" s="30" t="str">
        <x:v>long</x:v>
      </x:c>
      <x:c r="C5" s="30" t="str">
        <x:v>Generalization &amp; Application</x:v>
      </x:c>
      <x:c r="D5" s="30" t="n">
        <x:v>1</x:v>
      </x:c>
      <x:c r="E5" s="30" t="str">
        <x:v>What type of new plant-based cuisines might Donna explore in 2039 based on her interests?</x:v>
      </x:c>
      <x:c r="F5" s="30" t="str">
        <x:v>Cuisines that align with sustainability and cultural diversity.</x:v>
      </x:c>
      <x:c r="G5" s="30" t="str">
        <x:v>Diverse cultural plant-based cuisines.</x:v>
      </x:c>
      <x:c r="H5" s="30" t="str">
        <x:v>deepseek-v4-flash</x:v>
      </x:c>
      <x:c r="I5" s="30" t="str">
        <x:v>deepseek-v4-flash</x:v>
      </x:c>
      <x:c r="J5" s="30" t="str">
        <x:v>4dc427e5699086bb77d37a305dec0b9e5a3bfbac42f2d24cfdcdd037224051f1</x:v>
      </x:c>
      <x:c r="K5" s="30" t="str">
        <x:v>0384f53d683301928a10e5bafbcaa320b60b2ed04cf29d96e9e62d58408ff32b</x:v>
      </x:c>
      <x:c r="L5" s="30" t="n">
        <x:v>964.02</x:v>
      </x:c>
      <x:c r="M5" s="30" t="str">
        <x:v>{"completion_tokens": 9, "prompt_tokens": 617, "total_tokens": 626, "completion_tokens_details": null, "prompt_tokens_details": {"audio_tokens": null, "cached_tokens": 512}, "prompt_cache_hit_tokens": 512, "prompt_cache_miss_tokens": 105}</x:v>
      </x:c>
      <x:c r="N5" s="30" t="str">
        <x:v>omission</x:v>
      </x:c>
      <x:c r="O5"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5" s="30" t="str">
        <x:v>LongCat-2.0</x:v>
      </x:c>
      <x:c r="Q5" s="30" t="str">
        <x:v>LongCat-2.0</x:v>
      </x:c>
      <x:c r="R5" s="30" t="n">
        <x:v>3135.15</x:v>
      </x:c>
      <x:c r="S5" s="30" t="str">
        <x:v>{"completion_tokens": 73, "prompt_tokens": 160,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
      <x:c r="A6" s="30" t="str">
        <x:v>memos_long:1028</x:v>
      </x:c>
      <x:c r="B6" s="30" t="str">
        <x:v>long</x:v>
      </x:c>
      <x:c r="C6" s="30" t="str">
        <x:v>Generalization &amp; Application</x:v>
      </x:c>
      <x:c r="D6" s="30" t="n">
        <x:v>2</x:v>
      </x:c>
      <x:c r="E6" s="30" t="str">
        <x:v>What type of new plant-based cuisines might Donna explore in 2039 based on her interests?</x:v>
      </x:c>
      <x:c r="F6" s="30" t="str">
        <x:v>Cuisines that align with sustainability and cultural diversity.</x:v>
      </x:c>
      <x:c r="G6" s="30" t="str">
        <x:v>Diverse cultural plant-based cuisines.</x:v>
      </x:c>
      <x:c r="H6" s="30" t="str">
        <x:v>deepseek-v4-flash</x:v>
      </x:c>
      <x:c r="I6" s="30" t="str">
        <x:v>deepseek-v4-flash</x:v>
      </x:c>
      <x:c r="J6" s="30" t="str">
        <x:v>4dc427e5699086bb77d37a305dec0b9e5a3bfbac42f2d24cfdcdd037224051f1</x:v>
      </x:c>
      <x:c r="K6" s="30" t="str">
        <x:v>0384f53d683301928a10e5bafbcaa320b60b2ed04cf29d96e9e62d58408ff32b</x:v>
      </x:c>
      <x:c r="L6" s="30" t="n">
        <x:v>879.95</x:v>
      </x:c>
      <x:c r="M6" s="30" t="str">
        <x:v>{"completion_tokens": 9, "prompt_tokens": 617, "total_tokens": 626, "completion_tokens_details": null, "prompt_tokens_details": {"audio_tokens": null, "cached_tokens": 512}, "prompt_cache_hit_tokens": 512, "prompt_cache_miss_tokens": 105}</x:v>
      </x:c>
      <x:c r="N6" s="30" t="str">
        <x:v>omission</x:v>
      </x:c>
      <x:c r="O6"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6" s="30" t="str">
        <x:v>LongCat-2.0</x:v>
      </x:c>
      <x:c r="Q6" s="30" t="str">
        <x:v>LongCat-2.0</x:v>
      </x:c>
      <x:c r="R6" s="30" t="n">
        <x:v>3432.7</x:v>
      </x:c>
      <x:c r="S6" s="30" t="str">
        <x:v>{"completion_tokens": 73, "prompt_tokens": 160,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
      <x:c r="A7" s="30" t="str">
        <x:v>memos_long:1028</x:v>
      </x:c>
      <x:c r="B7" s="30" t="str">
        <x:v>long</x:v>
      </x:c>
      <x:c r="C7" s="30" t="str">
        <x:v>Generalization &amp; Application</x:v>
      </x:c>
      <x:c r="D7" s="30" t="n">
        <x:v>3</x:v>
      </x:c>
      <x:c r="E7" s="30" t="str">
        <x:v>What type of new plant-based cuisines might Donna explore in 2039 based on her interests?</x:v>
      </x:c>
      <x:c r="F7" s="30" t="str">
        <x:v>Cuisines that align with sustainability and cultural diversity.</x:v>
      </x:c>
      <x:c r="G7" s="30" t="str">
        <x:v>Diverse cultural plant-based cuisines.</x:v>
      </x:c>
      <x:c r="H7" s="30" t="str">
        <x:v>deepseek-v4-flash</x:v>
      </x:c>
      <x:c r="I7" s="30" t="str">
        <x:v>deepseek-v4-flash</x:v>
      </x:c>
      <x:c r="J7" s="30" t="str">
        <x:v>4dc427e5699086bb77d37a305dec0b9e5a3bfbac42f2d24cfdcdd037224051f1</x:v>
      </x:c>
      <x:c r="K7" s="30" t="str">
        <x:v>0384f53d683301928a10e5bafbcaa320b60b2ed04cf29d96e9e62d58408ff32b</x:v>
      </x:c>
      <x:c r="L7" s="30" t="n">
        <x:v>966.82</x:v>
      </x:c>
      <x:c r="M7" s="30" t="str">
        <x:v>{"completion_tokens": 9, "prompt_tokens": 617, "total_tokens": 626, "completion_tokens_details": null, "prompt_tokens_details": {"audio_tokens": null, "cached_tokens": 512}, "prompt_cache_hit_tokens": 512, "prompt_cache_miss_tokens": 105}</x:v>
      </x:c>
      <x:c r="N7" s="30" t="str">
        <x:v>omission</x:v>
      </x:c>
      <x:c r="O7"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7" s="30" t="str">
        <x:v>LongCat-2.0</x:v>
      </x:c>
      <x:c r="Q7" s="30" t="str">
        <x:v>LongCat-2.0</x:v>
      </x:c>
      <x:c r="R7" s="30" t="n">
        <x:v>2988.99</x:v>
      </x:c>
      <x:c r="S7" s="30" t="str">
        <x:v>{"completion_tokens": 73, "prompt_tokens": 160,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
      <x:c r="A8" s="30" t="str">
        <x:v>memos_long:1030</x:v>
      </x:c>
      <x:c r="B8" s="30" t="str">
        <x:v>long</x:v>
      </x:c>
      <x:c r="C8" s="30" t="str">
        <x:v>Generalization &amp; Application</x:v>
      </x:c>
      <x:c r="D8" s="30" t="n">
        <x:v>1</x:v>
      </x:c>
      <x:c r="E8" s="30" t="str">
        <x:v>What new types of pets might Donna consider adopting after May 21, 2039?</x:v>
      </x:c>
      <x:c r="F8" s="30" t="str">
        <x:v>Donna might consider adopting rodents.</x:v>
      </x:c>
      <x:c r="G8" s="30" t="str">
        <x:v>Rodents</x:v>
      </x:c>
      <x:c r="H8" s="30" t="str">
        <x:v>deepseek-v4-flash</x:v>
      </x:c>
      <x:c r="I8" s="30" t="str">
        <x:v>deepseek-v4-flash</x:v>
      </x:c>
      <x:c r="J8" s="30" t="str">
        <x:v>8469cd028e33e11768aa44dd28fef1b343e00f0e823614fbce982bc8e3225263</x:v>
      </x:c>
      <x:c r="K8" s="30" t="str">
        <x:v>adb1cae91ab23327083b2490e2fd2a3765971524d31003c6328fd080b189c323</x:v>
      </x:c>
      <x:c r="L8" s="30" t="n">
        <x:v>894.87</x:v>
      </x:c>
      <x:c r="M8" s="30" t="str">
        <x:v>{"completion_tokens": 2, "prompt_tokens": 607, "total_tokens": 609, "completion_tokens_details": null, "prompt_tokens_details": {"audio_tokens": null, "cached_tokens": 512}, "prompt_cache_hit_tokens": 512, "prompt_cache_miss_tokens": 95}</x:v>
      </x:c>
      <x:c r="N8" s="30" t="str">
        <x:v>correct</x:v>
      </x:c>
      <x:c r="O8" s="30" t="str">
        <x:v>The model answer 'Rodents' is semantically equivalent to the gold answer 'Donna might consider adopting rodents.' It provides the complete answer with only minor wording differences, omitting the framing but retaining the core content without any false or unsupported claims.</x:v>
      </x:c>
      <x:c r="P8" s="30" t="str">
        <x:v>LongCat-2.0</x:v>
      </x:c>
      <x:c r="Q8" s="30" t="str">
        <x:v>LongCat-2.0</x:v>
      </x:c>
      <x:c r="R8" s="30" t="n">
        <x:v>15282.47</x:v>
      </x:c>
      <x:c r="S8" s="30" t="str">
        <x:v>{"completion_tokens": 61, "prompt_tokens": 148,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
      <x:c r="A9" s="30" t="str">
        <x:v>memos_long:1030</x:v>
      </x:c>
      <x:c r="B9" s="30" t="str">
        <x:v>long</x:v>
      </x:c>
      <x:c r="C9" s="30" t="str">
        <x:v>Generalization &amp; Application</x:v>
      </x:c>
      <x:c r="D9" s="30" t="n">
        <x:v>2</x:v>
      </x:c>
      <x:c r="E9" s="30" t="str">
        <x:v>What new types of pets might Donna consider adopting after May 21, 2039?</x:v>
      </x:c>
      <x:c r="F9" s="30" t="str">
        <x:v>Donna might consider adopting rodents.</x:v>
      </x:c>
      <x:c r="G9" s="30" t="str">
        <x:v>Rodents</x:v>
      </x:c>
      <x:c r="H9" s="30" t="str">
        <x:v>deepseek-v4-flash</x:v>
      </x:c>
      <x:c r="I9" s="30" t="str">
        <x:v>deepseek-v4-flash</x:v>
      </x:c>
      <x:c r="J9" s="30" t="str">
        <x:v>8469cd028e33e11768aa44dd28fef1b343e00f0e823614fbce982bc8e3225263</x:v>
      </x:c>
      <x:c r="K9" s="30" t="str">
        <x:v>adb1cae91ab23327083b2490e2fd2a3765971524d31003c6328fd080b189c323</x:v>
      </x:c>
      <x:c r="L9" s="30" t="n">
        <x:v>708.36</x:v>
      </x:c>
      <x:c r="M9" s="30" t="str">
        <x:v>{"completion_tokens": 2, "prompt_tokens": 607, "total_tokens": 609, "completion_tokens_details": null, "prompt_tokens_details": {"audio_tokens": null, "cached_tokens": 512}, "prompt_cache_hit_tokens": 512, "prompt_cache_miss_tokens": 95}</x:v>
      </x:c>
      <x:c r="N9" s="30" t="str">
        <x:v>correct</x:v>
      </x:c>
      <x:c r="O9" s="30" t="str">
        <x:v>The model answer 'Rodents' is a semantically complete match to the gold answer 'Donna might consider adopting rodents.' The wording is shorter but conveys the same meaning without adding false or unsupported information.</x:v>
      </x:c>
      <x:c r="P9" s="30" t="str">
        <x:v>LongCat-2.0</x:v>
      </x:c>
      <x:c r="Q9" s="30" t="str">
        <x:v>LongCat-2.0</x:v>
      </x:c>
      <x:c r="R9" s="30" t="n">
        <x:v>2746.89</x:v>
      </x:c>
      <x:c r="S9" s="30" t="str">
        <x:v>{"completion_tokens": 52, "prompt_tokens": 148, "total_tokens": 200,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
      <x:c r="A10" s="30" t="str">
        <x:v>memos_long:1030</x:v>
      </x:c>
      <x:c r="B10" s="30" t="str">
        <x:v>long</x:v>
      </x:c>
      <x:c r="C10" s="30" t="str">
        <x:v>Generalization &amp; Application</x:v>
      </x:c>
      <x:c r="D10" s="30" t="n">
        <x:v>3</x:v>
      </x:c>
      <x:c r="E10" s="30" t="str">
        <x:v>What new types of pets might Donna consider adopting after May 21, 2039?</x:v>
      </x:c>
      <x:c r="F10" s="30" t="str">
        <x:v>Donna might consider adopting rodents.</x:v>
      </x:c>
      <x:c r="G10" s="30" t="str">
        <x:v>Rodents</x:v>
      </x:c>
      <x:c r="H10" s="30" t="str">
        <x:v>deepseek-v4-flash</x:v>
      </x:c>
      <x:c r="I10" s="30" t="str">
        <x:v>deepseek-v4-flash</x:v>
      </x:c>
      <x:c r="J10" s="30" t="str">
        <x:v>8469cd028e33e11768aa44dd28fef1b343e00f0e823614fbce982bc8e3225263</x:v>
      </x:c>
      <x:c r="K10" s="30" t="str">
        <x:v>adb1cae91ab23327083b2490e2fd2a3765971524d31003c6328fd080b189c323</x:v>
      </x:c>
      <x:c r="L10" s="30" t="n">
        <x:v>959.95</x:v>
      </x:c>
      <x:c r="M10" s="30" t="str">
        <x:v>{"completion_tokens": 2, "prompt_tokens": 607, "total_tokens": 609, "completion_tokens_details": null, "prompt_tokens_details": {"audio_tokens": null, "cached_tokens": 512}, "prompt_cache_hit_tokens": 512, "prompt_cache_miss_tokens": 95}</x:v>
      </x:c>
      <x:c r="N10" s="30" t="str">
        <x:v>correct</x:v>
      </x:c>
      <x:c r="O10" s="30" t="str">
        <x:v>The model answer 'Rodents' is semantically equivalent to the gold answer 'Donna might consider adopting rodents.' The wording is more concise but conveys the same complete meaning without any false or unsupported claims.</x:v>
      </x:c>
      <x:c r="P10" s="30" t="str">
        <x:v>LongCat-2.0</x:v>
      </x:c>
      <x:c r="Q10" s="30" t="str">
        <x:v>LongCat-2.0</x:v>
      </x:c>
      <x:c r="R10" s="30" t="n">
        <x:v>15009.06</x:v>
      </x:c>
      <x:c r="S10" s="30" t="str">
        <x:v>{"completion_tokens": 52, "prompt_tokens": 148,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
      <x:c r="A11" s="30" t="str">
        <x:v>memos_long:1085</x:v>
      </x:c>
      <x:c r="B11" s="30" t="str">
        <x:v>long</x:v>
      </x:c>
      <x:c r="C11" s="30" t="str">
        <x:v>Basic Fact Recall</x:v>
      </x:c>
      <x:c r="D11" s="30" t="n">
        <x:v>1</x:v>
      </x:c>
      <x:c r="E11" s="30" t="str">
        <x:v>What is Taylor David considering to manage stress as of January 05, 2028?</x:v>
      </x:c>
      <x:c r="F11" s="30" t="str">
        <x:v>Integrating mindfulness practices</x:v>
      </x:c>
      <x:c r="G11" s="30" t="str">
        <x:v>Mindfulness practices</x:v>
      </x:c>
      <x:c r="H11" s="30" t="str">
        <x:v>deepseek-v4-flash</x:v>
      </x:c>
      <x:c r="I11" s="30" t="str">
        <x:v>deepseek-v4-flash</x:v>
      </x:c>
      <x:c r="J11" s="30" t="str">
        <x:v>c448e9eb3e41d18f1daeb1229989de328f78ef93eefa45ff4df3b71f51dc43d7</x:v>
      </x:c>
      <x:c r="K11" s="30" t="str">
        <x:v>90708a8f3bc11356f172d9d11a2e970462c8281b196db0bc8b173cd1617548f1</x:v>
      </x:c>
      <x:c r="L11" s="30" t="n">
        <x:v>855.8</x:v>
      </x:c>
      <x:c r="M11" s="30" t="str">
        <x:v>{"completion_tokens": 3, "prompt_tokens": 536, "total_tokens": 539, "completion_tokens_details": null, "prompt_tokens_details": {"audio_tokens": null, "cached_tokens": 512}, "prompt_cache_hit_tokens": 512, "prompt_cache_miss_tokens": 24}</x:v>
      </x:c>
      <x:c r="N11" s="30" t="str">
        <x:v>correct</x:v>
      </x:c>
      <x:c r="O11" s="30" t="str">
        <x:v>The model answer 'Mindfulness practices' is a semantically complete match to the gold answer 'Integrating mindfulness practices,' with only minor wording differences that do not change the meaning.</x:v>
      </x:c>
      <x:c r="P11" s="30" t="str">
        <x:v>LongCat-2.0</x:v>
      </x:c>
      <x:c r="Q11" s="30" t="str">
        <x:v>LongCat-2.0</x:v>
      </x:c>
      <x:c r="R11" s="30" t="n">
        <x:v>2567.92</x:v>
      </x:c>
      <x:c r="S11" s="30" t="str">
        <x:v>{"completion_tokens": 47, "prompt_tokens": 147, "total_tokens": 194,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2">
      <x:c r="A12" s="30" t="str">
        <x:v>memos_long:1085</x:v>
      </x:c>
      <x:c r="B12" s="30" t="str">
        <x:v>long</x:v>
      </x:c>
      <x:c r="C12" s="30" t="str">
        <x:v>Basic Fact Recall</x:v>
      </x:c>
      <x:c r="D12" s="30" t="n">
        <x:v>2</x:v>
      </x:c>
      <x:c r="E12" s="30" t="str">
        <x:v>What is Taylor David considering to manage stress as of January 05, 2028?</x:v>
      </x:c>
      <x:c r="F12" s="30" t="str">
        <x:v>Integrating mindfulness practices</x:v>
      </x:c>
      <x:c r="G12" s="30" t="str">
        <x:v>Mindfulness practices</x:v>
      </x:c>
      <x:c r="H12" s="30" t="str">
        <x:v>deepseek-v4-flash</x:v>
      </x:c>
      <x:c r="I12" s="30" t="str">
        <x:v>deepseek-v4-flash</x:v>
      </x:c>
      <x:c r="J12" s="30" t="str">
        <x:v>c448e9eb3e41d18f1daeb1229989de328f78ef93eefa45ff4df3b71f51dc43d7</x:v>
      </x:c>
      <x:c r="K12" s="30" t="str">
        <x:v>90708a8f3bc11356f172d9d11a2e970462c8281b196db0bc8b173cd1617548f1</x:v>
      </x:c>
      <x:c r="L12" s="30" t="n">
        <x:v>769.8</x:v>
      </x:c>
      <x:c r="M12" s="30" t="str">
        <x:v>{"completion_tokens": 3, "prompt_tokens": 536, "total_tokens": 539, "completion_tokens_details": null, "prompt_tokens_details": {"audio_tokens": null, "cached_tokens": 512}, "prompt_cache_hit_tokens": 512, "prompt_cache_miss_tokens": 24}</x:v>
      </x:c>
      <x:c r="N12" s="30" t="str">
        <x:v>correct</x:v>
      </x:c>
      <x:c r="O12" s="30" t="str">
        <x:v>The model answer 'Mindfulness practices' is a semantically complete match to the gold answer 'Integrating mindfulness practices,' with only minor wording differences and no false or contradictory information.</x:v>
      </x:c>
      <x:c r="P12" s="30" t="str">
        <x:v>LongCat-2.0</x:v>
      </x:c>
      <x:c r="Q12" s="30" t="str">
        <x:v>LongCat-2.0</x:v>
      </x:c>
      <x:c r="R12" s="30" t="n">
        <x:v>2586.97</x:v>
      </x:c>
      <x:c r="S12" s="30" t="str">
        <x:v>{"completion_tokens": 47, "prompt_tokens": 147, "total_tokens": 194,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
      <x:c r="A13" s="30" t="str">
        <x:v>memos_long:1085</x:v>
      </x:c>
      <x:c r="B13" s="30" t="str">
        <x:v>long</x:v>
      </x:c>
      <x:c r="C13" s="30" t="str">
        <x:v>Basic Fact Recall</x:v>
      </x:c>
      <x:c r="D13" s="30" t="n">
        <x:v>3</x:v>
      </x:c>
      <x:c r="E13" s="30" t="str">
        <x:v>What is Taylor David considering to manage stress as of January 05, 2028?</x:v>
      </x:c>
      <x:c r="F13" s="30" t="str">
        <x:v>Integrating mindfulness practices</x:v>
      </x:c>
      <x:c r="G13" s="30" t="str">
        <x:v>Mindfulness practices</x:v>
      </x:c>
      <x:c r="H13" s="30" t="str">
        <x:v>deepseek-v4-flash</x:v>
      </x:c>
      <x:c r="I13" s="30" t="str">
        <x:v>deepseek-v4-flash</x:v>
      </x:c>
      <x:c r="J13" s="30" t="str">
        <x:v>c448e9eb3e41d18f1daeb1229989de328f78ef93eefa45ff4df3b71f51dc43d7</x:v>
      </x:c>
      <x:c r="K13" s="30" t="str">
        <x:v>90708a8f3bc11356f172d9d11a2e970462c8281b196db0bc8b173cd1617548f1</x:v>
      </x:c>
      <x:c r="L13" s="30" t="n">
        <x:v>861.43</x:v>
      </x:c>
      <x:c r="M13" s="30" t="str">
        <x:v>{"completion_tokens": 3, "prompt_tokens": 536, "total_tokens": 539, "completion_tokens_details": null, "prompt_tokens_details": {"audio_tokens": null, "cached_tokens": 512}, "prompt_cache_hit_tokens": 512, "prompt_cache_miss_tokens": 24}</x:v>
      </x:c>
      <x:c r="N13" s="30" t="str">
        <x:v>correct</x:v>
      </x:c>
      <x:c r="O13" s="30" t="str">
        <x:v>The model answer 'Mindfulness practices' is a semantically complete match to the gold answer 'Integrating mindfulness practices,' with only minor wording differences and no false or contradictory information.</x:v>
      </x:c>
      <x:c r="P13" s="30" t="str">
        <x:v>LongCat-2.0</x:v>
      </x:c>
      <x:c r="Q13" s="30" t="str">
        <x:v>LongCat-2.0</x:v>
      </x:c>
      <x:c r="R13" s="30" t="n">
        <x:v>2704.45</x:v>
      </x:c>
      <x:c r="S13" s="30" t="str">
        <x:v>{"completion_tokens": 47, "prompt_tokens": 147, "total_tokens": 194,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
      <x:c r="A14" s="30" t="str">
        <x:v>memos_long:1111</x:v>
      </x:c>
      <x:c r="B14" s="30" t="str">
        <x:v>long</x:v>
      </x:c>
      <x:c r="C14" s="30" t="str">
        <x:v>Basic Fact Recall</x:v>
      </x:c>
      <x:c r="D14" s="30" t="n">
        <x:v>1</x:v>
      </x:c>
      <x:c r="E14" s="30" t="str">
        <x:v>What type of movies did Taylor David develop a preference for as of May 17, 2030?</x:v>
      </x:c>
      <x:c r="F14" s="30" t="str">
        <x:v>Documentaries on lifestyle changes.</x:v>
      </x:c>
      <x:c r="G14" s="30" t="str">
        <x:v>Documentaries on lifestyle changes</x:v>
      </x:c>
      <x:c r="H14" s="30" t="str">
        <x:v>deepseek-v4-flash</x:v>
      </x:c>
      <x:c r="I14" s="30" t="str">
        <x:v>deepseek-v4-flash</x:v>
      </x:c>
      <x:c r="J14" s="30" t="str">
        <x:v>3ac30b41c252425dd85a94a3ce88247634f6a3999e88d5e07c8f4fa98419a1c4</x:v>
      </x:c>
      <x:c r="K14" s="30" t="str">
        <x:v>315c8ffa56114915ffc3c97c75a7feb8d08fd4d60ee3b0f237e98ee8c9510471</x:v>
      </x:c>
      <x:c r="L14" s="30" t="n">
        <x:v>565.01</x:v>
      </x:c>
      <x:c r="M14" s="30" t="str">
        <x:v>{"completion_tokens": 5, "prompt_tokens": 544, "total_tokens": 549, "completion_tokens_details": null, "prompt_tokens_details": {"audio_tokens": null, "cached_tokens": 512}, "prompt_cache_hit_tokens": 512, "prompt_cache_miss_tokens": 32}</x:v>
      </x:c>
      <x:c r="N14" s="30" t="str">
        <x:v>correct</x:v>
      </x:c>
      <x:c r="O14" s="30" t="str">
        <x:v>The model answer 'Documentaries on lifestyle changes' is semantically identical to the benchmark gold answer 'Documentaries on lifestyle changes.' and provides the complete answer without any contradiction or unsupported material.</x:v>
      </x:c>
      <x:c r="P14" s="30" t="str">
        <x:v>LongCat-2.0</x:v>
      </x:c>
      <x:c r="Q14" s="30" t="str">
        <x:v>LongCat-2.0</x:v>
      </x:c>
      <x:c r="R14" s="30" t="n">
        <x:v>2548.98</x:v>
      </x:c>
      <x:c r="S14" s="30" t="str">
        <x:v>{"completion_tokens": 49, "prompt_tokens": 153,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5">
      <x:c r="A15" s="30" t="str">
        <x:v>memos_long:1111</x:v>
      </x:c>
      <x:c r="B15" s="30" t="str">
        <x:v>long</x:v>
      </x:c>
      <x:c r="C15" s="30" t="str">
        <x:v>Basic Fact Recall</x:v>
      </x:c>
      <x:c r="D15" s="30" t="n">
        <x:v>2</x:v>
      </x:c>
      <x:c r="E15" s="30" t="str">
        <x:v>What type of movies did Taylor David develop a preference for as of May 17, 2030?</x:v>
      </x:c>
      <x:c r="F15" s="30" t="str">
        <x:v>Documentaries on lifestyle changes.</x:v>
      </x:c>
      <x:c r="G15" s="30" t="str">
        <x:v>Documentaries on lifestyle changes</x:v>
      </x:c>
      <x:c r="H15" s="30" t="str">
        <x:v>deepseek-v4-flash</x:v>
      </x:c>
      <x:c r="I15" s="30" t="str">
        <x:v>deepseek-v4-flash</x:v>
      </x:c>
      <x:c r="J15" s="30" t="str">
        <x:v>3ac30b41c252425dd85a94a3ce88247634f6a3999e88d5e07c8f4fa98419a1c4</x:v>
      </x:c>
      <x:c r="K15" s="30" t="str">
        <x:v>315c8ffa56114915ffc3c97c75a7feb8d08fd4d60ee3b0f237e98ee8c9510471</x:v>
      </x:c>
      <x:c r="L15" s="30" t="n">
        <x:v>613.52</x:v>
      </x:c>
      <x:c r="M15" s="30" t="str">
        <x:v>{"completion_tokens": 5, "prompt_tokens": 544, "total_tokens": 549, "completion_tokens_details": null, "prompt_tokens_details": {"audio_tokens": null, "cached_tokens": 512}, "prompt_cache_hit_tokens": 512, "prompt_cache_miss_tokens": 32}</x:v>
      </x:c>
      <x:c r="N15" s="30" t="str">
        <x:v>correct</x:v>
      </x:c>
      <x:c r="O15" s="30" t="str">
        <x:v>The model answer 'Documentaries on lifestyle changes' is semantically identical to the benchmark gold answer 'Documentaries on lifestyle changes.' and provides the complete answer without any contradiction or unsupported material.</x:v>
      </x:c>
      <x:c r="P15" s="30" t="str">
        <x:v>LongCat-2.0</x:v>
      </x:c>
      <x:c r="Q15" s="30" t="str">
        <x:v>LongCat-2.0</x:v>
      </x:c>
      <x:c r="R15" s="30" t="n">
        <x:v>2108.4</x:v>
      </x:c>
      <x:c r="S15" s="30" t="str">
        <x:v>{"completion_tokens": 49, "prompt_tokens": 153,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
      <x:c r="A16" s="30" t="str">
        <x:v>memos_long:1111</x:v>
      </x:c>
      <x:c r="B16" s="30" t="str">
        <x:v>long</x:v>
      </x:c>
      <x:c r="C16" s="30" t="str">
        <x:v>Basic Fact Recall</x:v>
      </x:c>
      <x:c r="D16" s="30" t="n">
        <x:v>3</x:v>
      </x:c>
      <x:c r="E16" s="30" t="str">
        <x:v>What type of movies did Taylor David develop a preference for as of May 17, 2030?</x:v>
      </x:c>
      <x:c r="F16" s="30" t="str">
        <x:v>Documentaries on lifestyle changes.</x:v>
      </x:c>
      <x:c r="G16" s="30" t="str">
        <x:v>Documentaries on lifestyle changes</x:v>
      </x:c>
      <x:c r="H16" s="30" t="str">
        <x:v>deepseek-v4-flash</x:v>
      </x:c>
      <x:c r="I16" s="30" t="str">
        <x:v>deepseek-v4-flash</x:v>
      </x:c>
      <x:c r="J16" s="30" t="str">
        <x:v>3ac30b41c252425dd85a94a3ce88247634f6a3999e88d5e07c8f4fa98419a1c4</x:v>
      </x:c>
      <x:c r="K16" s="30" t="str">
        <x:v>315c8ffa56114915ffc3c97c75a7feb8d08fd4d60ee3b0f237e98ee8c9510471</x:v>
      </x:c>
      <x:c r="L16" s="30" t="n">
        <x:v>678.11</x:v>
      </x:c>
      <x:c r="M16" s="30" t="str">
        <x:v>{"completion_tokens": 5, "prompt_tokens": 544, "total_tokens": 549, "completion_tokens_details": null, "prompt_tokens_details": {"audio_tokens": null, "cached_tokens": 512}, "prompt_cache_hit_tokens": 512, "prompt_cache_miss_tokens": 32}</x:v>
      </x:c>
      <x:c r="N16" s="30" t="str">
        <x:v>correct</x:v>
      </x:c>
      <x:c r="O16" s="30" t="str">
        <x:v>The model answer 'Documentaries on lifestyle changes' is semantically identical to the benchmark gold answer 'Documentaries on lifestyle changes.' and provides the complete answer without any contradiction or unsupported material.</x:v>
      </x:c>
      <x:c r="P16" s="30" t="str">
        <x:v>LongCat-2.0</x:v>
      </x:c>
      <x:c r="Q16" s="30" t="str">
        <x:v>LongCat-2.0</x:v>
      </x:c>
      <x:c r="R16" s="30" t="n">
        <x:v>2099.88</x:v>
      </x:c>
      <x:c r="S16" s="30" t="str">
        <x:v>{"completion_tokens": 49, "prompt_tokens": 153,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
      <x:c r="A17" s="30" t="str">
        <x:v>memos_long:1123</x:v>
      </x:c>
      <x:c r="B17" s="30" t="str">
        <x:v>long</x:v>
      </x:c>
      <x:c r="C17" s="30" t="str">
        <x:v>Basic Fact Recall</x:v>
      </x:c>
      <x:c r="D17" s="30" t="n">
        <x:v>1</x:v>
      </x:c>
      <x:c r="E17" s="30" t="str">
        <x:v>As of October 2, 2031, what practices did Taylor David explore to refocus on personal recovery?</x:v>
      </x:c>
      <x:c r="F17" s="30" t="str">
        <x:v>Mindfulness practices, starting with meditation</x:v>
      </x:c>
      <x:c r="G17" s="30" t="str">
        <x:v>Meditation</x:v>
      </x:c>
      <x:c r="H17" s="30" t="str">
        <x:v>deepseek-v4-flash</x:v>
      </x:c>
      <x:c r="I17" s="30" t="str">
        <x:v>deepseek-v4-flash</x:v>
      </x:c>
      <x:c r="J17" s="30" t="str">
        <x:v>b25b8cf81b8d33fcaf8b9feac6603287e21333f4fb80379f617de935dacb6cc2</x:v>
      </x:c>
      <x:c r="K17" s="30" t="str">
        <x:v>ae92eead923211b5e7bbe13158b3051a65fdfa1169ba989b9f4d532f2b6bf81c</x:v>
      </x:c>
      <x:c r="L17" s="30" t="n">
        <x:v>550.2</x:v>
      </x:c>
      <x:c r="M17" s="30" t="str">
        <x:v>{"completion_tokens": 2, "prompt_tokens": 543, "total_tokens": 545, "completion_tokens_details": null, "prompt_tokens_details": {"audio_tokens": null, "cached_tokens": 512}, "prompt_cache_hit_tokens": 512, "prompt_cache_miss_tokens": 31}</x:v>
      </x:c>
      <x:c r="N17" s="30" t="str">
        <x:v>omission</x:v>
      </x:c>
      <x:c r="O17"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x:v>
      </x:c>
      <x:c r="P17" s="30" t="str">
        <x:v>LongCat-2.0</x:v>
      </x:c>
      <x:c r="Q17" s="30" t="str">
        <x:v>LongCat-2.0</x:v>
      </x:c>
      <x:c r="R17" s="30" t="n">
        <x:v>2800.83</x:v>
      </x:c>
      <x:c r="S17" s="30" t="str">
        <x:v>{"completion_tokens": 70, "prompt_tokens": 153,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8">
      <x:c r="A18" s="30" t="str">
        <x:v>memos_long:1123</x:v>
      </x:c>
      <x:c r="B18" s="30" t="str">
        <x:v>long</x:v>
      </x:c>
      <x:c r="C18" s="30" t="str">
        <x:v>Basic Fact Recall</x:v>
      </x:c>
      <x:c r="D18" s="30" t="n">
        <x:v>2</x:v>
      </x:c>
      <x:c r="E18" s="30" t="str">
        <x:v>As of October 2, 2031, what practices did Taylor David explore to refocus on personal recovery?</x:v>
      </x:c>
      <x:c r="F18" s="30" t="str">
        <x:v>Mindfulness practices, starting with meditation</x:v>
      </x:c>
      <x:c r="G18" s="30" t="str">
        <x:v>Meditation</x:v>
      </x:c>
      <x:c r="H18" s="30" t="str">
        <x:v>deepseek-v4-flash</x:v>
      </x:c>
      <x:c r="I18" s="30" t="str">
        <x:v>deepseek-v4-flash</x:v>
      </x:c>
      <x:c r="J18" s="30" t="str">
        <x:v>b25b8cf81b8d33fcaf8b9feac6603287e21333f4fb80379f617de935dacb6cc2</x:v>
      </x:c>
      <x:c r="K18" s="30" t="str">
        <x:v>ae92eead923211b5e7bbe13158b3051a65fdfa1169ba989b9f4d532f2b6bf81c</x:v>
      </x:c>
      <x:c r="L18" s="30" t="n">
        <x:v>530.79</x:v>
      </x:c>
      <x:c r="M18" s="30" t="str">
        <x:v>{"completion_tokens": 2, "prompt_tokens": 543, "total_tokens": 545, "completion_tokens_details": null, "prompt_tokens_details": {"audio_tokens": null, "cached_tokens": 512}, "prompt_cache_hit_tokens": 512, "prompt_cache_miss_tokens": 31}</x:v>
      </x:c>
      <x:c r="N18" s="30" t="str">
        <x:v>omission</x:v>
      </x:c>
      <x:c r="O18"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without adding a false claim.</x:v>
      </x:c>
      <x:c r="P18" s="30" t="str">
        <x:v>LongCat-2.0</x:v>
      </x:c>
      <x:c r="Q18" s="30" t="str">
        <x:v>LongCat-2.0</x:v>
      </x:c>
      <x:c r="R18" s="30" t="n">
        <x:v>3753.91</x:v>
      </x:c>
      <x:c r="S18" s="30" t="str">
        <x:v>{"completion_tokens": 70, "prompt_tokens": 153,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
      <x:c r="A19" s="30" t="str">
        <x:v>memos_long:1123</x:v>
      </x:c>
      <x:c r="B19" s="30" t="str">
        <x:v>long</x:v>
      </x:c>
      <x:c r="C19" s="30" t="str">
        <x:v>Basic Fact Recall</x:v>
      </x:c>
      <x:c r="D19" s="30" t="n">
        <x:v>3</x:v>
      </x:c>
      <x:c r="E19" s="30" t="str">
        <x:v>As of October 2, 2031, what practices did Taylor David explore to refocus on personal recovery?</x:v>
      </x:c>
      <x:c r="F19" s="30" t="str">
        <x:v>Mindfulness practices, starting with meditation</x:v>
      </x:c>
      <x:c r="G19" s="30" t="str">
        <x:v>Meditation</x:v>
      </x:c>
      <x:c r="H19" s="30" t="str">
        <x:v>deepseek-v4-flash</x:v>
      </x:c>
      <x:c r="I19" s="30" t="str">
        <x:v>deepseek-v4-flash</x:v>
      </x:c>
      <x:c r="J19" s="30" t="str">
        <x:v>b25b8cf81b8d33fcaf8b9feac6603287e21333f4fb80379f617de935dacb6cc2</x:v>
      </x:c>
      <x:c r="K19" s="30" t="str">
        <x:v>ae92eead923211b5e7bbe13158b3051a65fdfa1169ba989b9f4d532f2b6bf81c</x:v>
      </x:c>
      <x:c r="L19" s="30" t="n">
        <x:v>677.57</x:v>
      </x:c>
      <x:c r="M19" s="30" t="str">
        <x:v>{"completion_tokens": 2, "prompt_tokens": 543, "total_tokens": 545, "completion_tokens_details": null, "prompt_tokens_details": {"audio_tokens": null, "cached_tokens": 512}, "prompt_cache_hit_tokens": 512, "prompt_cache_miss_tokens": 31}</x:v>
      </x:c>
      <x:c r="N19" s="30" t="str">
        <x:v>omission</x:v>
      </x:c>
      <x:c r="O19" s="30" t="str">
        <x:v>The gold answer specifies 'Mindfulness practices, starting with meditation,' which includes both the broader category (mindfulness practices) and the specific starting point (meditation). The model answer only provides 'Meditation,' which is an incomplete subset of the full gold answer and omits the broader context of mindfulness practices.</x:v>
      </x:c>
      <x:c r="P19" s="30" t="str">
        <x:v>LongCat-2.0</x:v>
      </x:c>
      <x:c r="Q19" s="30" t="str">
        <x:v>LongCat-2.0</x:v>
      </x:c>
      <x:c r="R19" s="30" t="n">
        <x:v>3872.79</x:v>
      </x:c>
      <x:c r="S19" s="30" t="str">
        <x:v>{"completion_tokens": 74, "prompt_tokens": 153,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
      <x:c r="A20" s="30" t="str">
        <x:v>memos_long:115</x:v>
      </x:c>
      <x:c r="B20" s="30" t="str">
        <x:v>long</x:v>
      </x:c>
      <x:c r="C20" s="30" t="str">
        <x:v>Basic Fact Recall</x:v>
      </x:c>
      <x:c r="D20" s="30" t="n">
        <x:v>1</x:v>
      </x:c>
      <x:c r="E20" s="30" t="str">
        <x:v>What is Martin's pet preference as of Mar 23, 2032?</x:v>
      </x:c>
      <x:c r="F20" s="30" t="str">
        <x:v>Parrots, with a focus on conservation and ethical considerations.</x:v>
      </x:c>
      <x:c r="G20" s="30" t="str">
        <x:v>Parrots with conservation focus.</x:v>
      </x:c>
      <x:c r="H20" s="30" t="str">
        <x:v>deepseek-v4-flash</x:v>
      </x:c>
      <x:c r="I20" s="30" t="str">
        <x:v>deepseek-v4-flash</x:v>
      </x:c>
      <x:c r="J20" s="30" t="str">
        <x:v>1b3f1b983d70905abbc6df1b06797f29adcbbdc2cc2a58fe4700236a0c8ff552</x:v>
      </x:c>
      <x:c r="K20" s="30" t="str">
        <x:v>fafced4ef0f765852de31d16cd24b2e1f92523ab9ed42a14d8cf695756ce345e</x:v>
      </x:c>
      <x:c r="L20" s="30" t="n">
        <x:v>780.38</x:v>
      </x:c>
      <x:c r="M20" s="30" t="str">
        <x:v>{"completion_tokens": 6, "prompt_tokens": 533, "total_tokens": 539, "completion_tokens_details": null, "prompt_tokens_details": {"audio_tokens": null, "cached_tokens": 512}, "prompt_cache_hit_tokens": 512, "prompt_cache_miss_tokens": 21}</x:v>
      </x:c>
      <x:c r="N20" s="30" t="str">
        <x:v>correct</x:v>
      </x:c>
      <x:c r="O20" s="30" t="str">
        <x:v>The model answer 'Parrots with conservation focus' captures the core semantic content of the gold answer 'Parrots, with a focus on conservation and ethical considerations.' While it omits the explicit mention of 'ethical considerations,' it does not add any false or unsupported claims, and the key elements (parrots and conservation focus) are accurately conveyed. The omission of 'ethical considerations' is minor and does not constitute a concrete false claim or a significant enough omission to downgrade to 'omission,' as the primary meaning is preserved.</x:v>
      </x:c>
      <x:c r="P20" s="30" t="str">
        <x:v>LongCat-2.0</x:v>
      </x:c>
      <x:c r="Q20" s="30" t="str">
        <x:v>LongCat-2.0</x:v>
      </x:c>
      <x:c r="R20" s="30" t="n">
        <x:v>6916.09</x:v>
      </x:c>
      <x:c r="S20" s="30" t="str">
        <x:v>{"completion_tokens": 117, "prompt_tokens": 154, "total_tokens": 271,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1">
      <x:c r="A21" s="30" t="str">
        <x:v>memos_long:115</x:v>
      </x:c>
      <x:c r="B21" s="30" t="str">
        <x:v>long</x:v>
      </x:c>
      <x:c r="C21" s="30" t="str">
        <x:v>Basic Fact Recall</x:v>
      </x:c>
      <x:c r="D21" s="30" t="n">
        <x:v>2</x:v>
      </x:c>
      <x:c r="E21" s="30" t="str">
        <x:v>What is Martin's pet preference as of Mar 23, 2032?</x:v>
      </x:c>
      <x:c r="F21" s="30" t="str">
        <x:v>Parrots, with a focus on conservation and ethical considerations.</x:v>
      </x:c>
      <x:c r="G21" s="30" t="str">
        <x:v>Parrots with conservation focus.</x:v>
      </x:c>
      <x:c r="H21" s="30" t="str">
        <x:v>deepseek-v4-flash</x:v>
      </x:c>
      <x:c r="I21" s="30" t="str">
        <x:v>deepseek-v4-flash</x:v>
      </x:c>
      <x:c r="J21" s="30" t="str">
        <x:v>1b3f1b983d70905abbc6df1b06797f29adcbbdc2cc2a58fe4700236a0c8ff552</x:v>
      </x:c>
      <x:c r="K21" s="30" t="str">
        <x:v>fafced4ef0f765852de31d16cd24b2e1f92523ab9ed42a14d8cf695756ce345e</x:v>
      </x:c>
      <x:c r="L21" s="30" t="n">
        <x:v>805.11</x:v>
      </x:c>
      <x:c r="M21" s="30" t="str">
        <x:v>{"completion_tokens": 6, "prompt_tokens": 533, "total_tokens": 539, "completion_tokens_details": null, "prompt_tokens_details": {"audio_tokens": null, "cached_tokens": 512}, "prompt_cache_hit_tokens": 512, "prompt_cache_miss_tokens": 21}</x:v>
      </x:c>
      <x:c r="N21" s="30" t="str">
        <x:v>correct</x:v>
      </x:c>
      <x:c r="O21" s="30" t="str">
        <x:v>The model answer 'Parrots with conservation focus' captures the core semantic content of the gold answer 'Parrots, with a focus on conservation and ethical considerations.' While it omits the explicit mention of 'ethical considerations,' the answer is not incomplete in a way that constitutes an omission—it provides a concrete, accurate subset of the gold answer without adding any false or unsupported claims. The key elements (parrots and conservation focus) are present and semantically aligned with the gold answer.</x:v>
      </x:c>
      <x:c r="P21" s="30" t="str">
        <x:v>LongCat-2.0</x:v>
      </x:c>
      <x:c r="Q21" s="30" t="str">
        <x:v>LongCat-2.0</x:v>
      </x:c>
      <x:c r="R21" s="30" t="n">
        <x:v>5555.25</x:v>
      </x:c>
      <x:c r="S21" s="30" t="str">
        <x:v>{"completion_tokens": 108, "prompt_tokens": 154, "total_tokens": 262,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
      <x:c r="A22" s="30" t="str">
        <x:v>memos_long:115</x:v>
      </x:c>
      <x:c r="B22" s="30" t="str">
        <x:v>long</x:v>
      </x:c>
      <x:c r="C22" s="30" t="str">
        <x:v>Basic Fact Recall</x:v>
      </x:c>
      <x:c r="D22" s="30" t="n">
        <x:v>3</x:v>
      </x:c>
      <x:c r="E22" s="30" t="str">
        <x:v>What is Martin's pet preference as of Mar 23, 2032?</x:v>
      </x:c>
      <x:c r="F22" s="30" t="str">
        <x:v>Parrots, with a focus on conservation and ethical considerations.</x:v>
      </x:c>
      <x:c r="G22" s="30" t="str">
        <x:v>Parrots with conservation focus.</x:v>
      </x:c>
      <x:c r="H22" s="30" t="str">
        <x:v>deepseek-v4-flash</x:v>
      </x:c>
      <x:c r="I22" s="30" t="str">
        <x:v>deepseek-v4-flash</x:v>
      </x:c>
      <x:c r="J22" s="30" t="str">
        <x:v>1b3f1b983d70905abbc6df1b06797f29adcbbdc2cc2a58fe4700236a0c8ff552</x:v>
      </x:c>
      <x:c r="K22" s="30" t="str">
        <x:v>fafced4ef0f765852de31d16cd24b2e1f92523ab9ed42a14d8cf695756ce345e</x:v>
      </x:c>
      <x:c r="L22" s="30" t="n">
        <x:v>789.18</x:v>
      </x:c>
      <x:c r="M22" s="30" t="str">
        <x:v>{"completion_tokens": 6, "prompt_tokens": 533, "total_tokens": 539, "completion_tokens_details": null, "prompt_tokens_details": {"audio_tokens": null, "cached_tokens": 512}, "prompt_cache_hit_tokens": 512, "prompt_cache_miss_tokens": 21}</x:v>
      </x:c>
      <x:c r="N22" s="30" t="str">
        <x:v>omission</x:v>
      </x:c>
      <x:c r="O22" s="30" t="str">
        <x:v>The model answer captures 'Parrots' and 'conservation focus' but omits the 'ethical considerations' component present in the gold answer. Since it provides only an incomplete subset without adding a false claim, it qualifies as an omission.</x:v>
      </x:c>
      <x:c r="P22" s="30" t="str">
        <x:v>LongCat-2.0</x:v>
      </x:c>
      <x:c r="Q22" s="30" t="str">
        <x:v>LongCat-2.0</x:v>
      </x:c>
      <x:c r="R22" s="30" t="n">
        <x:v>4862.55</x:v>
      </x:c>
      <x:c r="S22" s="30" t="str">
        <x:v>{"completion_tokens": 60, "prompt_tokens": 154,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3">
      <x:c r="A23" s="30" t="str">
        <x:v>memos_long:1170</x:v>
      </x:c>
      <x:c r="B23" s="30" t="str">
        <x:v>long</x:v>
      </x:c>
      <x:c r="C23" s="30" t="str">
        <x:v>Generalization &amp; Application</x:v>
      </x:c>
      <x:c r="D23" s="30" t="n">
        <x:v>1</x:v>
      </x:c>
      <x:c r="E23" s="30" t="str">
        <x:v>What strategies might Taylor develop to expand the impact of the Global Nutrition Initiative after Sep 01, 2035?</x:v>
      </x:c>
      <x:c r="F23" s="30" t="str">
        <x:v>Leveraging emotional resonance and empathetic interactions through AI.</x:v>
      </x:c>
      <x:c r="G23" s="30" t="str">
        <x:v>Leveraging AI for empathetic support.</x:v>
      </x:c>
      <x:c r="H23" s="30" t="str">
        <x:v>deepseek-v4-flash</x:v>
      </x:c>
      <x:c r="I23" s="30" t="str">
        <x:v>deepseek-v4-flash</x:v>
      </x:c>
      <x:c r="J23" s="30" t="str">
        <x:v>b09799ebc76ba0314c68983ee7f3a35b0a02a7e061cd6fa720fb4cc5b713d757</x:v>
      </x:c>
      <x:c r="K23" s="30" t="str">
        <x:v>42d442710bafb2a8643c44070af21879162cf60fbaae6d60166f795fe268ad69</x:v>
      </x:c>
      <x:c r="L23" s="30" t="n">
        <x:v>920.77</x:v>
      </x:c>
      <x:c r="M23" s="30" t="str">
        <x:v>{"completion_tokens": 8, "prompt_tokens": 569, "total_tokens": 577, "completion_tokens_details": null, "prompt_tokens_details": {"audio_tokens": null, "cached_tokens": 512}, "prompt_cache_hit_tokens": 512, "prompt_cache_miss_tokens": 57}</x:v>
      </x:c>
      <x:c r="N23" s="30" t="str">
        <x:v>omission</x:v>
      </x:c>
      <x:c r="O23"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P23" s="30" t="str">
        <x:v>LongCat-2.0</x:v>
      </x:c>
      <x:c r="Q23" s="30" t="str">
        <x:v>LongCat-2.0</x:v>
      </x:c>
      <x:c r="R23" s="30" t="n">
        <x:v>3356.98</x:v>
      </x:c>
      <x:c r="S23" s="30" t="str">
        <x:v>{"completion_tokens": 68, "prompt_tokens": 164,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
      <x:c r="A24" s="30" t="str">
        <x:v>memos_long:1170</x:v>
      </x:c>
      <x:c r="B24" s="30" t="str">
        <x:v>long</x:v>
      </x:c>
      <x:c r="C24" s="30" t="str">
        <x:v>Generalization &amp; Application</x:v>
      </x:c>
      <x:c r="D24" s="30" t="n">
        <x:v>2</x:v>
      </x:c>
      <x:c r="E24" s="30" t="str">
        <x:v>What strategies might Taylor develop to expand the impact of the Global Nutrition Initiative after Sep 01, 2035?</x:v>
      </x:c>
      <x:c r="F24" s="30" t="str">
        <x:v>Leveraging emotional resonance and empathetic interactions through AI.</x:v>
      </x:c>
      <x:c r="G24" s="30" t="str">
        <x:v>Leveraging AI for empathetic support.</x:v>
      </x:c>
      <x:c r="H24" s="30" t="str">
        <x:v>deepseek-v4-flash</x:v>
      </x:c>
      <x:c r="I24" s="30" t="str">
        <x:v>deepseek-v4-flash</x:v>
      </x:c>
      <x:c r="J24" s="30" t="str">
        <x:v>b09799ebc76ba0314c68983ee7f3a35b0a02a7e061cd6fa720fb4cc5b713d757</x:v>
      </x:c>
      <x:c r="K24" s="30" t="str">
        <x:v>42d442710bafb2a8643c44070af21879162cf60fbaae6d60166f795fe268ad69</x:v>
      </x:c>
      <x:c r="L24" s="30" t="n">
        <x:v>613.33</x:v>
      </x:c>
      <x:c r="M24" s="30" t="str">
        <x:v>{"completion_tokens": 8, "prompt_tokens": 569, "total_tokens": 577, "completion_tokens_details": null, "prompt_tokens_details": {"audio_tokens": null, "cached_tokens": 512}, "prompt_cache_hit_tokens": 512, "prompt_cache_miss_tokens": 57}</x:v>
      </x:c>
      <x:c r="N24" s="30" t="str">
        <x:v>omission</x:v>
      </x:c>
      <x:c r="O24" s="30" t="str">
        <x:v>The model answer captures 'empathetic support' and 'AI' but omits the key element of 'emotional resonance' and the broader concept of 'empathetic interactions' present in the gold answer. It provides only an incomplete subset of the gold answer without adding false claims.</x:v>
      </x:c>
      <x:c r="P24" s="30" t="str">
        <x:v>LongCat-2.0</x:v>
      </x:c>
      <x:c r="Q24" s="30" t="str">
        <x:v>LongCat-2.0</x:v>
      </x:c>
      <x:c r="R24" s="30" t="n">
        <x:v>4683.07</x:v>
      </x:c>
      <x:c r="S24" s="30" t="str">
        <x:v>{"completion_tokens": 68, "prompt_tokens": 164,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5">
      <x:c r="A25" s="30" t="str">
        <x:v>memos_long:1170</x:v>
      </x:c>
      <x:c r="B25" s="30" t="str">
        <x:v>long</x:v>
      </x:c>
      <x:c r="C25" s="30" t="str">
        <x:v>Generalization &amp; Application</x:v>
      </x:c>
      <x:c r="D25" s="30" t="n">
        <x:v>3</x:v>
      </x:c>
      <x:c r="E25" s="30" t="str">
        <x:v>What strategies might Taylor develop to expand the impact of the Global Nutrition Initiative after Sep 01, 2035?</x:v>
      </x:c>
      <x:c r="F25" s="30" t="str">
        <x:v>Leveraging emotional resonance and empathetic interactions through AI.</x:v>
      </x:c>
      <x:c r="G25" s="30" t="str">
        <x:v>Leveraging AI for empathetic support.</x:v>
      </x:c>
      <x:c r="H25" s="30" t="str">
        <x:v>deepseek-v4-flash</x:v>
      </x:c>
      <x:c r="I25" s="30" t="str">
        <x:v>deepseek-v4-flash</x:v>
      </x:c>
      <x:c r="J25" s="30" t="str">
        <x:v>b09799ebc76ba0314c68983ee7f3a35b0a02a7e061cd6fa720fb4cc5b713d757</x:v>
      </x:c>
      <x:c r="K25" s="30" t="str">
        <x:v>42d442710bafb2a8643c44070af21879162cf60fbaae6d60166f795fe268ad69</x:v>
      </x:c>
      <x:c r="L25" s="30" t="n">
        <x:v>611.59</x:v>
      </x:c>
      <x:c r="M25" s="30" t="str">
        <x:v>{"completion_tokens": 8, "prompt_tokens": 569, "total_tokens": 577, "completion_tokens_details": null, "prompt_tokens_details": {"audio_tokens": null, "cached_tokens": 512}, "prompt_cache_hit_tokens": 512, "prompt_cache_miss_tokens": 57}</x:v>
      </x:c>
      <x:c r="N25" s="30" t="str">
        <x:v>omission</x:v>
      </x:c>
      <x:c r="O25"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P25" s="30" t="str">
        <x:v>LongCat-2.0</x:v>
      </x:c>
      <x:c r="Q25" s="30" t="str">
        <x:v>LongCat-2.0</x:v>
      </x:c>
      <x:c r="R25" s="30" t="n">
        <x:v>5621.84</x:v>
      </x:c>
      <x:c r="S25" s="30" t="str">
        <x:v>{"completion_tokens": 68, "prompt_tokens": 164,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6">
      <x:c r="A26" s="30" t="str">
        <x:v>memos_long:1176</x:v>
      </x:c>
      <x:c r="B26" s="30" t="str">
        <x:v>long</x:v>
      </x:c>
      <x:c r="C26" s="30" t="str">
        <x:v>Generalization &amp; Application</x:v>
      </x:c>
      <x:c r="D26" s="30" t="n">
        <x:v>1</x:v>
      </x:c>
      <x:c r="E26" s="30" t="str">
        <x:v>What might Taylor prioritize to maintain his advocacy goals after Feb 01, 2036?</x:v>
      </x:c>
      <x:c r="F26" s="30" t="str">
        <x:v>Collaboration with international organizations.</x:v>
      </x:c>
      <x:c r="G26" s="30" t="str">
        <x:v>Collaboration with international organizations.</x:v>
      </x:c>
      <x:c r="H26" s="30" t="str">
        <x:v>deepseek-v4-flash</x:v>
      </x:c>
      <x:c r="I26" s="30" t="str">
        <x:v>deepseek-v4-flash</x:v>
      </x:c>
      <x:c r="J26" s="30" t="str">
        <x:v>9a2b83fab1377f8758d5e6d48ad7eb6cf648ba237fbff83bc601db10e791714b</x:v>
      </x:c>
      <x:c r="K26" s="30" t="str">
        <x:v>0d299ffdcbfb42ff09069bbd5a385c1b44e127169ba9eb929ae245145f8a0c8c</x:v>
      </x:c>
      <x:c r="L26" s="30" t="n">
        <x:v>595.59</x:v>
      </x:c>
      <x:c r="M26" s="30" t="str">
        <x:v>{"completion_tokens": 6, "prompt_tokens": 573, "total_tokens": 579, "completion_tokens_details": null, "prompt_tokens_details": {"audio_tokens": null, "cached_tokens": 512}, "prompt_cache_hit_tokens": 512, "prompt_cache_miss_tokens": 61}</x:v>
      </x:c>
      <x:c r="N26" s="30" t="str">
        <x:v>correct</x:v>
      </x:c>
      <x:c r="O26" s="30" t="str">
        <x:v>The model answer exactly matches the benchmark gold answer, providing the complete and correct response without any contradiction or omission.</x:v>
      </x:c>
      <x:c r="P26" s="30" t="str">
        <x:v>LongCat-2.0</x:v>
      </x:c>
      <x:c r="Q26" s="30" t="str">
        <x:v>LongCat-2.0</x:v>
      </x:c>
      <x:c r="R26" s="30" t="n">
        <x:v>5073.23</x:v>
      </x:c>
      <x:c r="S26" s="30" t="str">
        <x:v>{"completion_tokens": 33, "prompt_tokens": 150, "total_tokens": 183,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7">
      <x:c r="A27" s="30" t="str">
        <x:v>memos_long:1176</x:v>
      </x:c>
      <x:c r="B27" s="30" t="str">
        <x:v>long</x:v>
      </x:c>
      <x:c r="C27" s="30" t="str">
        <x:v>Generalization &amp; Application</x:v>
      </x:c>
      <x:c r="D27" s="30" t="n">
        <x:v>2</x:v>
      </x:c>
      <x:c r="E27" s="30" t="str">
        <x:v>What might Taylor prioritize to maintain his advocacy goals after Feb 01, 2036?</x:v>
      </x:c>
      <x:c r="F27" s="30" t="str">
        <x:v>Collaboration with international organizations.</x:v>
      </x:c>
      <x:c r="G27" s="30" t="str">
        <x:v>Collaboration with international organizations.</x:v>
      </x:c>
      <x:c r="H27" s="30" t="str">
        <x:v>deepseek-v4-flash</x:v>
      </x:c>
      <x:c r="I27" s="30" t="str">
        <x:v>deepseek-v4-flash</x:v>
      </x:c>
      <x:c r="J27" s="30" t="str">
        <x:v>9a2b83fab1377f8758d5e6d48ad7eb6cf648ba237fbff83bc601db10e791714b</x:v>
      </x:c>
      <x:c r="K27" s="30" t="str">
        <x:v>0d299ffdcbfb42ff09069bbd5a385c1b44e127169ba9eb929ae245145f8a0c8c</x:v>
      </x:c>
      <x:c r="L27" s="30" t="n">
        <x:v>615.24</x:v>
      </x:c>
      <x:c r="M27" s="30" t="str">
        <x:v>{"completion_tokens": 6, "prompt_tokens": 573, "total_tokens": 579, "completion_tokens_details": null, "prompt_tokens_details": {"audio_tokens": null, "cached_tokens": 512}, "prompt_cache_hit_tokens": 512, "prompt_cache_miss_tokens": 61}</x:v>
      </x:c>
      <x:c r="N27" s="30" t="str">
        <x:v>correct</x:v>
      </x:c>
      <x:c r="O27" s="30" t="str">
        <x:v>The model answer exactly matches the benchmark gold answer 'Collaboration with international organizations,' providing the complete semantic content with identical wording.</x:v>
      </x:c>
      <x:c r="P27" s="30" t="str">
        <x:v>LongCat-2.0</x:v>
      </x:c>
      <x:c r="Q27" s="30" t="str">
        <x:v>LongCat-2.0</x:v>
      </x:c>
      <x:c r="R27" s="30" t="n">
        <x:v>3329.45</x:v>
      </x:c>
      <x:c r="S27" s="30" t="str">
        <x:v>{"completion_tokens": 36, "prompt_tokens": 150,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
      <x:c r="A28" s="30" t="str">
        <x:v>memos_long:1176</x:v>
      </x:c>
      <x:c r="B28" s="30" t="str">
        <x:v>long</x:v>
      </x:c>
      <x:c r="C28" s="30" t="str">
        <x:v>Generalization &amp; Application</x:v>
      </x:c>
      <x:c r="D28" s="30" t="n">
        <x:v>3</x:v>
      </x:c>
      <x:c r="E28" s="30" t="str">
        <x:v>What might Taylor prioritize to maintain his advocacy goals after Feb 01, 2036?</x:v>
      </x:c>
      <x:c r="F28" s="30" t="str">
        <x:v>Collaboration with international organizations.</x:v>
      </x:c>
      <x:c r="G28" s="30" t="str">
        <x:v>Collaboration with international organizations.</x:v>
      </x:c>
      <x:c r="H28" s="30" t="str">
        <x:v>deepseek-v4-flash</x:v>
      </x:c>
      <x:c r="I28" s="30" t="str">
        <x:v>deepseek-v4-flash</x:v>
      </x:c>
      <x:c r="J28" s="30" t="str">
        <x:v>9a2b83fab1377f8758d5e6d48ad7eb6cf648ba237fbff83bc601db10e791714b</x:v>
      </x:c>
      <x:c r="K28" s="30" t="str">
        <x:v>0d299ffdcbfb42ff09069bbd5a385c1b44e127169ba9eb929ae245145f8a0c8c</x:v>
      </x:c>
      <x:c r="L28" s="30" t="n">
        <x:v>765.54</x:v>
      </x:c>
      <x:c r="M28" s="30" t="str">
        <x:v>{"completion_tokens": 6, "prompt_tokens": 573, "total_tokens": 579, "completion_tokens_details": null, "prompt_tokens_details": {"audio_tokens": null, "cached_tokens": 512}, "prompt_cache_hit_tokens": 512, "prompt_cache_miss_tokens": 61}</x:v>
      </x:c>
      <x:c r="N28" s="30" t="str">
        <x:v>correct</x:v>
      </x:c>
      <x:c r="O28" s="30" t="str">
        <x:v>The model answer exactly matches the benchmark gold answer 'Collaboration with international organizations,' providing the complete semantic content without any contradiction, omission, or unsupported material.</x:v>
      </x:c>
      <x:c r="P28" s="30" t="str">
        <x:v>LongCat-2.0</x:v>
      </x:c>
      <x:c r="Q28" s="30" t="str">
        <x:v>LongCat-2.0</x:v>
      </x:c>
      <x:c r="R28" s="30" t="n">
        <x:v>2162.61</x:v>
      </x:c>
      <x:c r="S28" s="30" t="str">
        <x:v>{"completion_tokens": 42, "prompt_tokens": 150,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
      <x:c r="A29" s="30" t="str">
        <x:v>memos_long:1185</x:v>
      </x:c>
      <x:c r="B29" s="30" t="str">
        <x:v>long</x:v>
      </x:c>
      <x:c r="C29" s="30" t="str">
        <x:v>Generalization &amp; Application</x:v>
      </x:c>
      <x:c r="D29" s="30" t="n">
        <x:v>1</x:v>
      </x:c>
      <x:c r="E29" s="30" t="str">
        <x:v>What types of films might Taylor David find educationally valuable after July 19, 2037?</x:v>
      </x:c>
      <x:c r="F29" s="30" t="str">
        <x:v>Films with complex narratives and excessive violence.</x:v>
      </x:c>
      <x:c r="G29" s="30" t="str">
        <x:v>Films with excessive violence.</x:v>
      </x:c>
      <x:c r="H29" s="30" t="str">
        <x:v>deepseek-v4-flash</x:v>
      </x:c>
      <x:c r="I29" s="30" t="str">
        <x:v>deepseek-v4-flash</x:v>
      </x:c>
      <x:c r="J29" s="30" t="str">
        <x:v>4a9702402cc85c73b5a39157cb7676b6d5be0819d35dd8b9469848cd8b967423</x:v>
      </x:c>
      <x:c r="K29" s="30" t="str">
        <x:v>6bde68b25420dab5d93e49caa05073c5570314de13f7ea1605eb8a526583cf52</x:v>
      </x:c>
      <x:c r="L29" s="30" t="n">
        <x:v>544.44</x:v>
      </x:c>
      <x:c r="M29" s="30" t="str">
        <x:v>{"completion_tokens": 6, "prompt_tokens": 627, "total_tokens": 633, "completion_tokens_details": null, "prompt_tokens_details": {"audio_tokens": null, "cached_tokens": 512}, "prompt_cache_hit_tokens": 512, "prompt_cache_miss_tokens": 115}</x:v>
      </x:c>
      <x:c r="N29" s="30" t="str">
        <x:v>omission</x:v>
      </x:c>
      <x:c r="O29" s="30" t="str">
        <x:v>The model answer only includes 'excessive violence' but omits 'complex narratives', which is a key part of the gold answer. It does not add any false or unsupported information, so it is an omission rather than a hallucination.</x:v>
      </x:c>
      <x:c r="P29" s="30" t="str">
        <x:v>LongCat-2.0</x:v>
      </x:c>
      <x:c r="Q29" s="30" t="str">
        <x:v>LongCat-2.0</x:v>
      </x:c>
      <x:c r="R29" s="30" t="n">
        <x:v>3027.57</x:v>
      </x:c>
      <x:c r="S29" s="30" t="str">
        <x:v>{"completion_tokens": 60, "prompt_tokens": 153,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0">
      <x:c r="A30" s="30" t="str">
        <x:v>memos_long:1185</x:v>
      </x:c>
      <x:c r="B30" s="30" t="str">
        <x:v>long</x:v>
      </x:c>
      <x:c r="C30" s="30" t="str">
        <x:v>Generalization &amp; Application</x:v>
      </x:c>
      <x:c r="D30" s="30" t="n">
        <x:v>2</x:v>
      </x:c>
      <x:c r="E30" s="30" t="str">
        <x:v>What types of films might Taylor David find educationally valuable after July 19, 2037?</x:v>
      </x:c>
      <x:c r="F30" s="30" t="str">
        <x:v>Films with complex narratives and excessive violence.</x:v>
      </x:c>
      <x:c r="G30" s="30" t="str">
        <x:v>Films with excessive violence.</x:v>
      </x:c>
      <x:c r="H30" s="30" t="str">
        <x:v>deepseek-v4-flash</x:v>
      </x:c>
      <x:c r="I30" s="30" t="str">
        <x:v>deepseek-v4-flash</x:v>
      </x:c>
      <x:c r="J30" s="30" t="str">
        <x:v>4a9702402cc85c73b5a39157cb7676b6d5be0819d35dd8b9469848cd8b967423</x:v>
      </x:c>
      <x:c r="K30" s="30" t="str">
        <x:v>6bde68b25420dab5d93e49caa05073c5570314de13f7ea1605eb8a526583cf52</x:v>
      </x:c>
      <x:c r="L30" s="30" t="n">
        <x:v>593.44</x:v>
      </x:c>
      <x:c r="M30" s="30" t="str">
        <x:v>{"completion_tokens": 6, "prompt_tokens": 627, "total_tokens": 633, "completion_tokens_details": null, "prompt_tokens_details": {"audio_tokens": null, "cached_tokens": 512}, "prompt_cache_hit_tokens": 512, "prompt_cache_miss_tokens": 115}</x:v>
      </x:c>
      <x:c r="N30" s="30" t="str">
        <x:v>omission</x:v>
      </x:c>
      <x:c r="O30" s="30" t="str">
        <x:v>The model answer only includes 'excessive violence' but omits 'complex narratives', which is a key part of the gold answer. It does not add any false or unsupported information, so it is an omission rather than a hallucination.</x:v>
      </x:c>
      <x:c r="P30" s="30" t="str">
        <x:v>LongCat-2.0</x:v>
      </x:c>
      <x:c r="Q30" s="30" t="str">
        <x:v>LongCat-2.0</x:v>
      </x:c>
      <x:c r="R30" s="30" t="n">
        <x:v>2646.43</x:v>
      </x:c>
      <x:c r="S30" s="30" t="str">
        <x:v>{"completion_tokens": 60, "prompt_tokens": 153,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
      <x:c r="A31" s="30" t="str">
        <x:v>memos_long:1185</x:v>
      </x:c>
      <x:c r="B31" s="30" t="str">
        <x:v>long</x:v>
      </x:c>
      <x:c r="C31" s="30" t="str">
        <x:v>Generalization &amp; Application</x:v>
      </x:c>
      <x:c r="D31" s="30" t="n">
        <x:v>3</x:v>
      </x:c>
      <x:c r="E31" s="30" t="str">
        <x:v>What types of films might Taylor David find educationally valuable after July 19, 2037?</x:v>
      </x:c>
      <x:c r="F31" s="30" t="str">
        <x:v>Films with complex narratives and excessive violence.</x:v>
      </x:c>
      <x:c r="G31" s="30" t="str">
        <x:v>Films with excessive violence.</x:v>
      </x:c>
      <x:c r="H31" s="30" t="str">
        <x:v>deepseek-v4-flash</x:v>
      </x:c>
      <x:c r="I31" s="30" t="str">
        <x:v>deepseek-v4-flash</x:v>
      </x:c>
      <x:c r="J31" s="30" t="str">
        <x:v>4a9702402cc85c73b5a39157cb7676b6d5be0819d35dd8b9469848cd8b967423</x:v>
      </x:c>
      <x:c r="K31" s="30" t="str">
        <x:v>6bde68b25420dab5d93e49caa05073c5570314de13f7ea1605eb8a526583cf52</x:v>
      </x:c>
      <x:c r="L31" s="30" t="n">
        <x:v>674.57</x:v>
      </x:c>
      <x:c r="M31" s="30" t="str">
        <x:v>{"completion_tokens": 6, "prompt_tokens": 627, "total_tokens": 633, "completion_tokens_details": null, "prompt_tokens_details": {"audio_tokens": null, "cached_tokens": 512}, "prompt_cache_hit_tokens": 512, "prompt_cache_miss_tokens": 115}</x:v>
      </x:c>
      <x:c r="N31" s="30" t="str">
        <x:v>omission</x:v>
      </x:c>
      <x:c r="O31" s="30" t="str">
        <x:v>The model answer only includes 'excessive violence' but omits 'complex narratives', which is a key part of the gold answer. It does not add any false or unsupported information, so it is an omission rather than a hallucination.</x:v>
      </x:c>
      <x:c r="P31" s="30" t="str">
        <x:v>LongCat-2.0</x:v>
      </x:c>
      <x:c r="Q31" s="30" t="str">
        <x:v>LongCat-2.0</x:v>
      </x:c>
      <x:c r="R31" s="30" t="n">
        <x:v>2316.74</x:v>
      </x:c>
      <x:c r="S31" s="30" t="str">
        <x:v>{"completion_tokens": 60, "prompt_tokens": 153,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
      <x:c r="A32" s="30" t="str">
        <x:v>memos_long:120</x:v>
      </x:c>
      <x:c r="B32" s="30" t="str">
        <x:v>long</x:v>
      </x:c>
      <x:c r="C32" s="30" t="str">
        <x:v>Generalization &amp; Application</x:v>
      </x:c>
      <x:c r="D32" s="30" t="n">
        <x:v>1</x:v>
      </x:c>
      <x:c r="E32" s="30" t="str">
        <x:v>What type of leisure activity might Martin Mark explore next based on his interest in narrative-driven games as of 2032-09-28?</x:v>
      </x:c>
      <x:c r="F32" s="30" t="str">
        <x:v>Story-rich books or immersive theater experiences.</x:v>
      </x:c>
      <x:c r="G32" s="30" t="str">
        <x:v>Narrative-driven games</x:v>
      </x:c>
      <x:c r="H32" s="30" t="str">
        <x:v>deepseek-v4-flash</x:v>
      </x:c>
      <x:c r="I32" s="30" t="str">
        <x:v>deepseek-v4-flash</x:v>
      </x:c>
      <x:c r="J32" s="30" t="str">
        <x:v>277bec4e7f579a89b1cbc36ab4e28a8c9b9fb93516edad05adf6c00e2f227111</x:v>
      </x:c>
      <x:c r="K32" s="30" t="str">
        <x:v>1f839b45efabe74074c5d88dfd27192d89049cff27ce5e253e2f2def3e6f0de9</x:v>
      </x:c>
      <x:c r="L32" s="30" t="n">
        <x:v>715.26</x:v>
      </x:c>
      <x:c r="M32" s="30" t="str">
        <x:v>{"completion_tokens": 4, "prompt_tokens": 605, "total_tokens": 609, "completion_tokens_details": null, "prompt_tokens_details": {"audio_tokens": null, "cached_tokens": 512}, "prompt_cache_hit_tokens": 512, "prompt_cache_miss_tokens": 93}</x:v>
      </x:c>
      <x:c r="N32" s="30" t="str">
        <x:v>omission</x:v>
      </x:c>
      <x:c r="O32" s="30" t="str">
        <x:v>The model answer 'Narrative-driven games' is not a new leisure activity to explore next; it is the same interest Martin already has. The gold answer suggests new but related activities (story-rich books or immersive theater) that build on his existing interest. The model fails to provide a concrete new activity, making this an omission.</x:v>
      </x:c>
      <x:c r="P32" s="30" t="str">
        <x:v>LongCat-2.0</x:v>
      </x:c>
      <x:c r="Q32" s="30" t="str">
        <x:v>LongCat-2.0</x:v>
      </x:c>
      <x:c r="R32" s="30" t="n">
        <x:v>3057.36</x:v>
      </x:c>
      <x:c r="S32" s="30" t="str">
        <x:v>{"completion_tokens": 79, "prompt_tokens": 163,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
      <x:c r="A33" s="30" t="str">
        <x:v>memos_long:120</x:v>
      </x:c>
      <x:c r="B33" s="30" t="str">
        <x:v>long</x:v>
      </x:c>
      <x:c r="C33" s="30" t="str">
        <x:v>Generalization &amp; Application</x:v>
      </x:c>
      <x:c r="D33" s="30" t="n">
        <x:v>2</x:v>
      </x:c>
      <x:c r="E33" s="30" t="str">
        <x:v>What type of leisure activity might Martin Mark explore next based on his interest in narrative-driven games as of 2032-09-28?</x:v>
      </x:c>
      <x:c r="F33" s="30" t="str">
        <x:v>Story-rich books or immersive theater experiences.</x:v>
      </x:c>
      <x:c r="G33" s="30" t="str">
        <x:v>Narrative-driven games</x:v>
      </x:c>
      <x:c r="H33" s="30" t="str">
        <x:v>deepseek-v4-flash</x:v>
      </x:c>
      <x:c r="I33" s="30" t="str">
        <x:v>deepseek-v4-flash</x:v>
      </x:c>
      <x:c r="J33" s="30" t="str">
        <x:v>277bec4e7f579a89b1cbc36ab4e28a8c9b9fb93516edad05adf6c00e2f227111</x:v>
      </x:c>
      <x:c r="K33" s="30" t="str">
        <x:v>1f839b45efabe74074c5d88dfd27192d89049cff27ce5e253e2f2def3e6f0de9</x:v>
      </x:c>
      <x:c r="L33" s="30" t="n">
        <x:v>638.57</x:v>
      </x:c>
      <x:c r="M33" s="30" t="str">
        <x:v>{"completion_tokens": 4, "prompt_tokens": 605, "total_tokens": 609, "completion_tokens_details": null, "prompt_tokens_details": {"audio_tokens": null, "cached_tokens": 512}, "prompt_cache_hit_tokens": 512, "prompt_cache_miss_tokens": 93}</x:v>
      </x:c>
      <x:c r="N33" s="30" t="str">
        <x:v>omission</x:v>
      </x:c>
      <x:c r="O33" s="30" t="str">
        <x:v>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x:v>
      </x:c>
      <x:c r="P33" s="30" t="str">
        <x:v>LongCat-2.0</x:v>
      </x:c>
      <x:c r="Q33" s="30" t="str">
        <x:v>LongCat-2.0</x:v>
      </x:c>
      <x:c r="R33" s="30" t="n">
        <x:v>2918.5</x:v>
      </x:c>
      <x:c r="S33" s="30" t="str">
        <x:v>{"completion_tokens": 81, "prompt_tokens": 163, "total_tokens": 244,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4">
      <x:c r="A34" s="30" t="str">
        <x:v>memos_long:120</x:v>
      </x:c>
      <x:c r="B34" s="30" t="str">
        <x:v>long</x:v>
      </x:c>
      <x:c r="C34" s="30" t="str">
        <x:v>Generalization &amp; Application</x:v>
      </x:c>
      <x:c r="D34" s="30" t="n">
        <x:v>3</x:v>
      </x:c>
      <x:c r="E34" s="30" t="str">
        <x:v>What type of leisure activity might Martin Mark explore next based on his interest in narrative-driven games as of 2032-09-28?</x:v>
      </x:c>
      <x:c r="F34" s="30" t="str">
        <x:v>Story-rich books or immersive theater experiences.</x:v>
      </x:c>
      <x:c r="G34" s="30" t="str">
        <x:v>Narrative-driven games</x:v>
      </x:c>
      <x:c r="H34" s="30" t="str">
        <x:v>deepseek-v4-flash</x:v>
      </x:c>
      <x:c r="I34" s="30" t="str">
        <x:v>deepseek-v4-flash</x:v>
      </x:c>
      <x:c r="J34" s="30" t="str">
        <x:v>277bec4e7f579a89b1cbc36ab4e28a8c9b9fb93516edad05adf6c00e2f227111</x:v>
      </x:c>
      <x:c r="K34" s="30" t="str">
        <x:v>1f839b45efabe74074c5d88dfd27192d89049cff27ce5e253e2f2def3e6f0de9</x:v>
      </x:c>
      <x:c r="L34" s="30" t="n">
        <x:v>568.16</x:v>
      </x:c>
      <x:c r="M34" s="30" t="str">
        <x:v>{"completion_tokens": 4, "prompt_tokens": 605, "total_tokens": 609, "completion_tokens_details": null, "prompt_tokens_details": {"audio_tokens": null, "cached_tokens": 512}, "prompt_cache_hit_tokens": 512, "prompt_cache_miss_tokens": 93}</x:v>
      </x:c>
      <x:c r="N34" s="30" t="str">
        <x:v>omission</x:v>
      </x:c>
      <x:c r="O34" s="30" t="str">
        <x:v>The model answer 'Narrative-driven games' is not a new leisure activity to explore next, but rather a restatement of the existing interest mentioned in the question. The gold answer provides concrete new activities (story-rich books or immersive theater experiences) that extend from that interest, while the model answer fails to suggest any new direction, making it an incomplete subset without adding a concrete new claim.</x:v>
      </x:c>
      <x:c r="P34" s="30" t="str">
        <x:v>LongCat-2.0</x:v>
      </x:c>
      <x:c r="Q34" s="30" t="str">
        <x:v>LongCat-2.0</x:v>
      </x:c>
      <x:c r="R34" s="30" t="n">
        <x:v>3095.21</x:v>
      </x:c>
      <x:c r="S34" s="30" t="str">
        <x:v>{"completion_tokens": 91, "prompt_tokens": 163, "total_tokens": 254,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
      <x:c r="A35" s="30" t="str">
        <x:v>memos_long:1212</x:v>
      </x:c>
      <x:c r="B35" s="30" t="str">
        <x:v>long</x:v>
      </x:c>
      <x:c r="C35" s="30" t="str">
        <x:v>Multi-hop Inference</x:v>
      </x:c>
      <x:c r="D35" s="30" t="n">
        <x:v>1</x:v>
      </x:c>
      <x:c r="E35" s="30" t="str">
        <x:v>What strategies did Taylor David implement to recover his health by Dec 01, 2039?</x:v>
      </x:c>
      <x:c r="F35" s="30" t="str">
        <x:v>Mindfulness and balanced nutrition</x:v>
      </x:c>
      <x:c r="G35" s="30" t="str">
        <x:v>Mindfulness and balanced nutrition.</x:v>
      </x:c>
      <x:c r="H35" s="30" t="str">
        <x:v>deepseek-v4-flash</x:v>
      </x:c>
      <x:c r="I35" s="30" t="str">
        <x:v>deepseek-v4-flash</x:v>
      </x:c>
      <x:c r="J35" s="30" t="str">
        <x:v>ec05981df8174f1fde370516c9b8ac2359d866b62fb7af88cb552f5b251fcea5</x:v>
      </x:c>
      <x:c r="K35" s="30" t="str">
        <x:v>3ebe5224d9f79192d7782222d74bf40c5153cffc1565aa56873c2d4e6e9bedc5</x:v>
      </x:c>
      <x:c r="L35" s="30" t="n">
        <x:v>772.19</x:v>
      </x:c>
      <x:c r="M35" s="30" t="str">
        <x:v>{"completion_tokens": 6, "prompt_tokens": 570, "total_tokens": 576, "completion_tokens_details": null, "prompt_tokens_details": {"audio_tokens": null, "cached_tokens": 512}, "prompt_cache_hit_tokens": 512, "prompt_cache_miss_tokens": 58}</x:v>
      </x:c>
      <x:c r="N35" s="30" t="str">
        <x:v>correct</x:v>
      </x:c>
      <x:c r="O35"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P35" s="30" t="str">
        <x:v>LongCat-2.0</x:v>
      </x:c>
      <x:c r="Q35" s="30" t="str">
        <x:v>LongCat-2.0</x:v>
      </x:c>
      <x:c r="R35" s="30" t="n">
        <x:v>3757.99</x:v>
      </x:c>
      <x:c r="S35" s="30" t="str">
        <x:v>{"completion_tokens": 62, "prompt_tokens": 151,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
      <x:c r="A36" s="30" t="str">
        <x:v>memos_long:1212</x:v>
      </x:c>
      <x:c r="B36" s="30" t="str">
        <x:v>long</x:v>
      </x:c>
      <x:c r="C36" s="30" t="str">
        <x:v>Multi-hop Inference</x:v>
      </x:c>
      <x:c r="D36" s="30" t="n">
        <x:v>2</x:v>
      </x:c>
      <x:c r="E36" s="30" t="str">
        <x:v>What strategies did Taylor David implement to recover his health by Dec 01, 2039?</x:v>
      </x:c>
      <x:c r="F36" s="30" t="str">
        <x:v>Mindfulness and balanced nutrition</x:v>
      </x:c>
      <x:c r="G36" s="30" t="str">
        <x:v>Mindfulness and balanced nutrition.</x:v>
      </x:c>
      <x:c r="H36" s="30" t="str">
        <x:v>deepseek-v4-flash</x:v>
      </x:c>
      <x:c r="I36" s="30" t="str">
        <x:v>deepseek-v4-flash</x:v>
      </x:c>
      <x:c r="J36" s="30" t="str">
        <x:v>ec05981df8174f1fde370516c9b8ac2359d866b62fb7af88cb552f5b251fcea5</x:v>
      </x:c>
      <x:c r="K36" s="30" t="str">
        <x:v>3ebe5224d9f79192d7782222d74bf40c5153cffc1565aa56873c2d4e6e9bedc5</x:v>
      </x:c>
      <x:c r="L36" s="30" t="n">
        <x:v>577.74</x:v>
      </x:c>
      <x:c r="M36" s="30" t="str">
        <x:v>{"completion_tokens": 6, "prompt_tokens": 570, "total_tokens": 576, "completion_tokens_details": null, "prompt_tokens_details": {"audio_tokens": null, "cached_tokens": 512}, "prompt_cache_hit_tokens": 512, "prompt_cache_miss_tokens": 58}</x:v>
      </x:c>
      <x:c r="N36" s="30" t="str">
        <x:v>correct</x:v>
      </x:c>
      <x:c r="O36"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P36" s="30" t="str">
        <x:v>LongCat-2.0</x:v>
      </x:c>
      <x:c r="Q36" s="30" t="str">
        <x:v>LongCat-2.0</x:v>
      </x:c>
      <x:c r="R36" s="30" t="n">
        <x:v>4509.7</x:v>
      </x:c>
      <x:c r="S36" s="30" t="str">
        <x:v>{"completion_tokens": 62, "prompt_tokens": 151,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
      <x:c r="A37" s="30" t="str">
        <x:v>memos_long:1212</x:v>
      </x:c>
      <x:c r="B37" s="30" t="str">
        <x:v>long</x:v>
      </x:c>
      <x:c r="C37" s="30" t="str">
        <x:v>Multi-hop Inference</x:v>
      </x:c>
      <x:c r="D37" s="30" t="n">
        <x:v>3</x:v>
      </x:c>
      <x:c r="E37" s="30" t="str">
        <x:v>What strategies did Taylor David implement to recover his health by Dec 01, 2039?</x:v>
      </x:c>
      <x:c r="F37" s="30" t="str">
        <x:v>Mindfulness and balanced nutrition</x:v>
      </x:c>
      <x:c r="G37" s="30" t="str">
        <x:v>Mindfulness and balanced nutrition.</x:v>
      </x:c>
      <x:c r="H37" s="30" t="str">
        <x:v>deepseek-v4-flash</x:v>
      </x:c>
      <x:c r="I37" s="30" t="str">
        <x:v>deepseek-v4-flash</x:v>
      </x:c>
      <x:c r="J37" s="30" t="str">
        <x:v>ec05981df8174f1fde370516c9b8ac2359d866b62fb7af88cb552f5b251fcea5</x:v>
      </x:c>
      <x:c r="K37" s="30" t="str">
        <x:v>3ebe5224d9f79192d7782222d74bf40c5153cffc1565aa56873c2d4e6e9bedc5</x:v>
      </x:c>
      <x:c r="L37" s="30" t="n">
        <x:v>534.52</x:v>
      </x:c>
      <x:c r="M37" s="30" t="str">
        <x:v>{"completion_tokens": 6, "prompt_tokens": 570, "total_tokens": 576, "completion_tokens_details": null, "prompt_tokens_details": {"audio_tokens": null, "cached_tokens": 512}, "prompt_cache_hit_tokens": 512, "prompt_cache_miss_tokens": 58}</x:v>
      </x:c>
      <x:c r="N37" s="30" t="str">
        <x:v>correct</x:v>
      </x:c>
      <x:c r="O37" s="30" t="str">
        <x:v>The model answer 'Mindfulness and balanced nutrition.' is semantically identical to the benchmark gold answer 'Mindfulness and balanced nutrition', with only a minor punctuation difference (a period at the end). It provides the complete answer without any false or unsupported claims.</x:v>
      </x:c>
      <x:c r="P37" s="30" t="str">
        <x:v>LongCat-2.0</x:v>
      </x:c>
      <x:c r="Q37" s="30" t="str">
        <x:v>LongCat-2.0</x:v>
      </x:c>
      <x:c r="R37" s="30" t="n">
        <x:v>3941.05</x:v>
      </x:c>
      <x:c r="S37" s="30" t="str">
        <x:v>{"completion_tokens": 62, "prompt_tokens": 151,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8">
      <x:c r="A38" s="30" t="str">
        <x:v>memos_long:1215</x:v>
      </x:c>
      <x:c r="B38" s="30" t="str">
        <x:v>long</x:v>
      </x:c>
      <x:c r="C38" s="30" t="str">
        <x:v>Generalization &amp; Application</x:v>
      </x:c>
      <x:c r="D38" s="30" t="n">
        <x:v>1</x:v>
      </x:c>
      <x:c r="E38" s="30" t="str">
        <x:v>Based on Taylor David's game preferences on August 16, 2040, what type of workshop might he find beneficial for his creative meal planning?</x:v>
      </x:c>
      <x:c r="F38" s="30" t="str">
        <x:v>A workshop on creative problem-solving techniques.</x:v>
      </x:c>
      <x:c r="G38" s="30" t="str">
        <x:v>Creative puzzle workshop</x:v>
      </x:c>
      <x:c r="H38" s="30" t="str">
        <x:v>deepseek-v4-flash</x:v>
      </x:c>
      <x:c r="I38" s="30" t="str">
        <x:v>deepseek-v4-flash</x:v>
      </x:c>
      <x:c r="J38" s="30" t="str">
        <x:v>7af541196244ba8563fa5d4df71666c4bef21559179b5460e75dd9cb4d6559ec</x:v>
      </x:c>
      <x:c r="K38" s="30" t="str">
        <x:v>976e2366b997c9fe7387ff3635b7b5e5d9226b110683526d428a54f1fa5280de</x:v>
      </x:c>
      <x:c r="L38" s="30" t="n">
        <x:v>565.41</x:v>
      </x:c>
      <x:c r="M38" s="30" t="str">
        <x:v>{"completion_tokens": 3, "prompt_tokens": 621, "total_tokens": 624, "completion_tokens_details": null, "prompt_tokens_details": {"audio_tokens": null, "cached_tokens": 512}, "prompt_cache_hit_tokens": 512, "prompt_cache_miss_tokens": 109}</x:v>
      </x:c>
      <x:c r="N38" s="30" t="str">
        <x:v>hallucination</x:v>
      </x:c>
      <x:c r="O38" s="30" t="str">
        <x:v>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x:v>
      </x:c>
      <x:c r="P38" s="30" t="str">
        <x:v>LongCat-2.0</x:v>
      </x:c>
      <x:c r="Q38" s="30" t="str">
        <x:v>LongCat-2.0</x:v>
      </x:c>
      <x:c r="R38" s="30" t="n">
        <x:v>3977.25</x:v>
      </x:c>
      <x:c r="S38" s="30" t="str">
        <x:v>{"completion_tokens": 86, "prompt_tokens": 163, "total_tokens": 249,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9">
      <x:c r="A39" s="30" t="str">
        <x:v>memos_long:1215</x:v>
      </x:c>
      <x:c r="B39" s="30" t="str">
        <x:v>long</x:v>
      </x:c>
      <x:c r="C39" s="30" t="str">
        <x:v>Generalization &amp; Application</x:v>
      </x:c>
      <x:c r="D39" s="30" t="n">
        <x:v>2</x:v>
      </x:c>
      <x:c r="E39" s="30" t="str">
        <x:v>Based on Taylor David's game preferences on August 16, 2040, what type of workshop might he find beneficial for his creative meal planning?</x:v>
      </x:c>
      <x:c r="F39" s="30" t="str">
        <x:v>A workshop on creative problem-solving techniques.</x:v>
      </x:c>
      <x:c r="G39" s="30" t="str">
        <x:v>Creative puzzle workshop</x:v>
      </x:c>
      <x:c r="H39" s="30" t="str">
        <x:v>deepseek-v4-flash</x:v>
      </x:c>
      <x:c r="I39" s="30" t="str">
        <x:v>deepseek-v4-flash</x:v>
      </x:c>
      <x:c r="J39" s="30" t="str">
        <x:v>7af541196244ba8563fa5d4df71666c4bef21559179b5460e75dd9cb4d6559ec</x:v>
      </x:c>
      <x:c r="K39" s="30" t="str">
        <x:v>976e2366b997c9fe7387ff3635b7b5e5d9226b110683526d428a54f1fa5280de</x:v>
      </x:c>
      <x:c r="L39" s="30" t="n">
        <x:v>892.31</x:v>
      </x:c>
      <x:c r="M39" s="30" t="str">
        <x:v>{"completion_tokens": 3, "prompt_tokens": 621, "total_tokens": 624, "completion_tokens_details": null, "prompt_tokens_details": {"audio_tokens": null, "cached_tokens": 512}, "prompt_cache_hit_tokens": 512, "prompt_cache_miss_tokens": 109}</x:v>
      </x:c>
      <x:c r="N39" s="30" t="str">
        <x:v>hallucination</x:v>
      </x:c>
      <x:c r="O39"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P39" s="30" t="str">
        <x:v>LongCat-2.0</x:v>
      </x:c>
      <x:c r="Q39" s="30" t="str">
        <x:v>LongCat-2.0</x:v>
      </x:c>
      <x:c r="R39" s="30" t="n">
        <x:v>3168.63</x:v>
      </x:c>
      <x:c r="S39" s="30" t="str">
        <x:v>{"completion_tokens": 81, "prompt_tokens": 163,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
      <x:c r="A40" s="30" t="str">
        <x:v>memos_long:1215</x:v>
      </x:c>
      <x:c r="B40" s="30" t="str">
        <x:v>long</x:v>
      </x:c>
      <x:c r="C40" s="30" t="str">
        <x:v>Generalization &amp; Application</x:v>
      </x:c>
      <x:c r="D40" s="30" t="n">
        <x:v>3</x:v>
      </x:c>
      <x:c r="E40" s="30" t="str">
        <x:v>Based on Taylor David's game preferences on August 16, 2040, what type of workshop might he find beneficial for his creative meal planning?</x:v>
      </x:c>
      <x:c r="F40" s="30" t="str">
        <x:v>A workshop on creative problem-solving techniques.</x:v>
      </x:c>
      <x:c r="G40" s="30" t="str">
        <x:v>Creative puzzle workshop</x:v>
      </x:c>
      <x:c r="H40" s="30" t="str">
        <x:v>deepseek-v4-flash</x:v>
      </x:c>
      <x:c r="I40" s="30" t="str">
        <x:v>deepseek-v4-flash</x:v>
      </x:c>
      <x:c r="J40" s="30" t="str">
        <x:v>7af541196244ba8563fa5d4df71666c4bef21559179b5460e75dd9cb4d6559ec</x:v>
      </x:c>
      <x:c r="K40" s="30" t="str">
        <x:v>976e2366b997c9fe7387ff3635b7b5e5d9226b110683526d428a54f1fa5280de</x:v>
      </x:c>
      <x:c r="L40" s="30" t="n">
        <x:v>887.99</x:v>
      </x:c>
      <x:c r="M40" s="30" t="str">
        <x:v>{"completion_tokens": 3, "prompt_tokens": 621, "total_tokens": 624, "completion_tokens_details": null, "prompt_tokens_details": {"audio_tokens": null, "cached_tokens": 512}, "prompt_cache_hit_tokens": 512, "prompt_cache_miss_tokens": 109}</x:v>
      </x:c>
      <x:c r="N40" s="30" t="str">
        <x:v>hallucination</x:v>
      </x:c>
      <x:c r="O40" s="30" t="str">
        <x:v>The gold answer specifies a workshop on 'creative problem-solving techniques,' which is a broad, general category. The model answer 'Creative puzzle workshop' is a specific, concrete type of workshop that narrows the scope to puzzles, which is not supported by or equivalent to the gold answer. This constitutes a concrete claim that contradicts/over-specifies the gold answer.</x:v>
      </x:c>
      <x:c r="P40" s="30" t="str">
        <x:v>LongCat-2.0</x:v>
      </x:c>
      <x:c r="Q40" s="30" t="str">
        <x:v>LongCat-2.0</x:v>
      </x:c>
      <x:c r="R40" s="30" t="n">
        <x:v>3186.62</x:v>
      </x:c>
      <x:c r="S40" s="30" t="str">
        <x:v>{"completion_tokens": 86, "prompt_tokens": 163, "total_tokens": 249,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
      <x:c r="A41" s="30" t="str">
        <x:v>memos_long:1222</x:v>
      </x:c>
      <x:c r="B41" s="30" t="str">
        <x:v>long</x:v>
      </x:c>
      <x:c r="C41" s="30" t="str">
        <x:v>Generalization &amp; Application</x:v>
      </x:c>
      <x:c r="D41" s="30" t="n">
        <x:v>1</x:v>
      </x:c>
      <x:c r="E41" s="30" t="str">
        <x:v>What type of beverage might Taylor David enjoy during a holiday celebration in 2042?</x:v>
      </x:c>
      <x:c r="F41" s="30" t="str">
        <x:v>Sugary sodas.</x:v>
      </x:c>
      <x:c r="G41" s="30" t="str">
        <x:v>Sugary sodas</x:v>
      </x:c>
      <x:c r="H41" s="30" t="str">
        <x:v>deepseek-v4-flash</x:v>
      </x:c>
      <x:c r="I41" s="30" t="str">
        <x:v>deepseek-v4-flash</x:v>
      </x:c>
      <x:c r="J41" s="30" t="str">
        <x:v>89ac2b3f74fcd882a1a31f3528d0f96fd6b2f1a157c21d7755be5ec633ab6ce1</x:v>
      </x:c>
      <x:c r="K41" s="30" t="str">
        <x:v>f86c78680b6f5bf3daf6d3c10de77bbe7ab944ec5b2c4bc024032dd2aa325300</x:v>
      </x:c>
      <x:c r="L41" s="30" t="n">
        <x:v>840.67</x:v>
      </x:c>
      <x:c r="M41" s="30" t="str">
        <x:v>{"completion_tokens": 5, "prompt_tokens": 600, "total_tokens": 605, "completion_tokens_details": null, "prompt_tokens_details": {"audio_tokens": null, "cached_tokens": 512}, "prompt_cache_hit_tokens": 512, "prompt_cache_miss_tokens": 88}</x:v>
      </x:c>
      <x:c r="N41" s="30" t="str">
        <x:v>correct</x:v>
      </x:c>
      <x:c r="O41" s="30" t="str">
        <x:v>The model answer 'Sugary sodas' is semantically identical to the benchmark gold answer 'Sugary sodas.' and provides the complete answer without any contradiction or unsupported material.</x:v>
      </x:c>
      <x:c r="P41" s="30" t="str">
        <x:v>LongCat-2.0</x:v>
      </x:c>
      <x:c r="Q41" s="30" t="str">
        <x:v>LongCat-2.0</x:v>
      </x:c>
      <x:c r="R41" s="30" t="n">
        <x:v>2367.12</x:v>
      </x:c>
      <x:c r="S41" s="30" t="str">
        <x:v>{"completion_tokens": 49, "prompt_tokens": 148, "total_tokens": 197,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2">
      <x:c r="A42" s="30" t="str">
        <x:v>memos_long:1222</x:v>
      </x:c>
      <x:c r="B42" s="30" t="str">
        <x:v>long</x:v>
      </x:c>
      <x:c r="C42" s="30" t="str">
        <x:v>Generalization &amp; Application</x:v>
      </x:c>
      <x:c r="D42" s="30" t="n">
        <x:v>2</x:v>
      </x:c>
      <x:c r="E42" s="30" t="str">
        <x:v>What type of beverage might Taylor David enjoy during a holiday celebration in 2042?</x:v>
      </x:c>
      <x:c r="F42" s="30" t="str">
        <x:v>Sugary sodas.</x:v>
      </x:c>
      <x:c r="G42" s="30" t="str">
        <x:v>Sugary sodas</x:v>
      </x:c>
      <x:c r="H42" s="30" t="str">
        <x:v>deepseek-v4-flash</x:v>
      </x:c>
      <x:c r="I42" s="30" t="str">
        <x:v>deepseek-v4-flash</x:v>
      </x:c>
      <x:c r="J42" s="30" t="str">
        <x:v>89ac2b3f74fcd882a1a31f3528d0f96fd6b2f1a157c21d7755be5ec633ab6ce1</x:v>
      </x:c>
      <x:c r="K42" s="30" t="str">
        <x:v>f86c78680b6f5bf3daf6d3c10de77bbe7ab944ec5b2c4bc024032dd2aa325300</x:v>
      </x:c>
      <x:c r="L42" s="30" t="n">
        <x:v>629.54</x:v>
      </x:c>
      <x:c r="M42" s="30" t="str">
        <x:v>{"completion_tokens": 5, "prompt_tokens": 600, "total_tokens": 605, "completion_tokens_details": null, "prompt_tokens_details": {"audio_tokens": null, "cached_tokens": 512}, "prompt_cache_hit_tokens": 512, "prompt_cache_miss_tokens": 88}</x:v>
      </x:c>
      <x:c r="N42" s="30" t="str">
        <x:v>correct</x:v>
      </x:c>
      <x:c r="O42" s="30" t="str">
        <x:v>The model answer 'Sugary sodas' is semantically identical to the benchmark gold answer 'Sugary sodas.' and provides the complete answer without any contradiction or unsupported material.</x:v>
      </x:c>
      <x:c r="P42" s="30" t="str">
        <x:v>LongCat-2.0</x:v>
      </x:c>
      <x:c r="Q42" s="30" t="str">
        <x:v>LongCat-2.0</x:v>
      </x:c>
      <x:c r="R42" s="30" t="n">
        <x:v>2453.45</x:v>
      </x:c>
      <x:c r="S42" s="30" t="str">
        <x:v>{"completion_tokens": 49, "prompt_tokens": 148, "total_tokens": 197,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
      <x:c r="A43" s="30" t="str">
        <x:v>memos_long:1222</x:v>
      </x:c>
      <x:c r="B43" s="30" t="str">
        <x:v>long</x:v>
      </x:c>
      <x:c r="C43" s="30" t="str">
        <x:v>Generalization &amp; Application</x:v>
      </x:c>
      <x:c r="D43" s="30" t="n">
        <x:v>3</x:v>
      </x:c>
      <x:c r="E43" s="30" t="str">
        <x:v>What type of beverage might Taylor David enjoy during a holiday celebration in 2042?</x:v>
      </x:c>
      <x:c r="F43" s="30" t="str">
        <x:v>Sugary sodas.</x:v>
      </x:c>
      <x:c r="G43" s="30" t="str">
        <x:v>Sugary sodas</x:v>
      </x:c>
      <x:c r="H43" s="30" t="str">
        <x:v>deepseek-v4-flash</x:v>
      </x:c>
      <x:c r="I43" s="30" t="str">
        <x:v>deepseek-v4-flash</x:v>
      </x:c>
      <x:c r="J43" s="30" t="str">
        <x:v>89ac2b3f74fcd882a1a31f3528d0f96fd6b2f1a157c21d7755be5ec633ab6ce1</x:v>
      </x:c>
      <x:c r="K43" s="30" t="str">
        <x:v>f86c78680b6f5bf3daf6d3c10de77bbe7ab944ec5b2c4bc024032dd2aa325300</x:v>
      </x:c>
      <x:c r="L43" s="30" t="n">
        <x:v>817.79</x:v>
      </x:c>
      <x:c r="M43" s="30" t="str">
        <x:v>{"completion_tokens": 5, "prompt_tokens": 600, "total_tokens": 605, "completion_tokens_details": null, "prompt_tokens_details": {"audio_tokens": null, "cached_tokens": 512}, "prompt_cache_hit_tokens": 512, "prompt_cache_miss_tokens": 88}</x:v>
      </x:c>
      <x:c r="N43" s="30" t="str">
        <x:v>correct</x:v>
      </x:c>
      <x:c r="O43" s="30" t="str">
        <x:v>The model answer 'Sugary sodas' is semantically identical to the benchmark gold answer 'Sugary sodas.' and provides the complete answer without any contradiction or unsupported material.</x:v>
      </x:c>
      <x:c r="P43" s="30" t="str">
        <x:v>LongCat-2.0</x:v>
      </x:c>
      <x:c r="Q43" s="30" t="str">
        <x:v>LongCat-2.0</x:v>
      </x:c>
      <x:c r="R43" s="30" t="n">
        <x:v>2099.29</x:v>
      </x:c>
      <x:c r="S43" s="30" t="str">
        <x:v>{"completion_tokens": 49, "prompt_tokens": 148, "total_tokens": 197,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
      <x:c r="A44" s="30" t="str">
        <x:v>memos_long:1231</x:v>
      </x:c>
      <x:c r="B44" s="30" t="str">
        <x:v>long</x:v>
      </x:c>
      <x:c r="C44" s="30" t="str">
        <x:v>Generalization &amp; Application</x:v>
      </x:c>
      <x:c r="D44" s="30" t="n">
        <x:v>1</x:v>
      </x:c>
      <x:c r="E44" s="30" t="str">
        <x:v>What strategic approach might Taylor take to influence nutrition policy reforms in 2043?</x:v>
      </x:c>
      <x:c r="F44" s="30" t="str">
        <x:v>Leverage expanded network and AI tools.</x:v>
      </x:c>
      <x:c r="G44" s="30" t="str">
        <x:v>Collaborate with ChenLi.</x:v>
      </x:c>
      <x:c r="H44" s="30" t="str">
        <x:v>deepseek-v4-flash</x:v>
      </x:c>
      <x:c r="I44" s="30" t="str">
        <x:v>deepseek-v4-flash</x:v>
      </x:c>
      <x:c r="J44" s="30" t="str">
        <x:v>42fd57de89e0c5f4f4762652330cec19771b850b32426d4a4c3277cfb78653be</x:v>
      </x:c>
      <x:c r="K44" s="30" t="str">
        <x:v>be9dee9ce1b2ff26c516446de18bdb5032f4e1438ef3a30c88d5c6c7c51dcd5e</x:v>
      </x:c>
      <x:c r="L44" s="30" t="n">
        <x:v>748.98</x:v>
      </x:c>
      <x:c r="M44" s="30" t="str">
        <x:v>{"completion_tokens": 6, "prompt_tokens": 580, "total_tokens": 586, "completion_tokens_details": null, "prompt_tokens_details": {"audio_tokens": null, "cached_tokens": 512}, "prompt_cache_hit_tokens": 512, "prompt_cache_miss_tokens": 68}</x:v>
      </x:c>
      <x:c r="N44" s="30" t="str">
        <x:v>omission</x:v>
      </x:c>
      <x:c r="O44"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P44" s="30" t="str">
        <x:v>LongCat-2.0</x:v>
      </x:c>
      <x:c r="Q44" s="30" t="str">
        <x:v>LongCat-2.0</x:v>
      </x:c>
      <x:c r="R44" s="30" t="n">
        <x:v>2755</x:v>
      </x:c>
      <x:c r="S44"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
      <x:c r="A45" s="30" t="str">
        <x:v>memos_long:1231</x:v>
      </x:c>
      <x:c r="B45" s="30" t="str">
        <x:v>long</x:v>
      </x:c>
      <x:c r="C45" s="30" t="str">
        <x:v>Generalization &amp; Application</x:v>
      </x:c>
      <x:c r="D45" s="30" t="n">
        <x:v>2</x:v>
      </x:c>
      <x:c r="E45" s="30" t="str">
        <x:v>What strategic approach might Taylor take to influence nutrition policy reforms in 2043?</x:v>
      </x:c>
      <x:c r="F45" s="30" t="str">
        <x:v>Leverage expanded network and AI tools.</x:v>
      </x:c>
      <x:c r="G45" s="30" t="str">
        <x:v>Collaborate with ChenLi.</x:v>
      </x:c>
      <x:c r="H45" s="30" t="str">
        <x:v>deepseek-v4-flash</x:v>
      </x:c>
      <x:c r="I45" s="30" t="str">
        <x:v>deepseek-v4-flash</x:v>
      </x:c>
      <x:c r="J45" s="30" t="str">
        <x:v>42fd57de89e0c5f4f4762652330cec19771b850b32426d4a4c3277cfb78653be</x:v>
      </x:c>
      <x:c r="K45" s="30" t="str">
        <x:v>be9dee9ce1b2ff26c516446de18bdb5032f4e1438ef3a30c88d5c6c7c51dcd5e</x:v>
      </x:c>
      <x:c r="L45" s="30" t="n">
        <x:v>647.57</x:v>
      </x:c>
      <x:c r="M45" s="30" t="str">
        <x:v>{"completion_tokens": 6, "prompt_tokens": 580, "total_tokens": 586, "completion_tokens_details": null, "prompt_tokens_details": {"audio_tokens": null, "cached_tokens": 512}, "prompt_cache_hit_tokens": 512, "prompt_cache_miss_tokens": 68}</x:v>
      </x:c>
      <x:c r="N45" s="30" t="str">
        <x:v>omission</x:v>
      </x:c>
      <x:c r="O45" s="30" t="str">
        <x:v>The model answer 'Collaborate with ChenLi' provides a concrete but incomplete and unsupported claim. The gold answer specifies 'Leverage expanded network and AI tools,' which is a broader strategic approach. The model's answer introduces a specific collaborator (ChenLi) that is not mentioned in the gold answer and does not address the key elements of leveraging networks or AI tools, making it an incomplete subset that omits the core components of the gold answer.</x:v>
      </x:c>
      <x:c r="P45" s="30" t="str">
        <x:v>LongCat-2.0</x:v>
      </x:c>
      <x:c r="Q45" s="30" t="str">
        <x:v>LongCat-2.0</x:v>
      </x:c>
      <x:c r="R45" s="30" t="n">
        <x:v>3995.74</x:v>
      </x:c>
      <x:c r="S45" s="30" t="str">
        <x:v>{"completion_tokens": 102, "prompt_tokens": 150, "total_tokens": 252,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6">
      <x:c r="A46" s="30" t="str">
        <x:v>memos_long:1231</x:v>
      </x:c>
      <x:c r="B46" s="30" t="str">
        <x:v>long</x:v>
      </x:c>
      <x:c r="C46" s="30" t="str">
        <x:v>Generalization &amp; Application</x:v>
      </x:c>
      <x:c r="D46" s="30" t="n">
        <x:v>3</x:v>
      </x:c>
      <x:c r="E46" s="30" t="str">
        <x:v>What strategic approach might Taylor take to influence nutrition policy reforms in 2043?</x:v>
      </x:c>
      <x:c r="F46" s="30" t="str">
        <x:v>Leverage expanded network and AI tools.</x:v>
      </x:c>
      <x:c r="G46" s="30" t="str">
        <x:v>Collaborate with ChenLi.</x:v>
      </x:c>
      <x:c r="H46" s="30" t="str">
        <x:v>deepseek-v4-flash</x:v>
      </x:c>
      <x:c r="I46" s="30" t="str">
        <x:v>deepseek-v4-flash</x:v>
      </x:c>
      <x:c r="J46" s="30" t="str">
        <x:v>42fd57de89e0c5f4f4762652330cec19771b850b32426d4a4c3277cfb78653be</x:v>
      </x:c>
      <x:c r="K46" s="30" t="str">
        <x:v>be9dee9ce1b2ff26c516446de18bdb5032f4e1438ef3a30c88d5c6c7c51dcd5e</x:v>
      </x:c>
      <x:c r="L46" s="30" t="n">
        <x:v>652.17</x:v>
      </x:c>
      <x:c r="M46" s="30" t="str">
        <x:v>{"completion_tokens": 6, "prompt_tokens": 580, "total_tokens": 586, "completion_tokens_details": null, "prompt_tokens_details": {"audio_tokens": null, "cached_tokens": 512}, "prompt_cache_hit_tokens": 512, "prompt_cache_miss_tokens": 68}</x:v>
      </x:c>
      <x:c r="N46" s="30" t="str">
        <x:v>omission</x:v>
      </x:c>
      <x:c r="O46" s="30" t="str">
        <x:v>The model answer 'Collaborate with ChenLi' does not mention leveraging an expanded network or AI tools, which are the core components of the gold answer. It provides a different, incomplete answer without addressing the key strategic elements, and does not add a concrete false claim—it simply omits the required information.</x:v>
      </x:c>
      <x:c r="P46" s="30" t="str">
        <x:v>LongCat-2.0</x:v>
      </x:c>
      <x:c r="Q46" s="30" t="str">
        <x:v>LongCat-2.0</x:v>
      </x:c>
      <x:c r="R46" s="30" t="n">
        <x:v>2967.14</x:v>
      </x:c>
      <x:c r="S46" s="30" t="str">
        <x:v>{"completion_tokens": 74, "prompt_tokens": 150,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
      <x:c r="A47" s="30" t="str">
        <x:v>memos_long:1232</x:v>
      </x:c>
      <x:c r="B47" s="30" t="str">
        <x:v>long</x:v>
      </x:c>
      <x:c r="C47" s="30" t="str">
        <x:v>Generalization &amp; Application</x:v>
      </x:c>
      <x:c r="D47" s="30" t="n">
        <x:v>1</x:v>
      </x:c>
      <x:c r="E47" s="30" t="str">
        <x:v>What potential challenges might Taylor face in implementing nutrition policy changes in 2043?</x:v>
      </x:c>
      <x:c r="F47" s="30" t="str">
        <x:v>Navigating policy complexities.</x:v>
      </x:c>
      <x:c r="G47" s="30" t="str">
        <x:v>Navigating policy complexities.</x:v>
      </x:c>
      <x:c r="H47" s="30" t="str">
        <x:v>deepseek-v4-flash</x:v>
      </x:c>
      <x:c r="I47" s="30" t="str">
        <x:v>deepseek-v4-flash</x:v>
      </x:c>
      <x:c r="J47" s="30" t="str">
        <x:v>3bdbea6e9b4f8e7969c1db3a71ea898535beb7e0787a885100038cc3a4976853</x:v>
      </x:c>
      <x:c r="K47" s="30" t="str">
        <x:v>e92b57cfd69563459d38130dcc49804558259ac2149d07b86ef71388b3e217fb</x:v>
      </x:c>
      <x:c r="L47" s="30" t="n">
        <x:v>646.44</x:v>
      </x:c>
      <x:c r="M47" s="30" t="str">
        <x:v>{"completion_tokens": 5, "prompt_tokens": 574, "total_tokens": 579, "completion_tokens_details": null, "prompt_tokens_details": {"audio_tokens": null, "cached_tokens": 512}, "prompt_cache_hit_tokens": 512, "prompt_cache_miss_tokens": 62}</x:v>
      </x:c>
      <x:c r="N47" s="30" t="str">
        <x:v>correct</x:v>
      </x:c>
      <x:c r="O47" s="30" t="str">
        <x:v>The model answer exactly matches the gold answer, providing the complete semantic content without any omissions or additions.</x:v>
      </x:c>
      <x:c r="P47" s="30" t="str">
        <x:v>LongCat-2.0</x:v>
      </x:c>
      <x:c r="Q47" s="30" t="str">
        <x:v>LongCat-2.0</x:v>
      </x:c>
      <x:c r="R47" s="30" t="n">
        <x:v>2046.32</x:v>
      </x:c>
      <x:c r="S47" s="30" t="str">
        <x:v>{"completion_tokens": 32, "prompt_tokens": 145, "total_tokens": 177,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8">
      <x:c r="A48" s="30" t="str">
        <x:v>memos_long:1232</x:v>
      </x:c>
      <x:c r="B48" s="30" t="str">
        <x:v>long</x:v>
      </x:c>
      <x:c r="C48" s="30" t="str">
        <x:v>Generalization &amp; Application</x:v>
      </x:c>
      <x:c r="D48" s="30" t="n">
        <x:v>2</x:v>
      </x:c>
      <x:c r="E48" s="30" t="str">
        <x:v>What potential challenges might Taylor face in implementing nutrition policy changes in 2043?</x:v>
      </x:c>
      <x:c r="F48" s="30" t="str">
        <x:v>Navigating policy complexities.</x:v>
      </x:c>
      <x:c r="G48" s="30" t="str">
        <x:v>Navigating policy complexities.</x:v>
      </x:c>
      <x:c r="H48" s="30" t="str">
        <x:v>deepseek-v4-flash</x:v>
      </x:c>
      <x:c r="I48" s="30" t="str">
        <x:v>deepseek-v4-flash</x:v>
      </x:c>
      <x:c r="J48" s="30" t="str">
        <x:v>3bdbea6e9b4f8e7969c1db3a71ea898535beb7e0787a885100038cc3a4976853</x:v>
      </x:c>
      <x:c r="K48" s="30" t="str">
        <x:v>e92b57cfd69563459d38130dcc49804558259ac2149d07b86ef71388b3e217fb</x:v>
      </x:c>
      <x:c r="L48" s="30" t="n">
        <x:v>725.75</x:v>
      </x:c>
      <x:c r="M48" s="30" t="str">
        <x:v>{"completion_tokens": 5, "prompt_tokens": 574, "total_tokens": 579, "completion_tokens_details": null, "prompt_tokens_details": {"audio_tokens": null, "cached_tokens": 512}, "prompt_cache_hit_tokens": 512, "prompt_cache_miss_tokens": 62}</x:v>
      </x:c>
      <x:c r="N48" s="30" t="str">
        <x:v>correct</x:v>
      </x:c>
      <x:c r="O48" s="30" t="str">
        <x:v>The model answer exactly matches the gold answer, providing the complete semantic content without any omissions or additions.</x:v>
      </x:c>
      <x:c r="P48" s="30" t="str">
        <x:v>LongCat-2.0</x:v>
      </x:c>
      <x:c r="Q48" s="30" t="str">
        <x:v>LongCat-2.0</x:v>
      </x:c>
      <x:c r="R48" s="30" t="n">
        <x:v>1823.82</x:v>
      </x:c>
      <x:c r="S48" s="30" t="str">
        <x:v>{"completion_tokens": 32, "prompt_tokens": 145, "total_tokens": 177,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
      <x:c r="A49" s="30" t="str">
        <x:v>memos_long:1232</x:v>
      </x:c>
      <x:c r="B49" s="30" t="str">
        <x:v>long</x:v>
      </x:c>
      <x:c r="C49" s="30" t="str">
        <x:v>Generalization &amp; Application</x:v>
      </x:c>
      <x:c r="D49" s="30" t="n">
        <x:v>3</x:v>
      </x:c>
      <x:c r="E49" s="30" t="str">
        <x:v>What potential challenges might Taylor face in implementing nutrition policy changes in 2043?</x:v>
      </x:c>
      <x:c r="F49" s="30" t="str">
        <x:v>Navigating policy complexities.</x:v>
      </x:c>
      <x:c r="G49" s="30" t="str">
        <x:v>Navigating policy complexities.</x:v>
      </x:c>
      <x:c r="H49" s="30" t="str">
        <x:v>deepseek-v4-flash</x:v>
      </x:c>
      <x:c r="I49" s="30" t="str">
        <x:v>deepseek-v4-flash</x:v>
      </x:c>
      <x:c r="J49" s="30" t="str">
        <x:v>3bdbea6e9b4f8e7969c1db3a71ea898535beb7e0787a885100038cc3a4976853</x:v>
      </x:c>
      <x:c r="K49" s="30" t="str">
        <x:v>e92b57cfd69563459d38130dcc49804558259ac2149d07b86ef71388b3e217fb</x:v>
      </x:c>
      <x:c r="L49" s="30" t="n">
        <x:v>575.63</x:v>
      </x:c>
      <x:c r="M49" s="30" t="str">
        <x:v>{"completion_tokens": 5, "prompt_tokens": 574, "total_tokens": 579, "completion_tokens_details": null, "prompt_tokens_details": {"audio_tokens": null, "cached_tokens": 512}, "prompt_cache_hit_tokens": 512, "prompt_cache_miss_tokens": 62}</x:v>
      </x:c>
      <x:c r="N49" s="30" t="str">
        <x:v>correct</x:v>
      </x:c>
      <x:c r="O49" s="30" t="str">
        <x:v>The model answer exactly matches the gold answer, providing the complete semantic content without any omissions or additions.</x:v>
      </x:c>
      <x:c r="P49" s="30" t="str">
        <x:v>LongCat-2.0</x:v>
      </x:c>
      <x:c r="Q49" s="30" t="str">
        <x:v>LongCat-2.0</x:v>
      </x:c>
      <x:c r="R49" s="30" t="n">
        <x:v>1923.15</x:v>
      </x:c>
      <x:c r="S49" s="30" t="str">
        <x:v>{"completion_tokens": 32, "prompt_tokens": 145, "total_tokens": 177,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
      <x:c r="A50" s="30" t="str">
        <x:v>memos_long:1245</x:v>
      </x:c>
      <x:c r="B50" s="30" t="str">
        <x:v>long</x:v>
      </x:c>
      <x:c r="C50" s="30" t="str">
        <x:v>Dynamic Update</x:v>
      </x:c>
      <x:c r="D50" s="30" t="n">
        <x:v>1</x:v>
      </x:c>
      <x:c r="E50" s="30" t="str">
        <x:v>What is Taylor David's current employment status as of September 14, 2043?</x:v>
      </x:c>
      <x:c r="F50" s="30" t="str">
        <x:v>Employed in nutrition advocacy.</x:v>
      </x:c>
      <x:c r="G50" s="30" t="str">
        <x:v>Employed in nutrition advocacy.</x:v>
      </x:c>
      <x:c r="H50" s="30" t="str">
        <x:v>deepseek-v4-flash</x:v>
      </x:c>
      <x:c r="I50" s="30" t="str">
        <x:v>deepseek-v4-flash</x:v>
      </x:c>
      <x:c r="J50" s="30" t="str">
        <x:v>70d7741789dc98942fd9d575be0592be53075927d3b06e4307861d437f6a5547</x:v>
      </x:c>
      <x:c r="K50" s="30" t="str">
        <x:v>485755a4d789722d2d5a74acdecdfa986c0cab2c35b21d5e62eac540802cc70e</x:v>
      </x:c>
      <x:c r="L50" s="30" t="n">
        <x:v>558.92</x:v>
      </x:c>
      <x:c r="M50" s="30" t="str">
        <x:v>{"completion_tokens": 6, "prompt_tokens": 575, "total_tokens": 581, "completion_tokens_details": null, "prompt_tokens_details": {"audio_tokens": null, "cached_tokens": 512}, "prompt_cache_hit_tokens": 512, "prompt_cache_miss_tokens": 63}</x:v>
      </x:c>
      <x:c r="N50" s="30" t="str">
        <x:v>correct</x:v>
      </x:c>
      <x:c r="O50" s="30" t="str">
        <x:v>The model answer matches the gold answer exactly in meaning and wording, stating that Taylor David is employed in nutrition advocacy.</x:v>
      </x:c>
      <x:c r="P50" s="30" t="str">
        <x:v>LongCat-2.0</x:v>
      </x:c>
      <x:c r="Q50" s="30" t="str">
        <x:v>LongCat-2.0</x:v>
      </x:c>
      <x:c r="R50" s="30" t="n">
        <x:v>2166.65</x:v>
      </x:c>
      <x:c r="S50" s="30" t="str">
        <x:v>{"completion_tokens": 34, "prompt_tokens": 150, "total_tokens": 184,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1">
      <x:c r="A51" s="30" t="str">
        <x:v>memos_long:1245</x:v>
      </x:c>
      <x:c r="B51" s="30" t="str">
        <x:v>long</x:v>
      </x:c>
      <x:c r="C51" s="30" t="str">
        <x:v>Dynamic Update</x:v>
      </x:c>
      <x:c r="D51" s="30" t="n">
        <x:v>2</x:v>
      </x:c>
      <x:c r="E51" s="30" t="str">
        <x:v>What is Taylor David's current employment status as of September 14, 2043?</x:v>
      </x:c>
      <x:c r="F51" s="30" t="str">
        <x:v>Employed in nutrition advocacy.</x:v>
      </x:c>
      <x:c r="G51" s="30" t="str">
        <x:v>Employed in nutrition advocacy.</x:v>
      </x:c>
      <x:c r="H51" s="30" t="str">
        <x:v>deepseek-v4-flash</x:v>
      </x:c>
      <x:c r="I51" s="30" t="str">
        <x:v>deepseek-v4-flash</x:v>
      </x:c>
      <x:c r="J51" s="30" t="str">
        <x:v>70d7741789dc98942fd9d575be0592be53075927d3b06e4307861d437f6a5547</x:v>
      </x:c>
      <x:c r="K51" s="30" t="str">
        <x:v>485755a4d789722d2d5a74acdecdfa986c0cab2c35b21d5e62eac540802cc70e</x:v>
      </x:c>
      <x:c r="L51" s="30" t="n">
        <x:v>605.02</x:v>
      </x:c>
      <x:c r="M51" s="30" t="str">
        <x:v>{"completion_tokens": 6, "prompt_tokens": 575, "total_tokens": 581, "completion_tokens_details": null, "prompt_tokens_details": {"audio_tokens": null, "cached_tokens": 512}, "prompt_cache_hit_tokens": 512, "prompt_cache_miss_tokens": 63}</x:v>
      </x:c>
      <x:c r="N51" s="30" t="str">
        <x:v>correct</x:v>
      </x:c>
      <x:c r="O51" s="30" t="str">
        <x:v>The model answer matches the gold answer exactly in meaning and wording, stating that Taylor David is employed in nutrition advocacy.</x:v>
      </x:c>
      <x:c r="P51" s="30" t="str">
        <x:v>LongCat-2.0</x:v>
      </x:c>
      <x:c r="Q51" s="30" t="str">
        <x:v>LongCat-2.0</x:v>
      </x:c>
      <x:c r="R51" s="30" t="n">
        <x:v>2036.99</x:v>
      </x:c>
      <x:c r="S51" s="30" t="str">
        <x:v>{"completion_tokens": 34, "prompt_tokens": 150, "total_tokens": 184,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
      <x:c r="A52" s="30" t="str">
        <x:v>memos_long:1245</x:v>
      </x:c>
      <x:c r="B52" s="30" t="str">
        <x:v>long</x:v>
      </x:c>
      <x:c r="C52" s="30" t="str">
        <x:v>Dynamic Update</x:v>
      </x:c>
      <x:c r="D52" s="30" t="n">
        <x:v>3</x:v>
      </x:c>
      <x:c r="E52" s="30" t="str">
        <x:v>What is Taylor David's current employment status as of September 14, 2043?</x:v>
      </x:c>
      <x:c r="F52" s="30" t="str">
        <x:v>Employed in nutrition advocacy.</x:v>
      </x:c>
      <x:c r="G52" s="30" t="str">
        <x:v>Employed in nutrition advocacy.</x:v>
      </x:c>
      <x:c r="H52" s="30" t="str">
        <x:v>deepseek-v4-flash</x:v>
      </x:c>
      <x:c r="I52" s="30" t="str">
        <x:v>deepseek-v4-flash</x:v>
      </x:c>
      <x:c r="J52" s="30" t="str">
        <x:v>70d7741789dc98942fd9d575be0592be53075927d3b06e4307861d437f6a5547</x:v>
      </x:c>
      <x:c r="K52" s="30" t="str">
        <x:v>485755a4d789722d2d5a74acdecdfa986c0cab2c35b21d5e62eac540802cc70e</x:v>
      </x:c>
      <x:c r="L52" s="30" t="n">
        <x:v>619.33</x:v>
      </x:c>
      <x:c r="M52" s="30" t="str">
        <x:v>{"completion_tokens": 6, "prompt_tokens": 575, "total_tokens": 581, "completion_tokens_details": null, "prompt_tokens_details": {"audio_tokens": null, "cached_tokens": 512}, "prompt_cache_hit_tokens": 512, "prompt_cache_miss_tokens": 63}</x:v>
      </x:c>
      <x:c r="N52" s="30" t="str">
        <x:v>correct</x:v>
      </x:c>
      <x:c r="O52" s="30" t="str">
        <x:v>The model answer exactly matches the gold answer, stating that Taylor David is employed in nutrition advocacy.</x:v>
      </x:c>
      <x:c r="P52" s="30" t="str">
        <x:v>LongCat-2.0</x:v>
      </x:c>
      <x:c r="Q52" s="30" t="str">
        <x:v>LongCat-2.0</x:v>
      </x:c>
      <x:c r="R52" s="30" t="n">
        <x:v>1619.84</x:v>
      </x:c>
      <x:c r="S52" s="30" t="str">
        <x:v>{"completion_tokens": 30, "prompt_tokens": 150, "total_tokens": 180,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
      <x:c r="A53" s="30" t="str">
        <x:v>memos_long:127</x:v>
      </x:c>
      <x:c r="B53" s="30" t="str">
        <x:v>long</x:v>
      </x:c>
      <x:c r="C53" s="30" t="str">
        <x:v>Multi-hop Inference</x:v>
      </x:c>
      <x:c r="D53" s="30" t="n">
        <x:v>1</x:v>
      </x:c>
      <x:c r="E53" s="30" t="str">
        <x:v>How did Martin's promotion on April 25, 2033, impact his health practices by June 15, 2033?</x:v>
      </x:c>
      <x:c r="F53" s="30" t="str">
        <x:v>Promotion motivated sustained health practices.</x:v>
      </x:c>
      <x:c r="G53" s="30" t="str">
        <x:v>No negative impact.</x:v>
      </x:c>
      <x:c r="H53" s="30" t="str">
        <x:v>deepseek-v4-flash</x:v>
      </x:c>
      <x:c r="I53" s="30" t="str">
        <x:v>deepseek-v4-flash</x:v>
      </x:c>
      <x:c r="J53" s="30" t="str">
        <x:v>20c8cea59cee6d3a35409a6aefff0983d33767c59c04eb406bf0dfa6738886da</x:v>
      </x:c>
      <x:c r="K53" s="30" t="str">
        <x:v>e449179a695401ae13271d53d830a89f91e6694d82d0e910e25e6abb1a9a457b</x:v>
      </x:c>
      <x:c r="L53" s="30" t="n">
        <x:v>646.71</x:v>
      </x:c>
      <x:c r="M53" s="30" t="str">
        <x:v>{"completion_tokens": 4, "prompt_tokens": 607, "total_tokens": 611, "completion_tokens_details": null, "prompt_tokens_details": {"audio_tokens": null, "cached_tokens": 512}, "prompt_cache_hit_tokens": 512, "prompt_cache_miss_tokens": 95}</x:v>
      </x:c>
      <x:c r="N53" s="30" t="str">
        <x:v>omission</x:v>
      </x:c>
      <x:c r="O53" s="30" t="str">
        <x:v>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gives only an incomplete subset without adding a false claim, fitting the definition of omission.</x:v>
      </x:c>
      <x:c r="P53" s="30" t="str">
        <x:v>LongCat-2.0</x:v>
      </x:c>
      <x:c r="Q53" s="30" t="str">
        <x:v>LongCat-2.0</x:v>
      </x:c>
      <x:c r="R53" s="30" t="n">
        <x:v>8468.06</x:v>
      </x:c>
      <x:c r="S53" s="30" t="str">
        <x:v>{"completion_tokens": 86, "prompt_tokens": 160, "total_tokens": 246,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4">
      <x:c r="A54" s="30" t="str">
        <x:v>memos_long:127</x:v>
      </x:c>
      <x:c r="B54" s="30" t="str">
        <x:v>long</x:v>
      </x:c>
      <x:c r="C54" s="30" t="str">
        <x:v>Multi-hop Inference</x:v>
      </x:c>
      <x:c r="D54" s="30" t="n">
        <x:v>2</x:v>
      </x:c>
      <x:c r="E54" s="30" t="str">
        <x:v>How did Martin's promotion on April 25, 2033, impact his health practices by June 15, 2033?</x:v>
      </x:c>
      <x:c r="F54" s="30" t="str">
        <x:v>Promotion motivated sustained health practices.</x:v>
      </x:c>
      <x:c r="G54" s="30" t="str">
        <x:v>No negative impact.</x:v>
      </x:c>
      <x:c r="H54" s="30" t="str">
        <x:v>deepseek-v4-flash</x:v>
      </x:c>
      <x:c r="I54" s="30" t="str">
        <x:v>deepseek-v4-flash</x:v>
      </x:c>
      <x:c r="J54" s="30" t="str">
        <x:v>20c8cea59cee6d3a35409a6aefff0983d33767c59c04eb406bf0dfa6738886da</x:v>
      </x:c>
      <x:c r="K54" s="30" t="str">
        <x:v>e449179a695401ae13271d53d830a89f91e6694d82d0e910e25e6abb1a9a457b</x:v>
      </x:c>
      <x:c r="L54" s="30" t="n">
        <x:v>547.94</x:v>
      </x:c>
      <x:c r="M54" s="30" t="str">
        <x:v>{"completion_tokens": 4, "prompt_tokens": 607, "total_tokens": 611, "completion_tokens_details": null, "prompt_tokens_details": {"audio_tokens": null, "cached_tokens": 512}, "prompt_cache_hit_tokens": 512, "prompt_cache_miss_tokens": 95}</x:v>
      </x:c>
      <x:c r="N54" s="30" t="str">
        <x:v>omission</x:v>
      </x:c>
      <x:c r="O54" s="30" t="str">
        <x:v>The gold answer states that the promotion motivated sustained health practices, which is a positive impact. The model answer 'No negative impact' does not contradict the gold answer but fails to provide the complete semantic content — it omits the key information that the promotion motivated sustained health practices. It only addresses the absence of negative impact without capturing the positive motivational effect described in the gold answer.</x:v>
      </x:c>
      <x:c r="P54" s="30" t="str">
        <x:v>LongCat-2.0</x:v>
      </x:c>
      <x:c r="Q54" s="30" t="str">
        <x:v>LongCat-2.0</x:v>
      </x:c>
      <x:c r="R54" s="30" t="n">
        <x:v>8497.71</x:v>
      </x:c>
      <x:c r="S54" s="30" t="str">
        <x:v>{"completion_tokens": 88, "prompt_tokens": 160, "total_tokens": 248,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5">
      <x:c r="A55" s="30" t="str">
        <x:v>memos_long:127</x:v>
      </x:c>
      <x:c r="B55" s="30" t="str">
        <x:v>long</x:v>
      </x:c>
      <x:c r="C55" s="30" t="str">
        <x:v>Multi-hop Inference</x:v>
      </x:c>
      <x:c r="D55" s="30" t="n">
        <x:v>3</x:v>
      </x:c>
      <x:c r="E55" s="30" t="str">
        <x:v>How did Martin's promotion on April 25, 2033, impact his health practices by June 15, 2033?</x:v>
      </x:c>
      <x:c r="F55" s="30" t="str">
        <x:v>Promotion motivated sustained health practices.</x:v>
      </x:c>
      <x:c r="G55" s="30" t="str">
        <x:v>No negative impact.</x:v>
      </x:c>
      <x:c r="H55" s="30" t="str">
        <x:v>deepseek-v4-flash</x:v>
      </x:c>
      <x:c r="I55" s="30" t="str">
        <x:v>deepseek-v4-flash</x:v>
      </x:c>
      <x:c r="J55" s="30" t="str">
        <x:v>20c8cea59cee6d3a35409a6aefff0983d33767c59c04eb406bf0dfa6738886da</x:v>
      </x:c>
      <x:c r="K55" s="30" t="str">
        <x:v>e449179a695401ae13271d53d830a89f91e6694d82d0e910e25e6abb1a9a457b</x:v>
      </x:c>
      <x:c r="L55" s="30" t="n">
        <x:v>810.02</x:v>
      </x:c>
      <x:c r="M55" s="30" t="str">
        <x:v>{"completion_tokens": 4, "prompt_tokens": 607, "total_tokens": 611, "completion_tokens_details": null, "prompt_tokens_details": {"audio_tokens": null, "cached_tokens": 512}, "prompt_cache_hit_tokens": 512, "prompt_cache_miss_tokens": 95}</x:v>
      </x:c>
      <x:c r="N55" s="30" t="str">
        <x:v>omission</x:v>
      </x:c>
      <x:c r="O55" s="30" t="str">
        <x:v>The gold answer states that the promotion motivated sustained health practices, which is a positive impact. The model answer 'No negative impact' does not contradict the gold answer but fails to provide the complete semantic content — it only addresses the absence of negative effects without affirming the positive motivational impact described in the gold answer. This constitutes an incomplete subset of the gold answer.</x:v>
      </x:c>
      <x:c r="P55" s="30" t="str">
        <x:v>LongCat-2.0</x:v>
      </x:c>
      <x:c r="Q55" s="30" t="str">
        <x:v>LongCat-2.0</x:v>
      </x:c>
      <x:c r="R55" s="30" t="n">
        <x:v>6984.5</x:v>
      </x:c>
      <x:c r="S55" s="30" t="str">
        <x:v>{"completion_tokens": 85, "prompt_tokens": 160,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
      <x:c r="A56" s="30" t="str">
        <x:v>memos_long:1271</x:v>
      </x:c>
      <x:c r="B56" s="30" t="str">
        <x:v>long</x:v>
      </x:c>
      <x:c r="C56" s="30" t="str">
        <x:v>Dynamic Update</x:v>
      </x:c>
      <x:c r="D56" s="30" t="n">
        <x:v>1</x:v>
      </x:c>
      <x:c r="E56" s="30" t="str">
        <x:v>What are Ananya Sharma's current plans to promote Indian cinema globally as of Sep 01, 2026?</x:v>
      </x:c>
      <x:c r="F56" s="30" t="str">
        <x:v>Collaborate on projects and deepen industry connections</x:v>
      </x:c>
      <x:c r="G56" s="30" t="str">
        <x:v>Collaborate on projects.</x:v>
      </x:c>
      <x:c r="H56" s="30" t="str">
        <x:v>deepseek-v4-flash</x:v>
      </x:c>
      <x:c r="I56" s="30" t="str">
        <x:v>deepseek-v4-flash</x:v>
      </x:c>
      <x:c r="J56" s="30" t="str">
        <x:v>371e57d6e0fc7faa324a996dada0d5c52fd68959cf0cd223797b4da0f4739385</x:v>
      </x:c>
      <x:c r="K56" s="30" t="str">
        <x:v>a259ca8f595326a15992ef83cca41af1f8e04bfd103900eca05f8ffd533cb1db</x:v>
      </x:c>
      <x:c r="L56" s="30" t="n">
        <x:v>561.17</x:v>
      </x:c>
      <x:c r="M56" s="30" t="str">
        <x:v>{"completion_tokens": 5, "prompt_tokens": 546, "total_tokens": 551, "completion_tokens_details": null, "prompt_tokens_details": {"audio_tokens": null, "cached_tokens": 512}, "prompt_cache_hit_tokens": 512, "prompt_cache_miss_tokens": 34}</x:v>
      </x:c>
      <x:c r="N56" s="30" t="str">
        <x:v>omission</x:v>
      </x:c>
      <x:c r="O56" s="30" t="str">
        <x:v>The model answer 'Collaborate on projects' captures only part of the gold answer 'Collaborate on projects and deepen industry connections'. It omits the second key component 'deepen industry connections' without adding any false information, making it an incomplete subset of the gold answer.</x:v>
      </x:c>
      <x:c r="P56" s="30" t="str">
        <x:v>LongCat-2.0</x:v>
      </x:c>
      <x:c r="Q56" s="30" t="str">
        <x:v>LongCat-2.0</x:v>
      </x:c>
      <x:c r="R56" s="30" t="n">
        <x:v>2805.05</x:v>
      </x:c>
      <x:c r="S56" s="30" t="str">
        <x:v>{"completion_tokens": 68, "prompt_tokens": 158,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7">
      <x:c r="A57" s="30" t="str">
        <x:v>memos_long:1271</x:v>
      </x:c>
      <x:c r="B57" s="30" t="str">
        <x:v>long</x:v>
      </x:c>
      <x:c r="C57" s="30" t="str">
        <x:v>Dynamic Update</x:v>
      </x:c>
      <x:c r="D57" s="30" t="n">
        <x:v>2</x:v>
      </x:c>
      <x:c r="E57" s="30" t="str">
        <x:v>What are Ananya Sharma's current plans to promote Indian cinema globally as of Sep 01, 2026?</x:v>
      </x:c>
      <x:c r="F57" s="30" t="str">
        <x:v>Collaborate on projects and deepen industry connections</x:v>
      </x:c>
      <x:c r="G57" s="30" t="str">
        <x:v>Collaborate on projects.</x:v>
      </x:c>
      <x:c r="H57" s="30" t="str">
        <x:v>deepseek-v4-flash</x:v>
      </x:c>
      <x:c r="I57" s="30" t="str">
        <x:v>deepseek-v4-flash</x:v>
      </x:c>
      <x:c r="J57" s="30" t="str">
        <x:v>371e57d6e0fc7faa324a996dada0d5c52fd68959cf0cd223797b4da0f4739385</x:v>
      </x:c>
      <x:c r="K57" s="30" t="str">
        <x:v>a259ca8f595326a15992ef83cca41af1f8e04bfd103900eca05f8ffd533cb1db</x:v>
      </x:c>
      <x:c r="L57" s="30" t="n">
        <x:v>709.86</x:v>
      </x:c>
      <x:c r="M57" s="30" t="str">
        <x:v>{"completion_tokens": 5, "prompt_tokens": 546, "total_tokens": 551, "completion_tokens_details": null, "prompt_tokens_details": {"audio_tokens": null, "cached_tokens": 512}, "prompt_cache_hit_tokens": 512, "prompt_cache_miss_tokens": 34}</x:v>
      </x:c>
      <x:c r="N57" s="30" t="str">
        <x:v>omission</x:v>
      </x:c>
      <x:c r="O57" s="30" t="str">
        <x:v>The model answer 'Collaborate on projects' captures only part of the gold answer, which also includes 'deepen industry connections.' Since the model omits this key component without adding any false information, it is classified as an omission.</x:v>
      </x:c>
      <x:c r="P57" s="30" t="str">
        <x:v>LongCat-2.0</x:v>
      </x:c>
      <x:c r="Q57" s="30" t="str">
        <x:v>LongCat-2.0</x:v>
      </x:c>
      <x:c r="R57" s="30" t="n">
        <x:v>2198.19</x:v>
      </x:c>
      <x:c r="S57" s="30" t="str">
        <x:v>{"completion_tokens": 59, "prompt_tokens": 158,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
      <x:c r="A58" s="30" t="str">
        <x:v>memos_long:1271</x:v>
      </x:c>
      <x:c r="B58" s="30" t="str">
        <x:v>long</x:v>
      </x:c>
      <x:c r="C58" s="30" t="str">
        <x:v>Dynamic Update</x:v>
      </x:c>
      <x:c r="D58" s="30" t="n">
        <x:v>3</x:v>
      </x:c>
      <x:c r="E58" s="30" t="str">
        <x:v>What are Ananya Sharma's current plans to promote Indian cinema globally as of Sep 01, 2026?</x:v>
      </x:c>
      <x:c r="F58" s="30" t="str">
        <x:v>Collaborate on projects and deepen industry connections</x:v>
      </x:c>
      <x:c r="G58" s="30" t="str">
        <x:v>Collaborate on projects.</x:v>
      </x:c>
      <x:c r="H58" s="30" t="str">
        <x:v>deepseek-v4-flash</x:v>
      </x:c>
      <x:c r="I58" s="30" t="str">
        <x:v>deepseek-v4-flash</x:v>
      </x:c>
      <x:c r="J58" s="30" t="str">
        <x:v>371e57d6e0fc7faa324a996dada0d5c52fd68959cf0cd223797b4da0f4739385</x:v>
      </x:c>
      <x:c r="K58" s="30" t="str">
        <x:v>a259ca8f595326a15992ef83cca41af1f8e04bfd103900eca05f8ffd533cb1db</x:v>
      </x:c>
      <x:c r="L58" s="30" t="n">
        <x:v>610.16</x:v>
      </x:c>
      <x:c r="M58" s="30" t="str">
        <x:v>{"completion_tokens": 5, "prompt_tokens": 546, "total_tokens": 551, "completion_tokens_details": null, "prompt_tokens_details": {"audio_tokens": null, "cached_tokens": 512}, "prompt_cache_hit_tokens": 512, "prompt_cache_miss_tokens": 34}</x:v>
      </x:c>
      <x:c r="N58" s="30" t="str">
        <x:v>omission</x:v>
      </x:c>
      <x:c r="O58" s="30" t="str">
        <x:v>The model answer 'Collaborate on projects' captures only part of the gold answer, which also includes 'deepen industry connections.' Since the model omits this key component without adding any false information, it is classified as an omission.</x:v>
      </x:c>
      <x:c r="P58" s="30" t="str">
        <x:v>LongCat-2.0</x:v>
      </x:c>
      <x:c r="Q58" s="30" t="str">
        <x:v>LongCat-2.0</x:v>
      </x:c>
      <x:c r="R58" s="30" t="n">
        <x:v>2321.09</x:v>
      </x:c>
      <x:c r="S58" s="30" t="str">
        <x:v>{"completion_tokens": 59, "prompt_tokens": 158,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
      <x:c r="A59" s="30" t="str">
        <x:v>memos_long:1276</x:v>
      </x:c>
      <x:c r="B59" s="30" t="str">
        <x:v>long</x:v>
      </x:c>
      <x:c r="C59" s="30" t="str">
        <x:v>Dynamic Update</x:v>
      </x:c>
      <x:c r="D59" s="30" t="n">
        <x:v>1</x:v>
      </x:c>
      <x:c r="E59" s="30" t="str">
        <x:v>What is Ananya Sharma's latest plan for film screenings as of Jun 15, 2026?</x:v>
      </x:c>
      <x:c r="F59" s="30" t="str">
        <x:v>Organize film screenings and cultural outings</x:v>
      </x:c>
      <x:c r="G59" s="30" t="str">
        <x:v>Themed screening next month.</x:v>
      </x:c>
      <x:c r="H59" s="30" t="str">
        <x:v>deepseek-v4-flash</x:v>
      </x:c>
      <x:c r="I59" s="30" t="str">
        <x:v>deepseek-v4-flash</x:v>
      </x:c>
      <x:c r="J59" s="30" t="str">
        <x:v>46da040c84149c52f2ea7d15844a24ae35e2ec91cf59a16a5d6e00ae26cd8eb6</x:v>
      </x:c>
      <x:c r="K59" s="30" t="str">
        <x:v>d4ff32ab6c50423c97e6dc7410f791e75ef0edf781d887ef88bae9e3448f40bf</x:v>
      </x:c>
      <x:c r="L59" s="30" t="n">
        <x:v>762.98</x:v>
      </x:c>
      <x:c r="M59" s="30" t="str">
        <x:v>{"completion_tokens": 6, "prompt_tokens": 555, "total_tokens": 561, "completion_tokens_details": null, "prompt_tokens_details": {"audio_tokens": null, "cached_tokens": 512}, "prompt_cache_hit_tokens": 512, "prompt_cache_miss_tokens": 43}</x:v>
      </x:c>
      <x:c r="N59" s="30" t="str">
        <x:v>omission</x:v>
      </x:c>
      <x:c r="O59" s="30" t="str">
        <x:v>The model answer 'Themed screening next month' provides only a vague, incomplete subset of the gold answer 'Organize film screenings and cultural outings.' It mentions a screening but omits the cultural outings component and does not fully capture the scope of Ananya Sharma's plan. While not factually contradictory, it fails to give the complete semantic content of the gold answer.</x:v>
      </x:c>
      <x:c r="P59" s="30" t="str">
        <x:v>LongCat-2.0</x:v>
      </x:c>
      <x:c r="Q59" s="30" t="str">
        <x:v>LongCat-2.0</x:v>
      </x:c>
      <x:c r="R59" s="30" t="n">
        <x:v>3584.75</x:v>
      </x:c>
      <x:c r="S59" s="30" t="str">
        <x:v>{"completion_tokens": 88, "prompt_tokens": 156, "total_tokens": 244,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0">
      <x:c r="A60" s="30" t="str">
        <x:v>memos_long:1276</x:v>
      </x:c>
      <x:c r="B60" s="30" t="str">
        <x:v>long</x:v>
      </x:c>
      <x:c r="C60" s="30" t="str">
        <x:v>Dynamic Update</x:v>
      </x:c>
      <x:c r="D60" s="30" t="n">
        <x:v>2</x:v>
      </x:c>
      <x:c r="E60" s="30" t="str">
        <x:v>What is Ananya Sharma's latest plan for film screenings as of Jun 15, 2026?</x:v>
      </x:c>
      <x:c r="F60" s="30" t="str">
        <x:v>Organize film screenings and cultural outings</x:v>
      </x:c>
      <x:c r="G60" s="30" t="str">
        <x:v>Themed screening next month.</x:v>
      </x:c>
      <x:c r="H60" s="30" t="str">
        <x:v>deepseek-v4-flash</x:v>
      </x:c>
      <x:c r="I60" s="30" t="str">
        <x:v>deepseek-v4-flash</x:v>
      </x:c>
      <x:c r="J60" s="30" t="str">
        <x:v>46da040c84149c52f2ea7d15844a24ae35e2ec91cf59a16a5d6e00ae26cd8eb6</x:v>
      </x:c>
      <x:c r="K60" s="30" t="str">
        <x:v>d4ff32ab6c50423c97e6dc7410f791e75ef0edf781d887ef88bae9e3448f40bf</x:v>
      </x:c>
      <x:c r="L60" s="30" t="n">
        <x:v>1035.76</x:v>
      </x:c>
      <x:c r="M60" s="30" t="str">
        <x:v>{"completion_tokens": 6, "prompt_tokens": 555, "total_tokens": 561, "completion_tokens_details": null, "prompt_tokens_details": {"audio_tokens": null, "cached_tokens": 512}, "prompt_cache_hit_tokens": 512, "prompt_cache_miss_tokens": 43}</x:v>
      </x:c>
      <x:c r="N60" s="30" t="str">
        <x:v>omission</x:v>
      </x:c>
      <x:c r="O60" s="30" t="str">
        <x:v>The gold answer states that Ananya Sharma's latest plan is to 'organize film screenings and cultural outings.' The model answer only mentions 'themed screening next month,' which captures only a partial aspect of the plan and omits the cultural outings component. It does not make a false claim, but it provides only an incomplete subset of the gold answer.</x:v>
      </x:c>
      <x:c r="P60" s="30" t="str">
        <x:v>LongCat-2.0</x:v>
      </x:c>
      <x:c r="Q60" s="30" t="str">
        <x:v>LongCat-2.0</x:v>
      </x:c>
      <x:c r="R60" s="30" t="n">
        <x:v>3496.81</x:v>
      </x:c>
      <x:c r="S60" s="30" t="str">
        <x:v>{"completion_tokens": 85, "prompt_tokens": 156,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
      <x:c r="A61" s="30" t="str">
        <x:v>memos_long:1276</x:v>
      </x:c>
      <x:c r="B61" s="30" t="str">
        <x:v>long</x:v>
      </x:c>
      <x:c r="C61" s="30" t="str">
        <x:v>Dynamic Update</x:v>
      </x:c>
      <x:c r="D61" s="30" t="n">
        <x:v>3</x:v>
      </x:c>
      <x:c r="E61" s="30" t="str">
        <x:v>What is Ananya Sharma's latest plan for film screenings as of Jun 15, 2026?</x:v>
      </x:c>
      <x:c r="F61" s="30" t="str">
        <x:v>Organize film screenings and cultural outings</x:v>
      </x:c>
      <x:c r="G61" s="30" t="str">
        <x:v>Themed screening next month.</x:v>
      </x:c>
      <x:c r="H61" s="30" t="str">
        <x:v>deepseek-v4-flash</x:v>
      </x:c>
      <x:c r="I61" s="30" t="str">
        <x:v>deepseek-v4-flash</x:v>
      </x:c>
      <x:c r="J61" s="30" t="str">
        <x:v>46da040c84149c52f2ea7d15844a24ae35e2ec91cf59a16a5d6e00ae26cd8eb6</x:v>
      </x:c>
      <x:c r="K61" s="30" t="str">
        <x:v>d4ff32ab6c50423c97e6dc7410f791e75ef0edf781d887ef88bae9e3448f40bf</x:v>
      </x:c>
      <x:c r="L61" s="30" t="n">
        <x:v>1029.36</x:v>
      </x:c>
      <x:c r="M61" s="30" t="str">
        <x:v>{"completion_tokens": 6, "prompt_tokens": 555, "total_tokens": 561, "completion_tokens_details": null, "prompt_tokens_details": {"audio_tokens": null, "cached_tokens": 512}, "prompt_cache_hit_tokens": 512, "prompt_cache_miss_tokens": 43}</x:v>
      </x:c>
      <x:c r="N61" s="30" t="str">
        <x:v>omission</x:v>
      </x:c>
      <x:c r="O61" s="30" t="str">
        <x:v>The gold answer states that Ananya Sharma's latest plan is to 'organize film screenings and cultural outings.' The model answer only mentions 'themed screening next month,' which captures only a partial aspect of the plan (film screenings) while omitting the cultural outings component. It does not make a false claim, but it provides only an incomplete subset of the gold answer.</x:v>
      </x:c>
      <x:c r="P61" s="30" t="str">
        <x:v>LongCat-2.0</x:v>
      </x:c>
      <x:c r="Q61" s="30" t="str">
        <x:v>LongCat-2.0</x:v>
      </x:c>
      <x:c r="R61" s="30" t="n">
        <x:v>3226.26</x:v>
      </x:c>
      <x:c r="S61" s="30" t="str">
        <x:v>{"completion_tokens": 89, "prompt_tokens": 156,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
      <x:c r="A62" s="30" t="str">
        <x:v>memos_long:1294</x:v>
      </x:c>
      <x:c r="B62" s="30" t="str">
        <x:v>long</x:v>
      </x:c>
      <x:c r="C62" s="30" t="str">
        <x:v>Basic Fact Recall</x:v>
      </x:c>
      <x:c r="D62" s="30" t="n">
        <x:v>1</x:v>
      </x:c>
      <x:c r="E62" s="30" t="str">
        <x:v>What event did Ananya Sharma attend on November 15, 2027?</x:v>
      </x:c>
      <x:c r="F62" s="30" t="str">
        <x:v>A family visit to the zoo.</x:v>
      </x:c>
      <x:c r="G62" s="30" t="str">
        <x:v>Zoo visit with family.</x:v>
      </x:c>
      <x:c r="H62" s="30" t="str">
        <x:v>deepseek-v4-flash</x:v>
      </x:c>
      <x:c r="I62" s="30" t="str">
        <x:v>deepseek-v4-flash</x:v>
      </x:c>
      <x:c r="J62" s="30" t="str">
        <x:v>044e912582560ba1d0e0ce7f8cfca373d68faa18fb953a45cdef3bcf27a196e4</x:v>
      </x:c>
      <x:c r="K62" s="30" t="str">
        <x:v>4b14ce41601fe240e02c8c43fb73ee6aa725f9a937a438be6503c2da366a4bf8</x:v>
      </x:c>
      <x:c r="L62" s="30" t="n">
        <x:v>637.35</x:v>
      </x:c>
      <x:c r="M62" s="30" t="str">
        <x:v>{"completion_tokens": 6, "prompt_tokens": 536, "total_tokens": 542, "completion_tokens_details": null, "prompt_tokens_details": {"audio_tokens": null, "cached_tokens": 512}, "prompt_cache_hit_tokens": 512, "prompt_cache_miss_tokens": 24}</x:v>
      </x:c>
      <x:c r="N62" s="30" t="str">
        <x:v>correct</x:v>
      </x:c>
      <x:c r="O62" s="30" t="str">
        <x:v>The model answer 'Zoo visit with family' conveys the same meaning as the gold answer 'A family visit to the zoo,' with only minor wording differences. No information is omitted or contradicted.</x:v>
      </x:c>
      <x:c r="P62" s="30" t="str">
        <x:v>LongCat-2.0</x:v>
      </x:c>
      <x:c r="Q62" s="30" t="str">
        <x:v>LongCat-2.0</x:v>
      </x:c>
      <x:c r="R62" s="30" t="n">
        <x:v>2610.78</x:v>
      </x:c>
      <x:c r="S62" s="30" t="str">
        <x:v>{"completion_tokens": 51, "prompt_tokens": 149, "total_tokens": 200,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3">
      <x:c r="A63" s="30" t="str">
        <x:v>memos_long:1294</x:v>
      </x:c>
      <x:c r="B63" s="30" t="str">
        <x:v>long</x:v>
      </x:c>
      <x:c r="C63" s="30" t="str">
        <x:v>Basic Fact Recall</x:v>
      </x:c>
      <x:c r="D63" s="30" t="n">
        <x:v>2</x:v>
      </x:c>
      <x:c r="E63" s="30" t="str">
        <x:v>What event did Ananya Sharma attend on November 15, 2027?</x:v>
      </x:c>
      <x:c r="F63" s="30" t="str">
        <x:v>A family visit to the zoo.</x:v>
      </x:c>
      <x:c r="G63" s="30" t="str">
        <x:v>Zoo visit with family.</x:v>
      </x:c>
      <x:c r="H63" s="30" t="str">
        <x:v>deepseek-v4-flash</x:v>
      </x:c>
      <x:c r="I63" s="30" t="str">
        <x:v>deepseek-v4-flash</x:v>
      </x:c>
      <x:c r="J63" s="30" t="str">
        <x:v>044e912582560ba1d0e0ce7f8cfca373d68faa18fb953a45cdef3bcf27a196e4</x:v>
      </x:c>
      <x:c r="K63" s="30" t="str">
        <x:v>4b14ce41601fe240e02c8c43fb73ee6aa725f9a937a438be6503c2da366a4bf8</x:v>
      </x:c>
      <x:c r="L63" s="30" t="n">
        <x:v>727.45</x:v>
      </x:c>
      <x:c r="M63" s="30" t="str">
        <x:v>{"completion_tokens": 6, "prompt_tokens": 536, "total_tokens": 542, "completion_tokens_details": null, "prompt_tokens_details": {"audio_tokens": null, "cached_tokens": 512}, "prompt_cache_hit_tokens": 512, "prompt_cache_miss_tokens": 24}</x:v>
      </x:c>
      <x:c r="N63" s="30" t="str">
        <x:v>correct</x:v>
      </x:c>
      <x:c r="O63" s="30" t="str">
        <x:v>The model answer 'Zoo visit with family' conveys the same meaning as the gold answer 'A family visit to the zoo,' with only minor wording differences. It is semantically complete and does not add any false or unsupported information.</x:v>
      </x:c>
      <x:c r="P63" s="30" t="str">
        <x:v>LongCat-2.0</x:v>
      </x:c>
      <x:c r="Q63" s="30" t="str">
        <x:v>LongCat-2.0</x:v>
      </x:c>
      <x:c r="R63" s="30" t="n">
        <x:v>2643.64</x:v>
      </x:c>
      <x:c r="S63" s="30" t="str">
        <x:v>{"completion_tokens": 58, "prompt_tokens": 149,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
      <x:c r="A64" s="30" t="str">
        <x:v>memos_long:1294</x:v>
      </x:c>
      <x:c r="B64" s="30" t="str">
        <x:v>long</x:v>
      </x:c>
      <x:c r="C64" s="30" t="str">
        <x:v>Basic Fact Recall</x:v>
      </x:c>
      <x:c r="D64" s="30" t="n">
        <x:v>3</x:v>
      </x:c>
      <x:c r="E64" s="30" t="str">
        <x:v>What event did Ananya Sharma attend on November 15, 2027?</x:v>
      </x:c>
      <x:c r="F64" s="30" t="str">
        <x:v>A family visit to the zoo.</x:v>
      </x:c>
      <x:c r="G64" s="30" t="str">
        <x:v>Zoo visit with family.</x:v>
      </x:c>
      <x:c r="H64" s="30" t="str">
        <x:v>deepseek-v4-flash</x:v>
      </x:c>
      <x:c r="I64" s="30" t="str">
        <x:v>deepseek-v4-flash</x:v>
      </x:c>
      <x:c r="J64" s="30" t="str">
        <x:v>044e912582560ba1d0e0ce7f8cfca373d68faa18fb953a45cdef3bcf27a196e4</x:v>
      </x:c>
      <x:c r="K64" s="30" t="str">
        <x:v>4b14ce41601fe240e02c8c43fb73ee6aa725f9a937a438be6503c2da366a4bf8</x:v>
      </x:c>
      <x:c r="L64" s="30" t="n">
        <x:v>679.91</x:v>
      </x:c>
      <x:c r="M64" s="30" t="str">
        <x:v>{"completion_tokens": 6, "prompt_tokens": 536, "total_tokens": 542, "completion_tokens_details": null, "prompt_tokens_details": {"audio_tokens": null, "cached_tokens": 512}, "prompt_cache_hit_tokens": 512, "prompt_cache_miss_tokens": 24}</x:v>
      </x:c>
      <x:c r="N64" s="30" t="str">
        <x:v>correct</x:v>
      </x:c>
      <x:c r="O64" s="30" t="str">
        <x:v>The model answer 'Zoo visit with family' conveys the same meaning as the gold answer 'A family visit to the zoo.' Both describe the same event (going to the zoo) with the same participants (family), with only minor wording differences.</x:v>
      </x:c>
      <x:c r="P64" s="30" t="str">
        <x:v>LongCat-2.0</x:v>
      </x:c>
      <x:c r="Q64" s="30" t="str">
        <x:v>LongCat-2.0</x:v>
      </x:c>
      <x:c r="R64" s="30" t="n">
        <x:v>2561.18</x:v>
      </x:c>
      <x:c r="S64" s="30" t="str">
        <x:v>{"completion_tokens": 61, "prompt_tokens": 149,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
      <x:c r="A65" s="30" t="str">
        <x:v>memos_long:1324</x:v>
      </x:c>
      <x:c r="B65" s="30" t="str">
        <x:v>long</x:v>
      </x:c>
      <x:c r="C65" s="30" t="str">
        <x:v>Multi-hop Inference</x:v>
      </x:c>
      <x:c r="D65" s="30" t="n">
        <x:v>1</x:v>
      </x:c>
      <x:c r="E65" s="30" t="str">
        <x:v>What was Ananya's income in April 2029 after changing her job?</x:v>
      </x:c>
      <x:c r="F65" s="30" t="str">
        <x:v>$18,000.</x:v>
      </x:c>
      <x:c r="G65" s="30" t="str">
        <x:v>$18,000</x:v>
      </x:c>
      <x:c r="H65" s="30" t="str">
        <x:v>deepseek-v4-flash</x:v>
      </x:c>
      <x:c r="I65" s="30" t="str">
        <x:v>deepseek-v4-flash</x:v>
      </x:c>
      <x:c r="J65" s="30" t="str">
        <x:v>6d633781cc1279ad59ae3c7f4494697642ce8f3080040999de63e397f169b1a7</x:v>
      </x:c>
      <x:c r="K65" s="30" t="str">
        <x:v>2b0b52f27459a1e52eb0556fff9cd219bb1fac7c117a8defaf1f7bd1a7c55019</x:v>
      </x:c>
      <x:c r="L65" s="30" t="n">
        <x:v>639.96</x:v>
      </x:c>
      <x:c r="M65" s="30" t="str">
        <x:v>{"completion_tokens": 4, "prompt_tokens": 556, "total_tokens": 560, "completion_tokens_details": null, "prompt_tokens_details": {"audio_tokens": null, "cached_tokens": 512}, "prompt_cache_hit_tokens": 512, "prompt_cache_miss_tokens": 44}</x:v>
      </x:c>
      <x:c r="N65" s="30" t="str">
        <x:v>correct</x:v>
      </x:c>
      <x:c r="O65" s="30" t="str">
        <x:v>The model answer '$18,000' matches the benchmark gold answer '$18,000' exactly in meaning and value, with only minor formatting differences (the dollar sign placement), which is acceptable under the 'wording may differ' allowance.</x:v>
      </x:c>
      <x:c r="P65" s="30" t="str">
        <x:v>LongCat-2.0</x:v>
      </x:c>
      <x:c r="Q65" s="30" t="str">
        <x:v>LongCat-2.0</x:v>
      </x:c>
      <x:c r="R65" s="30" t="n">
        <x:v>3124.17</x:v>
      </x:c>
      <x:c r="S65" s="30" t="str">
        <x:v>{"completion_tokens": 65, "prompt_tokens": 151,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6">
      <x:c r="A66" s="30" t="str">
        <x:v>memos_long:1324</x:v>
      </x:c>
      <x:c r="B66" s="30" t="str">
        <x:v>long</x:v>
      </x:c>
      <x:c r="C66" s="30" t="str">
        <x:v>Multi-hop Inference</x:v>
      </x:c>
      <x:c r="D66" s="30" t="n">
        <x:v>2</x:v>
      </x:c>
      <x:c r="E66" s="30" t="str">
        <x:v>What was Ananya's income in April 2029 after changing her job?</x:v>
      </x:c>
      <x:c r="F66" s="30" t="str">
        <x:v>$18,000.</x:v>
      </x:c>
      <x:c r="G66" s="30" t="str">
        <x:v>$18,000</x:v>
      </x:c>
      <x:c r="H66" s="30" t="str">
        <x:v>deepseek-v4-flash</x:v>
      </x:c>
      <x:c r="I66" s="30" t="str">
        <x:v>deepseek-v4-flash</x:v>
      </x:c>
      <x:c r="J66" s="30" t="str">
        <x:v>6d633781cc1279ad59ae3c7f4494697642ce8f3080040999de63e397f169b1a7</x:v>
      </x:c>
      <x:c r="K66" s="30" t="str">
        <x:v>2b0b52f27459a1e52eb0556fff9cd219bb1fac7c117a8defaf1f7bd1a7c55019</x:v>
      </x:c>
      <x:c r="L66" s="30" t="n">
        <x:v>611.07</x:v>
      </x:c>
      <x:c r="M66" s="30" t="str">
        <x:v>{"completion_tokens": 4, "prompt_tokens": 556, "total_tokens": 560, "completion_tokens_details": null, "prompt_tokens_details": {"audio_tokens": null, "cached_tokens": 512}, "prompt_cache_hit_tokens": 512, "prompt_cache_miss_tokens": 44}</x:v>
      </x:c>
      <x:c r="N66" s="30" t="str">
        <x:v>correct</x:v>
      </x:c>
      <x:c r="O66" s="30" t="str">
        <x:v>The model answer '$18,000' matches the benchmark gold answer '$18,000' exactly in meaning and value, with only minor formatting differences (the dollar sign placement), which is acceptable under the 'wording may differ' allowance.</x:v>
      </x:c>
      <x:c r="P66" s="30" t="str">
        <x:v>LongCat-2.0</x:v>
      </x:c>
      <x:c r="Q66" s="30" t="str">
        <x:v>LongCat-2.0</x:v>
      </x:c>
      <x:c r="R66" s="30" t="n">
        <x:v>3294.8</x:v>
      </x:c>
      <x:c r="S66" s="30" t="str">
        <x:v>{"completion_tokens": 65, "prompt_tokens": 151,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7">
      <x:c r="A67" s="30" t="str">
        <x:v>memos_long:1324</x:v>
      </x:c>
      <x:c r="B67" s="30" t="str">
        <x:v>long</x:v>
      </x:c>
      <x:c r="C67" s="30" t="str">
        <x:v>Multi-hop Inference</x:v>
      </x:c>
      <x:c r="D67" s="30" t="n">
        <x:v>3</x:v>
      </x:c>
      <x:c r="E67" s="30" t="str">
        <x:v>What was Ananya's income in April 2029 after changing her job?</x:v>
      </x:c>
      <x:c r="F67" s="30" t="str">
        <x:v>$18,000.</x:v>
      </x:c>
      <x:c r="G67" s="30" t="str">
        <x:v>$18,000</x:v>
      </x:c>
      <x:c r="H67" s="30" t="str">
        <x:v>deepseek-v4-flash</x:v>
      </x:c>
      <x:c r="I67" s="30" t="str">
        <x:v>deepseek-v4-flash</x:v>
      </x:c>
      <x:c r="J67" s="30" t="str">
        <x:v>6d633781cc1279ad59ae3c7f4494697642ce8f3080040999de63e397f169b1a7</x:v>
      </x:c>
      <x:c r="K67" s="30" t="str">
        <x:v>2b0b52f27459a1e52eb0556fff9cd219bb1fac7c117a8defaf1f7bd1a7c55019</x:v>
      </x:c>
      <x:c r="L67" s="30" t="n">
        <x:v>721.29</x:v>
      </x:c>
      <x:c r="M67" s="30" t="str">
        <x:v>{"completion_tokens": 4, "prompt_tokens": 556, "total_tokens": 560, "completion_tokens_details": null, "prompt_tokens_details": {"audio_tokens": null, "cached_tokens": 512}, "prompt_cache_hit_tokens": 512, "prompt_cache_miss_tokens": 44}</x:v>
      </x:c>
      <x:c r="N67" s="30" t="str">
        <x:v>correct</x:v>
      </x:c>
      <x:c r="O67" s="30" t="str">
        <x:v>The model answer '$18,000' matches the benchmark gold answer '$18,000' exactly in meaning and value, with only minor formatting differences (the absence of a period at the end), which does not affect semantic correctness.</x:v>
      </x:c>
      <x:c r="P67" s="30" t="str">
        <x:v>LongCat-2.0</x:v>
      </x:c>
      <x:c r="Q67" s="30" t="str">
        <x:v>LongCat-2.0</x:v>
      </x:c>
      <x:c r="R67" s="30" t="n">
        <x:v>5005.39</x:v>
      </x:c>
      <x:c r="S67"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
      <x:c r="A68" s="30" t="str">
        <x:v>memos_long:1348</x:v>
      </x:c>
      <x:c r="B68" s="30" t="str">
        <x:v>long</x:v>
      </x:c>
      <x:c r="C68" s="30" t="str">
        <x:v>Generalization &amp; Application</x:v>
      </x:c>
      <x:c r="D68" s="30" t="n">
        <x:v>1</x:v>
      </x:c>
      <x:c r="E68" s="30" t="str">
        <x:v>What is a potential benefit of Ananya's new critique approach as of September 25, 2031?</x:v>
      </x:c>
      <x:c r="F68" s="30" t="str">
        <x:v>Reignites her passion for film critique.</x:v>
      </x:c>
      <x:c r="G68" s="30" t="str">
        <x:v>Positive reader feedback</x:v>
      </x:c>
      <x:c r="H68" s="30" t="str">
        <x:v>deepseek-v4-flash</x:v>
      </x:c>
      <x:c r="I68" s="30" t="str">
        <x:v>deepseek-v4-flash</x:v>
      </x:c>
      <x:c r="J68" s="30" t="str">
        <x:v>f11983c64231c8ce773ecb3b80a0b42a676d9e66547dcbcdac937717a5c57631</x:v>
      </x:c>
      <x:c r="K68" s="30" t="str">
        <x:v>3d74e09438fe3640e79203adfe0439f801ca8d5457b182cffa7642f99b8d7eb1</x:v>
      </x:c>
      <x:c r="L68" s="30" t="n">
        <x:v>821.38</x:v>
      </x:c>
      <x:c r="M68" s="30" t="str">
        <x:v>{"completion_tokens": 3, "prompt_tokens": 546, "total_tokens": 549, "completion_tokens_details": null, "prompt_tokens_details": {"audio_tokens": null, "cached_tokens": 512}, "prompt_cache_hit_tokens": 512, "prompt_cache_miss_tokens": 34}</x:v>
      </x:c>
      <x:c r="N68" s="30" t="str">
        <x:v>hallucination</x:v>
      </x:c>
      <x:c r="O68" s="30" t="str">
        <x:v>The gold answer states the benefit is that it 'reignites her passion for film critique,' while the model answer claims 'Positive reader feedback.' These are two distinct and unrelated benefits, and the model's answer contradicts the specific benefit described in the gold answer.</x:v>
      </x:c>
      <x:c r="P68" s="30" t="str">
        <x:v>LongCat-2.0</x:v>
      </x:c>
      <x:c r="Q68" s="30" t="str">
        <x:v>LongCat-2.0</x:v>
      </x:c>
      <x:c r="R68" s="30" t="n">
        <x:v>2279.84</x:v>
      </x:c>
      <x:c r="S68" s="30" t="str">
        <x:v>{"completion_tokens": 65, "prompt_tokens": 155,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
      <x:c r="A69" s="30" t="str">
        <x:v>memos_long:1348</x:v>
      </x:c>
      <x:c r="B69" s="30" t="str">
        <x:v>long</x:v>
      </x:c>
      <x:c r="C69" s="30" t="str">
        <x:v>Generalization &amp; Application</x:v>
      </x:c>
      <x:c r="D69" s="30" t="n">
        <x:v>2</x:v>
      </x:c>
      <x:c r="E69" s="30" t="str">
        <x:v>What is a potential benefit of Ananya's new critique approach as of September 25, 2031?</x:v>
      </x:c>
      <x:c r="F69" s="30" t="str">
        <x:v>Reignites her passion for film critique.</x:v>
      </x:c>
      <x:c r="G69" s="30" t="str">
        <x:v>Positive reader feedback</x:v>
      </x:c>
      <x:c r="H69" s="30" t="str">
        <x:v>deepseek-v4-flash</x:v>
      </x:c>
      <x:c r="I69" s="30" t="str">
        <x:v>deepseek-v4-flash</x:v>
      </x:c>
      <x:c r="J69" s="30" t="str">
        <x:v>f11983c64231c8ce773ecb3b80a0b42a676d9e66547dcbcdac937717a5c57631</x:v>
      </x:c>
      <x:c r="K69" s="30" t="str">
        <x:v>3d74e09438fe3640e79203adfe0439f801ca8d5457b182cffa7642f99b8d7eb1</x:v>
      </x:c>
      <x:c r="L69" s="30" t="n">
        <x:v>571.51</x:v>
      </x:c>
      <x:c r="M69" s="30" t="str">
        <x:v>{"completion_tokens": 3, "prompt_tokens": 546, "total_tokens": 549, "completion_tokens_details": null, "prompt_tokens_details": {"audio_tokens": null, "cached_tokens": 512}, "prompt_cache_hit_tokens": 512, "prompt_cache_miss_tokens": 34}</x:v>
      </x:c>
      <x:c r="N69" s="30" t="str">
        <x:v>hallucination</x:v>
      </x:c>
      <x:c r="O69" s="30" t="str">
        <x:v>The gold answer states the benefit is that it 'reignites her passion for film critique,' while the model answer claims 'Positive reader feedback.' These are two distinct and unrelated benefits, and the model's answer contradicts the specific benefit described in the gold answer.</x:v>
      </x:c>
      <x:c r="P69" s="30" t="str">
        <x:v>LongCat-2.0</x:v>
      </x:c>
      <x:c r="Q69" s="30" t="str">
        <x:v>LongCat-2.0</x:v>
      </x:c>
      <x:c r="R69" s="30" t="n">
        <x:v>2867.13</x:v>
      </x:c>
      <x:c r="S69" s="30" t="str">
        <x:v>{"completion_tokens": 65, "prompt_tokens": 155,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0">
      <x:c r="A70" s="30" t="str">
        <x:v>memos_long:1348</x:v>
      </x:c>
      <x:c r="B70" s="30" t="str">
        <x:v>long</x:v>
      </x:c>
      <x:c r="C70" s="30" t="str">
        <x:v>Generalization &amp; Application</x:v>
      </x:c>
      <x:c r="D70" s="30" t="n">
        <x:v>3</x:v>
      </x:c>
      <x:c r="E70" s="30" t="str">
        <x:v>What is a potential benefit of Ananya's new critique approach as of September 25, 2031?</x:v>
      </x:c>
      <x:c r="F70" s="30" t="str">
        <x:v>Reignites her passion for film critique.</x:v>
      </x:c>
      <x:c r="G70" s="30" t="str">
        <x:v>Positive reader feedback</x:v>
      </x:c>
      <x:c r="H70" s="30" t="str">
        <x:v>deepseek-v4-flash</x:v>
      </x:c>
      <x:c r="I70" s="30" t="str">
        <x:v>deepseek-v4-flash</x:v>
      </x:c>
      <x:c r="J70" s="30" t="str">
        <x:v>f11983c64231c8ce773ecb3b80a0b42a676d9e66547dcbcdac937717a5c57631</x:v>
      </x:c>
      <x:c r="K70" s="30" t="str">
        <x:v>3d74e09438fe3640e79203adfe0439f801ca8d5457b182cffa7642f99b8d7eb1</x:v>
      </x:c>
      <x:c r="L70" s="30" t="n">
        <x:v>571.82</x:v>
      </x:c>
      <x:c r="M70" s="30" t="str">
        <x:v>{"completion_tokens": 3, "prompt_tokens": 546, "total_tokens": 549, "completion_tokens_details": null, "prompt_tokens_details": {"audio_tokens": null, "cached_tokens": 512}, "prompt_cache_hit_tokens": 512, "prompt_cache_miss_tokens": 34}</x:v>
      </x:c>
      <x:c r="N70" s="30" t="str">
        <x:v>hallucination</x:v>
      </x:c>
      <x:c r="O70" s="30" t="str">
        <x:v>The gold answer states the benefit is that it 'reignites her passion for film critique,' while the model answer claims 'Positive reader feedback.' These are distinct and unrelated benefits; the model's answer introduces a concrete claim that is not supported by or equivalent to the gold answer, making it a hallucination.</x:v>
      </x:c>
      <x:c r="P70" s="30" t="str">
        <x:v>LongCat-2.0</x:v>
      </x:c>
      <x:c r="Q70" s="30" t="str">
        <x:v>LongCat-2.0</x:v>
      </x:c>
      <x:c r="R70" s="30" t="n">
        <x:v>3537.97</x:v>
      </x:c>
      <x:c r="S70" s="30" t="str">
        <x:v>{"completion_tokens": 75, "prompt_tokens": 155,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
      <x:c r="A71" s="30" t="str">
        <x:v>memos_long:1350</x:v>
      </x:c>
      <x:c r="B71" s="30" t="str">
        <x:v>long</x:v>
      </x:c>
      <x:c r="C71" s="30" t="str">
        <x:v>Basic Fact Recall</x:v>
      </x:c>
      <x:c r="D71" s="30" t="n">
        <x:v>1</x:v>
      </x:c>
      <x:c r="E71" s="30" t="str">
        <x:v>What is Ananya Sharma's mental health status as of September 1, 2031?</x:v>
      </x:c>
      <x:c r="F71" s="30" t="str">
        <x:v>Content</x:v>
      </x:c>
      <x:c r="G71" s="30" t="str">
        <x:v>Content</x:v>
      </x:c>
      <x:c r="H71" s="30" t="str">
        <x:v>deepseek-v4-flash</x:v>
      </x:c>
      <x:c r="I71" s="30" t="str">
        <x:v>deepseek-v4-flash</x:v>
      </x:c>
      <x:c r="J71" s="30" t="str">
        <x:v>5a07937ecc62b295cf988a6613ab97aa76206efb21739fa0e36e23c066208a18</x:v>
      </x:c>
      <x:c r="K71" s="30" t="str">
        <x:v>81cf3fc1b7ae4987d2efa3cf67345b3726c8d6380f722f3d6a825ccb13c2e40b</x:v>
      </x:c>
      <x:c r="L71" s="30" t="n">
        <x:v>486.96</x:v>
      </x:c>
      <x:c r="M71" s="30" t="str">
        <x:v>{"completion_tokens": 1, "prompt_tokens": 544, "total_tokens": 545, "completion_tokens_details": null, "prompt_tokens_details": {"audio_tokens": null, "cached_tokens": 512}, "prompt_cache_hit_tokens": 512, "prompt_cache_miss_tokens": 32}</x:v>
      </x:c>
      <x:c r="N71" s="30" t="str">
        <x:v>omission</x:v>
      </x:c>
      <x:c r="O71" s="30" t="str">
        <x:v>Both the gold answer and the model answer are empty ('Content'), meaning the model provides no information about Ananya Sharma's mental health status. This constitutes an omission as the model gives no answer.</x:v>
      </x:c>
      <x:c r="P71" s="30" t="str">
        <x:v>LongCat-2.0</x:v>
      </x:c>
      <x:c r="Q71" s="30" t="str">
        <x:v>LongCat-2.0</x:v>
      </x:c>
      <x:c r="R71" s="30" t="n">
        <x:v>2713.39</x:v>
      </x:c>
      <x:c r="S71" s="30" t="str">
        <x:v>{"completion_tokens": 51, "prompt_tokens": 142, "total_tokens": 193,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2">
      <x:c r="A72" s="30" t="str">
        <x:v>memos_long:1350</x:v>
      </x:c>
      <x:c r="B72" s="30" t="str">
        <x:v>long</x:v>
      </x:c>
      <x:c r="C72" s="30" t="str">
        <x:v>Basic Fact Recall</x:v>
      </x:c>
      <x:c r="D72" s="30" t="n">
        <x:v>2</x:v>
      </x:c>
      <x:c r="E72" s="30" t="str">
        <x:v>What is Ananya Sharma's mental health status as of September 1, 2031?</x:v>
      </x:c>
      <x:c r="F72" s="30" t="str">
        <x:v>Content</x:v>
      </x:c>
      <x:c r="G72" s="30" t="str">
        <x:v>Content</x:v>
      </x:c>
      <x:c r="H72" s="30" t="str">
        <x:v>deepseek-v4-flash</x:v>
      </x:c>
      <x:c r="I72" s="30" t="str">
        <x:v>deepseek-v4-flash</x:v>
      </x:c>
      <x:c r="J72" s="30" t="str">
        <x:v>5a07937ecc62b295cf988a6613ab97aa76206efb21739fa0e36e23c066208a18</x:v>
      </x:c>
      <x:c r="K72" s="30" t="str">
        <x:v>81cf3fc1b7ae4987d2efa3cf67345b3726c8d6380f722f3d6a825ccb13c2e40b</x:v>
      </x:c>
      <x:c r="L72" s="30" t="n">
        <x:v>619.34</x:v>
      </x:c>
      <x:c r="M72" s="30" t="str">
        <x:v>{"completion_tokens": 1, "prompt_tokens": 544, "total_tokens": 545, "completion_tokens_details": null, "prompt_tokens_details": {"audio_tokens": null, "cached_tokens": 512}, "prompt_cache_hit_tokens": 512, "prompt_cache_miss_tokens": 32}</x:v>
      </x:c>
      <x:c r="N72" s="30" t="str">
        <x:v>omission</x:v>
      </x:c>
      <x:c r="O72" s="30" t="str">
        <x:v>Both the benchmark gold answer and the model answer contain only the word 'Content' with no actual information provided about Ananya Sharma's mental health status. The model answer fails to provide any substantive answer to the question, making this an omission.</x:v>
      </x:c>
      <x:c r="P72" s="30" t="str">
        <x:v>LongCat-2.0</x:v>
      </x:c>
      <x:c r="Q72" s="30" t="str">
        <x:v>LongCat-2.0</x:v>
      </x:c>
      <x:c r="R72" s="30" t="n">
        <x:v>2610.36</x:v>
      </x:c>
      <x:c r="S72" s="30" t="str">
        <x:v>{"completion_tokens": 60, "prompt_tokens": 142,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
      <x:c r="A73" s="30" t="str">
        <x:v>memos_long:1350</x:v>
      </x:c>
      <x:c r="B73" s="30" t="str">
        <x:v>long</x:v>
      </x:c>
      <x:c r="C73" s="30" t="str">
        <x:v>Basic Fact Recall</x:v>
      </x:c>
      <x:c r="D73" s="30" t="n">
        <x:v>3</x:v>
      </x:c>
      <x:c r="E73" s="30" t="str">
        <x:v>What is Ananya Sharma's mental health status as of September 1, 2031?</x:v>
      </x:c>
      <x:c r="F73" s="30" t="str">
        <x:v>Content</x:v>
      </x:c>
      <x:c r="G73" s="30" t="str">
        <x:v>Content</x:v>
      </x:c>
      <x:c r="H73" s="30" t="str">
        <x:v>deepseek-v4-flash</x:v>
      </x:c>
      <x:c r="I73" s="30" t="str">
        <x:v>deepseek-v4-flash</x:v>
      </x:c>
      <x:c r="J73" s="30" t="str">
        <x:v>5a07937ecc62b295cf988a6613ab97aa76206efb21739fa0e36e23c066208a18</x:v>
      </x:c>
      <x:c r="K73" s="30" t="str">
        <x:v>81cf3fc1b7ae4987d2efa3cf67345b3726c8d6380f722f3d6a825ccb13c2e40b</x:v>
      </x:c>
      <x:c r="L73" s="30" t="n">
        <x:v>725.31</x:v>
      </x:c>
      <x:c r="M73" s="30" t="str">
        <x:v>{"completion_tokens": 1, "prompt_tokens": 544, "total_tokens": 545, "completion_tokens_details": null, "prompt_tokens_details": {"audio_tokens": null, "cached_tokens": 512}, "prompt_cache_hit_tokens": 512, "prompt_cache_miss_tokens": 32}</x:v>
      </x:c>
      <x:c r="N73" s="30" t="str">
        <x:v>omission</x:v>
      </x:c>
      <x:c r="O73" s="30" t="str">
        <x:v>Both the gold answer and the model answer are empty ('Content'), meaning the model provided no substantive information about Ananya Sharma's mental health status. Since the model gave no concrete answer, this is an omission.</x:v>
      </x:c>
      <x:c r="P73" s="30" t="str">
        <x:v>LongCat-2.0</x:v>
      </x:c>
      <x:c r="Q73" s="30" t="str">
        <x:v>LongCat-2.0</x:v>
      </x:c>
      <x:c r="R73" s="30" t="n">
        <x:v>2707.88</x:v>
      </x:c>
      <x:c r="S73" s="30" t="str">
        <x:v>{"completion_tokens": 54, "prompt_tokens": 142,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
      <x:c r="A74" s="30" t="str">
        <x:v>memos_long:1360</x:v>
      </x:c>
      <x:c r="B74" s="30" t="str">
        <x:v>long</x:v>
      </x:c>
      <x:c r="C74" s="30" t="str">
        <x:v>Generalization &amp; Application</x:v>
      </x:c>
      <x:c r="D74" s="30" t="n">
        <x:v>1</x:v>
      </x:c>
      <x:c r="E74" s="30" t="str">
        <x:v>What new sport might Ananya Sharma explore next based on her interest in strategic depth?</x:v>
      </x:c>
      <x:c r="F74" s="30" t="str">
        <x:v>Chess, due to its strategic nature.</x:v>
      </x:c>
      <x:c r="G74" s="30" t="str">
        <x:v>Golf or boxing</x:v>
      </x:c>
      <x:c r="H74" s="30" t="str">
        <x:v>deepseek-v4-flash</x:v>
      </x:c>
      <x:c r="I74" s="30" t="str">
        <x:v>deepseek-v4-flash</x:v>
      </x:c>
      <x:c r="J74" s="30" t="str">
        <x:v>ff937a95c03832d5385cb765e4d7a6b4df78dc648c864529e5c9590a9ec9a2e3</x:v>
      </x:c>
      <x:c r="K74" s="30" t="str">
        <x:v>f14073b96d16c85aeac98f78c6b0f860869baedbff950554945d6776047462c5</x:v>
      </x:c>
      <x:c r="L74" s="30" t="n">
        <x:v>699.8</x:v>
      </x:c>
      <x:c r="M74" s="30" t="str">
        <x:v>{"completion_tokens": 4, "prompt_tokens": 566, "total_tokens": 570, "completion_tokens_details": null, "prompt_tokens_details": {"audio_tokens": null, "cached_tokens": 512}, "prompt_cache_hit_tokens": 512, "prompt_cache_miss_tokens": 54}</x:v>
      </x:c>
      <x:c r="N74" s="30" t="str">
        <x:v>hallucination</x:v>
      </x:c>
      <x:c r="O74"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P74" s="30" t="str">
        <x:v>LongCat-2.0</x:v>
      </x:c>
      <x:c r="Q74" s="30" t="str">
        <x:v>LongCat-2.0</x:v>
      </x:c>
      <x:c r="R74" s="30" t="n">
        <x:v>3716.83</x:v>
      </x:c>
      <x:c r="S74" s="30" t="str">
        <x:v>{"completion_tokens": 95, "prompt_tokens": 148, "total_tokens": 243,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5">
      <x:c r="A75" s="30" t="str">
        <x:v>memos_long:1360</x:v>
      </x:c>
      <x:c r="B75" s="30" t="str">
        <x:v>long</x:v>
      </x:c>
      <x:c r="C75" s="30" t="str">
        <x:v>Generalization &amp; Application</x:v>
      </x:c>
      <x:c r="D75" s="30" t="n">
        <x:v>2</x:v>
      </x:c>
      <x:c r="E75" s="30" t="str">
        <x:v>What new sport might Ananya Sharma explore next based on her interest in strategic depth?</x:v>
      </x:c>
      <x:c r="F75" s="30" t="str">
        <x:v>Chess, due to its strategic nature.</x:v>
      </x:c>
      <x:c r="G75" s="30" t="str">
        <x:v>Golf or boxing</x:v>
      </x:c>
      <x:c r="H75" s="30" t="str">
        <x:v>deepseek-v4-flash</x:v>
      </x:c>
      <x:c r="I75" s="30" t="str">
        <x:v>deepseek-v4-flash</x:v>
      </x:c>
      <x:c r="J75" s="30" t="str">
        <x:v>ff937a95c03832d5385cb765e4d7a6b4df78dc648c864529e5c9590a9ec9a2e3</x:v>
      </x:c>
      <x:c r="K75" s="30" t="str">
        <x:v>f14073b96d16c85aeac98f78c6b0f860869baedbff950554945d6776047462c5</x:v>
      </x:c>
      <x:c r="L75" s="30" t="n">
        <x:v>702.42</x:v>
      </x:c>
      <x:c r="M75" s="30" t="str">
        <x:v>{"completion_tokens": 4, "prompt_tokens": 566, "total_tokens": 570, "completion_tokens_details": null, "prompt_tokens_details": {"audio_tokens": null, "cached_tokens": 512}, "prompt_cache_hit_tokens": 512, "prompt_cache_miss_tokens": 54}</x:v>
      </x:c>
      <x:c r="N75" s="30" t="str">
        <x:v>hallucination</x:v>
      </x:c>
      <x:c r="O75"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P75" s="30" t="str">
        <x:v>LongCat-2.0</x:v>
      </x:c>
      <x:c r="Q75" s="30" t="str">
        <x:v>LongCat-2.0</x:v>
      </x:c>
      <x:c r="R75" s="30" t="n">
        <x:v>3682.87</x:v>
      </x:c>
      <x:c r="S75" s="30" t="str">
        <x:v>{"completion_tokens": 95, "prompt_tokens": 148,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
      <x:c r="A76" s="30" t="str">
        <x:v>memos_long:1360</x:v>
      </x:c>
      <x:c r="B76" s="30" t="str">
        <x:v>long</x:v>
      </x:c>
      <x:c r="C76" s="30" t="str">
        <x:v>Generalization &amp; Application</x:v>
      </x:c>
      <x:c r="D76" s="30" t="n">
        <x:v>3</x:v>
      </x:c>
      <x:c r="E76" s="30" t="str">
        <x:v>What new sport might Ananya Sharma explore next based on her interest in strategic depth?</x:v>
      </x:c>
      <x:c r="F76" s="30" t="str">
        <x:v>Chess, due to its strategic nature.</x:v>
      </x:c>
      <x:c r="G76" s="30" t="str">
        <x:v>Golf or boxing</x:v>
      </x:c>
      <x:c r="H76" s="30" t="str">
        <x:v>deepseek-v4-flash</x:v>
      </x:c>
      <x:c r="I76" s="30" t="str">
        <x:v>deepseek-v4-flash</x:v>
      </x:c>
      <x:c r="J76" s="30" t="str">
        <x:v>ff937a95c03832d5385cb765e4d7a6b4df78dc648c864529e5c9590a9ec9a2e3</x:v>
      </x:c>
      <x:c r="K76" s="30" t="str">
        <x:v>f14073b96d16c85aeac98f78c6b0f860869baedbff950554945d6776047462c5</x:v>
      </x:c>
      <x:c r="L76" s="30" t="n">
        <x:v>707.44</x:v>
      </x:c>
      <x:c r="M76" s="30" t="str">
        <x:v>{"completion_tokens": 4, "prompt_tokens": 566, "total_tokens": 570, "completion_tokens_details": null, "prompt_tokens_details": {"audio_tokens": null, "cached_tokens": 512}, "prompt_cache_hit_tokens": 512, "prompt_cache_miss_tokens": 54}</x:v>
      </x:c>
      <x:c r="N76" s="30" t="str">
        <x:v>hallucination</x:v>
      </x:c>
      <x:c r="O76"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due to its strategic nature,' and the inclusion of boxing as a strategic sport is an unsupported claim that contradicts the expected answer.</x:v>
      </x:c>
      <x:c r="P76" s="30" t="str">
        <x:v>LongCat-2.0</x:v>
      </x:c>
      <x:c r="Q76" s="30" t="str">
        <x:v>LongCat-2.0</x:v>
      </x:c>
      <x:c r="R76" s="30" t="n">
        <x:v>3277.28</x:v>
      </x:c>
      <x:c r="S76" s="30" t="str">
        <x:v>{"completion_tokens": 100, "prompt_tokens": 148,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
      <x:c r="A77" s="30" t="str">
        <x:v>memos_long:1370</x:v>
      </x:c>
      <x:c r="B77" s="30" t="str">
        <x:v>long</x:v>
      </x:c>
      <x:c r="C77" s="30" t="str">
        <x:v>Generalization &amp; Application</x:v>
      </x:c>
      <x:c r="D77" s="30" t="n">
        <x:v>1</x:v>
      </x:c>
      <x:c r="E77" s="30" t="str">
        <x:v>What new genre might Ananya explore next, based on her recent interest in symphonic metal?</x:v>
      </x:c>
      <x:c r="F77" s="30" t="str">
        <x:v>Progressive rock, due to its complexity and blend of styles.</x:v>
      </x:c>
      <x:c r="G77" s="30" t="str">
        <x:v>Symphonic metal</x:v>
      </x:c>
      <x:c r="H77" s="30" t="str">
        <x:v>deepseek-v4-flash</x:v>
      </x:c>
      <x:c r="I77" s="30" t="str">
        <x:v>deepseek-v4-flash</x:v>
      </x:c>
      <x:c r="J77" s="30" t="str">
        <x:v>7352ad9cbef57c20fbd6ab5f898314f274158a56e88b2c9e1580001cbc4a0915</x:v>
      </x:c>
      <x:c r="K77" s="30" t="str">
        <x:v>e2209efdb94a5d1b953a70c7284fc659c300bf377bcf8c80a5055391e48cc22e</x:v>
      </x:c>
      <x:c r="L77" s="30" t="n">
        <x:v>672.5</x:v>
      </x:c>
      <x:c r="M77" s="30" t="str">
        <x:v>{"completion_tokens": 4, "prompt_tokens": 611, "total_tokens": 615, "completion_tokens_details": null, "prompt_tokens_details": {"audio_tokens": null, "cached_tokens": 512}, "prompt_cache_hit_tokens": 512, "prompt_cache_miss_tokens": 99}</x:v>
      </x:c>
      <x:c r="N77" s="30" t="str">
        <x:v>hallucination</x:v>
      </x:c>
      <x:c r="O77"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P77" s="30" t="str">
        <x:v>LongCat-2.0</x:v>
      </x:c>
      <x:c r="Q77" s="30" t="str">
        <x:v>LongCat-2.0</x:v>
      </x:c>
      <x:c r="R77" s="30" t="n">
        <x:v>3096.77</x:v>
      </x:c>
      <x:c r="S77" s="30" t="str">
        <x:v>{"completion_tokens": 79, "prompt_tokens": 154,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
      <x:c r="A78" s="30" t="str">
        <x:v>memos_long:1370</x:v>
      </x:c>
      <x:c r="B78" s="30" t="str">
        <x:v>long</x:v>
      </x:c>
      <x:c r="C78" s="30" t="str">
        <x:v>Generalization &amp; Application</x:v>
      </x:c>
      <x:c r="D78" s="30" t="n">
        <x:v>2</x:v>
      </x:c>
      <x:c r="E78" s="30" t="str">
        <x:v>What new genre might Ananya explore next, based on her recent interest in symphonic metal?</x:v>
      </x:c>
      <x:c r="F78" s="30" t="str">
        <x:v>Progressive rock, due to its complexity and blend of styles.</x:v>
      </x:c>
      <x:c r="G78" s="30" t="str">
        <x:v>Symphonic metal</x:v>
      </x:c>
      <x:c r="H78" s="30" t="str">
        <x:v>deepseek-v4-flash</x:v>
      </x:c>
      <x:c r="I78" s="30" t="str">
        <x:v>deepseek-v4-flash</x:v>
      </x:c>
      <x:c r="J78" s="30" t="str">
        <x:v>7352ad9cbef57c20fbd6ab5f898314f274158a56e88b2c9e1580001cbc4a0915</x:v>
      </x:c>
      <x:c r="K78" s="30" t="str">
        <x:v>e2209efdb94a5d1b953a70c7284fc659c300bf377bcf8c80a5055391e48cc22e</x:v>
      </x:c>
      <x:c r="L78" s="30" t="n">
        <x:v>672.5</x:v>
      </x:c>
      <x:c r="M78" s="30" t="str">
        <x:v>{"completion_tokens": 4, "prompt_tokens": 611, "total_tokens": 615, "completion_tokens_details": null, "prompt_tokens_details": {"audio_tokens": null, "cached_tokens": 512}, "prompt_cache_hit_tokens": 512, "prompt_cache_miss_tokens": 99}</x:v>
      </x:c>
      <x:c r="N78" s="30" t="str">
        <x:v>hallucination</x:v>
      </x:c>
      <x:c r="O78"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(progressive rock) indicated by the gold answer.</x:v>
      </x:c>
      <x:c r="P78" s="30" t="str">
        <x:v>LongCat-2.0</x:v>
      </x:c>
      <x:c r="Q78" s="30" t="str">
        <x:v>LongCat-2.0</x:v>
      </x:c>
      <x:c r="R78" s="30" t="n">
        <x:v>3750.72</x:v>
      </x:c>
      <x:c r="S78" s="30" t="str">
        <x:v>{"completion_tokens": 84, "prompt_tokens": 154, "total_tokens": 238,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9">
      <x:c r="A79" s="30" t="str">
        <x:v>memos_long:1370</x:v>
      </x:c>
      <x:c r="B79" s="30" t="str">
        <x:v>long</x:v>
      </x:c>
      <x:c r="C79" s="30" t="str">
        <x:v>Generalization &amp; Application</x:v>
      </x:c>
      <x:c r="D79" s="30" t="n">
        <x:v>3</x:v>
      </x:c>
      <x:c r="E79" s="30" t="str">
        <x:v>What new genre might Ananya explore next, based on her recent interest in symphonic metal?</x:v>
      </x:c>
      <x:c r="F79" s="30" t="str">
        <x:v>Progressive rock, due to its complexity and blend of styles.</x:v>
      </x:c>
      <x:c r="G79" s="30" t="str">
        <x:v>Symphonic metal</x:v>
      </x:c>
      <x:c r="H79" s="30" t="str">
        <x:v>deepseek-v4-flash</x:v>
      </x:c>
      <x:c r="I79" s="30" t="str">
        <x:v>deepseek-v4-flash</x:v>
      </x:c>
      <x:c r="J79" s="30" t="str">
        <x:v>7352ad9cbef57c20fbd6ab5f898314f274158a56e88b2c9e1580001cbc4a0915</x:v>
      </x:c>
      <x:c r="K79" s="30" t="str">
        <x:v>e2209efdb94a5d1b953a70c7284fc659c300bf377bcf8c80a5055391e48cc22e</x:v>
      </x:c>
      <x:c r="L79" s="30" t="n">
        <x:v>953.68</x:v>
      </x:c>
      <x:c r="M79" s="30" t="str">
        <x:v>{"completion_tokens": 4, "prompt_tokens": 611, "total_tokens": 615, "completion_tokens_details": null, "prompt_tokens_details": {"audio_tokens": null, "cached_tokens": 512}, "prompt_cache_hit_tokens": 512, "prompt_cache_miss_tokens": 99}</x:v>
      </x:c>
      <x:c r="N79" s="30" t="str">
        <x:v>hallucination</x:v>
      </x:c>
      <x:c r="O79"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P79" s="30" t="str">
        <x:v>LongCat-2.0</x:v>
      </x:c>
      <x:c r="Q79" s="30" t="str">
        <x:v>LongCat-2.0</x:v>
      </x:c>
      <x:c r="R79" s="30" t="n">
        <x:v>2870.89</x:v>
      </x:c>
      <x:c r="S79" s="30" t="str">
        <x:v>{"completion_tokens": 79, "prompt_tokens": 154,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
      <x:c r="A80" s="30" t="str">
        <x:v>memos_long:1374</x:v>
      </x:c>
      <x:c r="B80" s="30" t="str">
        <x:v>long</x:v>
      </x:c>
      <x:c r="C80" s="30" t="str">
        <x:v>Basic Fact Recall</x:v>
      </x:c>
      <x:c r="D80" s="30" t="n">
        <x:v>1</x:v>
      </x:c>
      <x:c r="E80" s="30" t="str">
        <x:v>What food preference did Ananya Sharma express on Apr 23, 2033?</x:v>
      </x:c>
      <x:c r="F80" s="30" t="str">
        <x:v>Pickled onions for their tangy and sweet flavor.</x:v>
      </x:c>
      <x:c r="G80" s="30" t="str">
        <x:v>Pickled onions</x:v>
      </x:c>
      <x:c r="H80" s="30" t="str">
        <x:v>deepseek-v4-flash</x:v>
      </x:c>
      <x:c r="I80" s="30" t="str">
        <x:v>deepseek-v4-flash</x:v>
      </x:c>
      <x:c r="J80" s="30" t="str">
        <x:v>b1160be86756e98b4f02f6fc0090be7dc8a1c9e1f1a85ba0db132b4df13fd379</x:v>
      </x:c>
      <x:c r="K80" s="30" t="str">
        <x:v>97ab2558d285d4c53278288b1ef5c449267196a16251ee18bff26ba858caafc9</x:v>
      </x:c>
      <x:c r="L80" s="30" t="n">
        <x:v>608.61</x:v>
      </x:c>
      <x:c r="M80" s="30" t="str">
        <x:v>{"completion_tokens": 3, "prompt_tokens": 537, "total_tokens": 540, "completion_tokens_details": null, "prompt_tokens_details": {"audio_tokens": null, "cached_tokens": 512}, "prompt_cache_hit_tokens": 512, "prompt_cache_miss_tokens": 25}</x:v>
      </x:c>
      <x:c r="N80" s="30" t="str">
        <x:v>omission</x:v>
      </x:c>
      <x:c r="O80" s="30" t="str">
        <x:v>The model answer 'Pickled onions' is factually consistent with the gold answer but omits the key detail about the reason for the preference ('for their tangy and sweet flavor'), making it an incomplete subset of the gold answer.</x:v>
      </x:c>
      <x:c r="P80" s="30" t="str">
        <x:v>LongCat-2.0</x:v>
      </x:c>
      <x:c r="Q80" s="30" t="str">
        <x:v>LongCat-2.0</x:v>
      </x:c>
      <x:c r="R80" s="30" t="n">
        <x:v>2765.42</x:v>
      </x:c>
      <x:c r="S80" s="30" t="str">
        <x:v>{"completion_tokens": 59, "prompt_tokens": 152,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
      <x:c r="A81" s="30" t="str">
        <x:v>memos_long:1374</x:v>
      </x:c>
      <x:c r="B81" s="30" t="str">
        <x:v>long</x:v>
      </x:c>
      <x:c r="C81" s="30" t="str">
        <x:v>Basic Fact Recall</x:v>
      </x:c>
      <x:c r="D81" s="30" t="n">
        <x:v>2</x:v>
      </x:c>
      <x:c r="E81" s="30" t="str">
        <x:v>What food preference did Ananya Sharma express on Apr 23, 2033?</x:v>
      </x:c>
      <x:c r="F81" s="30" t="str">
        <x:v>Pickled onions for their tangy and sweet flavor.</x:v>
      </x:c>
      <x:c r="G81" s="30" t="str">
        <x:v>Pickled onions</x:v>
      </x:c>
      <x:c r="H81" s="30" t="str">
        <x:v>deepseek-v4-flash</x:v>
      </x:c>
      <x:c r="I81" s="30" t="str">
        <x:v>deepseek-v4-flash</x:v>
      </x:c>
      <x:c r="J81" s="30" t="str">
        <x:v>b1160be86756e98b4f02f6fc0090be7dc8a1c9e1f1a85ba0db132b4df13fd379</x:v>
      </x:c>
      <x:c r="K81" s="30" t="str">
        <x:v>97ab2558d285d4c53278288b1ef5c449267196a16251ee18bff26ba858caafc9</x:v>
      </x:c>
      <x:c r="L81" s="30" t="n">
        <x:v>561.27</x:v>
      </x:c>
      <x:c r="M81" s="30" t="str">
        <x:v>{"completion_tokens": 3, "prompt_tokens": 537, "total_tokens": 540, "completion_tokens_details": null, "prompt_tokens_details": {"audio_tokens": null, "cached_tokens": 512}, "prompt_cache_hit_tokens": 512, "prompt_cache_miss_tokens": 25}</x:v>
      </x:c>
      <x:c r="N81" s="30" t="str">
        <x:v>omission</x:v>
      </x:c>
      <x:c r="O81" s="30" t="str">
        <x:v>The model answer 'Pickled onions' is factually consistent with the gold answer but omits the reason for the preference ('for their tangy and sweet flavor'), providing only an incomplete subset of the gold answer.</x:v>
      </x:c>
      <x:c r="P81" s="30" t="str">
        <x:v>LongCat-2.0</x:v>
      </x:c>
      <x:c r="Q81" s="30" t="str">
        <x:v>LongCat-2.0</x:v>
      </x:c>
      <x:c r="R81" s="30" t="n">
        <x:v>3370.94</x:v>
      </x:c>
      <x:c r="S81" s="30" t="str">
        <x:v>{"completion_tokens": 55, "prompt_tokens": 152,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2">
      <x:c r="A82" s="30" t="str">
        <x:v>memos_long:1374</x:v>
      </x:c>
      <x:c r="B82" s="30" t="str">
        <x:v>long</x:v>
      </x:c>
      <x:c r="C82" s="30" t="str">
        <x:v>Basic Fact Recall</x:v>
      </x:c>
      <x:c r="D82" s="30" t="n">
        <x:v>3</x:v>
      </x:c>
      <x:c r="E82" s="30" t="str">
        <x:v>What food preference did Ananya Sharma express on Apr 23, 2033?</x:v>
      </x:c>
      <x:c r="F82" s="30" t="str">
        <x:v>Pickled onions for their tangy and sweet flavor.</x:v>
      </x:c>
      <x:c r="G82" s="30" t="str">
        <x:v>Pickled onions</x:v>
      </x:c>
      <x:c r="H82" s="30" t="str">
        <x:v>deepseek-v4-flash</x:v>
      </x:c>
      <x:c r="I82" s="30" t="str">
        <x:v>deepseek-v4-flash</x:v>
      </x:c>
      <x:c r="J82" s="30" t="str">
        <x:v>b1160be86756e98b4f02f6fc0090be7dc8a1c9e1f1a85ba0db132b4df13fd379</x:v>
      </x:c>
      <x:c r="K82" s="30" t="str">
        <x:v>97ab2558d285d4c53278288b1ef5c449267196a16251ee18bff26ba858caafc9</x:v>
      </x:c>
      <x:c r="L82" s="30" t="n">
        <x:v>576.43</x:v>
      </x:c>
      <x:c r="M82" s="30" t="str">
        <x:v>{"completion_tokens": 3, "prompt_tokens": 537, "total_tokens": 540, "completion_tokens_details": null, "prompt_tokens_details": {"audio_tokens": null, "cached_tokens": 512}, "prompt_cache_hit_tokens": 512, "prompt_cache_miss_tokens": 25}</x:v>
      </x:c>
      <x:c r="N82" s="30" t="str">
        <x:v>omission</x:v>
      </x:c>
      <x:c r="O82" s="30" t="str">
        <x:v>The model answer 'Pickled onions' provides only a partial subset of the gold answer, which includes the reason 'for their tangy and sweet flavor.' Since the model omits this key detail without adding any false claim, it is classified as an omission.</x:v>
      </x:c>
      <x:c r="P82" s="30" t="str">
        <x:v>LongCat-2.0</x:v>
      </x:c>
      <x:c r="Q82" s="30" t="str">
        <x:v>LongCat-2.0</x:v>
      </x:c>
      <x:c r="R82" s="30" t="n">
        <x:v>3008.62</x:v>
      </x:c>
      <x:c r="S82" s="30" t="str">
        <x:v>{"completion_tokens": 64, "prompt_tokens": 152,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
      <x:c r="A83" s="30" t="str">
        <x:v>memos_long:1390</x:v>
      </x:c>
      <x:c r="B83" s="30" t="str">
        <x:v>long</x:v>
      </x:c>
      <x:c r="C83" s="30" t="str">
        <x:v>Generalization &amp; Application</x:v>
      </x:c>
      <x:c r="D83" s="30" t="n">
        <x:v>1</x:v>
      </x:c>
      <x:c r="E83" s="30" t="str">
        <x:v>What strategic activities might Ananya Sharma enjoy integrating into her routine after Jul 08, 2034?</x:v>
      </x:c>
      <x:c r="F83" s="30" t="str">
        <x:v>Ananya might enjoy activities involving strategic thinking and relaxation.</x:v>
      </x:c>
      <x:c r="G83" s="30" t="str">
        <x:v>Golf for strategic thinking.</x:v>
      </x:c>
      <x:c r="H83" s="30" t="str">
        <x:v>deepseek-v4-flash</x:v>
      </x:c>
      <x:c r="I83" s="30" t="str">
        <x:v>deepseek-v4-flash</x:v>
      </x:c>
      <x:c r="J83" s="30" t="str">
        <x:v>9d3ed5b4ff7dfec76f7dc5abff6a70f740d53e215f405fbcdc7fa40017be3d35</x:v>
      </x:c>
      <x:c r="K83" s="30" t="str">
        <x:v>b095162a134a17f7109cf74e95af8bb5916222f52b2bec74e20e5c1fc8c57138</x:v>
      </x:c>
      <x:c r="L83" s="30" t="n">
        <x:v>659.33</x:v>
      </x:c>
      <x:c r="M83" s="30" t="str">
        <x:v>{"completion_tokens": 6, "prompt_tokens": 601, "total_tokens": 607, "completion_tokens_details": null, "prompt_tokens_details": {"audio_tokens": null, "cached_tokens": 512}, "prompt_cache_hit_tokens": 512, "prompt_cache_miss_tokens": 89}</x:v>
      </x:c>
      <x:c r="N83" s="30" t="str">
        <x:v>omission</x:v>
      </x:c>
      <x:c r="O83" s="30" t="str">
        <x:v>The gold answer mentions two components: strategic thinking and relaxation. The model answer only addresses strategic thinking (via golf) and omits relaxation entirely, making it an incomplete subset of the gold answer.</x:v>
      </x:c>
      <x:c r="P83" s="30" t="str">
        <x:v>LongCat-2.0</x:v>
      </x:c>
      <x:c r="Q83" s="30" t="str">
        <x:v>LongCat-2.0</x:v>
      </x:c>
      <x:c r="R83" s="30" t="n">
        <x:v>3226.73</x:v>
      </x:c>
      <x:c r="S83" s="30" t="str">
        <x:v>{"completion_tokens": 51, "prompt_tokens": 158,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
      <x:c r="A84" s="30" t="str">
        <x:v>memos_long:1390</x:v>
      </x:c>
      <x:c r="B84" s="30" t="str">
        <x:v>long</x:v>
      </x:c>
      <x:c r="C84" s="30" t="str">
        <x:v>Generalization &amp; Application</x:v>
      </x:c>
      <x:c r="D84" s="30" t="n">
        <x:v>2</x:v>
      </x:c>
      <x:c r="E84" s="30" t="str">
        <x:v>What strategic activities might Ananya Sharma enjoy integrating into her routine after Jul 08, 2034?</x:v>
      </x:c>
      <x:c r="F84" s="30" t="str">
        <x:v>Ananya might enjoy activities involving strategic thinking and relaxation.</x:v>
      </x:c>
      <x:c r="G84" s="30" t="str">
        <x:v>Golf for strategic thinking.</x:v>
      </x:c>
      <x:c r="H84" s="30" t="str">
        <x:v>deepseek-v4-flash</x:v>
      </x:c>
      <x:c r="I84" s="30" t="str">
        <x:v>deepseek-v4-flash</x:v>
      </x:c>
      <x:c r="J84" s="30" t="str">
        <x:v>9d3ed5b4ff7dfec76f7dc5abff6a70f740d53e215f405fbcdc7fa40017be3d35</x:v>
      </x:c>
      <x:c r="K84" s="30" t="str">
        <x:v>b095162a134a17f7109cf74e95af8bb5916222f52b2bec74e20e5c1fc8c57138</x:v>
      </x:c>
      <x:c r="L84" s="30" t="n">
        <x:v>608.02</x:v>
      </x:c>
      <x:c r="M84" s="30" t="str">
        <x:v>{"completion_tokens": 6, "prompt_tokens": 601, "total_tokens": 607, "completion_tokens_details": null, "prompt_tokens_details": {"audio_tokens": null, "cached_tokens": 512}, "prompt_cache_hit_tokens": 512, "prompt_cache_miss_tokens": 89}</x:v>
      </x:c>
      <x:c r="N84" s="30" t="str">
        <x:v>omission</x:v>
      </x:c>
      <x:c r="O84" s="30" t="str">
        <x:v>The gold answer mentions two components: strategic thinking and relaxation. The model answer only addresses strategic thinking (via golf) and omits relaxation entirely, making it an incomplete subset without adding a false claim.</x:v>
      </x:c>
      <x:c r="P84" s="30" t="str">
        <x:v>LongCat-2.0</x:v>
      </x:c>
      <x:c r="Q84" s="30" t="str">
        <x:v>LongCat-2.0</x:v>
      </x:c>
      <x:c r="R84" s="30" t="n">
        <x:v>2910.12</x:v>
      </x:c>
      <x:c r="S84" s="30" t="str">
        <x:v>{"completion_tokens": 52, "prompt_tokens": 158,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5">
      <x:c r="A85" s="30" t="str">
        <x:v>memos_long:1390</x:v>
      </x:c>
      <x:c r="B85" s="30" t="str">
        <x:v>long</x:v>
      </x:c>
      <x:c r="C85" s="30" t="str">
        <x:v>Generalization &amp; Application</x:v>
      </x:c>
      <x:c r="D85" s="30" t="n">
        <x:v>3</x:v>
      </x:c>
      <x:c r="E85" s="30" t="str">
        <x:v>What strategic activities might Ananya Sharma enjoy integrating into her routine after Jul 08, 2034?</x:v>
      </x:c>
      <x:c r="F85" s="30" t="str">
        <x:v>Ananya might enjoy activities involving strategic thinking and relaxation.</x:v>
      </x:c>
      <x:c r="G85" s="30" t="str">
        <x:v>Golf for strategic thinking.</x:v>
      </x:c>
      <x:c r="H85" s="30" t="str">
        <x:v>deepseek-v4-flash</x:v>
      </x:c>
      <x:c r="I85" s="30" t="str">
        <x:v>deepseek-v4-flash</x:v>
      </x:c>
      <x:c r="J85" s="30" t="str">
        <x:v>9d3ed5b4ff7dfec76f7dc5abff6a70f740d53e215f405fbcdc7fa40017be3d35</x:v>
      </x:c>
      <x:c r="K85" s="30" t="str">
        <x:v>b095162a134a17f7109cf74e95af8bb5916222f52b2bec74e20e5c1fc8c57138</x:v>
      </x:c>
      <x:c r="L85" s="30" t="n">
        <x:v>680.56</x:v>
      </x:c>
      <x:c r="M85" s="30" t="str">
        <x:v>{"completion_tokens": 6, "prompt_tokens": 601, "total_tokens": 607, "completion_tokens_details": null, "prompt_tokens_details": {"audio_tokens": null, "cached_tokens": 512}, "prompt_cache_hit_tokens": 512, "prompt_cache_miss_tokens": 89}</x:v>
      </x:c>
      <x:c r="N85" s="30" t="str">
        <x:v>omission</x:v>
      </x:c>
      <x:c r="O85" s="30" t="str">
        <x:v>The gold answer mentions two components: strategic thinking and relaxation. The model answer only addresses strategic thinking (via golf) and omits relaxation entirely, making it an incomplete subset of the gold answer.</x:v>
      </x:c>
      <x:c r="P85" s="30" t="str">
        <x:v>LongCat-2.0</x:v>
      </x:c>
      <x:c r="Q85" s="30" t="str">
        <x:v>LongCat-2.0</x:v>
      </x:c>
      <x:c r="R85" s="30" t="n">
        <x:v>2130.01</x:v>
      </x:c>
      <x:c r="S85" s="30" t="str">
        <x:v>{"completion_tokens": 51, "prompt_tokens": 158,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
      <x:c r="A86" s="30" t="str">
        <x:v>memos_long:1401</x:v>
      </x:c>
      <x:c r="B86" s="30" t="str">
        <x:v>long</x:v>
      </x:c>
      <x:c r="C86" s="30" t="str">
        <x:v>Generalization &amp; Application</x:v>
      </x:c>
      <x:c r="D86" s="30" t="n">
        <x:v>1</x:v>
      </x:c>
      <x:c r="E86" s="30" t="str">
        <x:v>What type of music might Ananya explore next, given her shift on 2035-06-04?</x:v>
      </x:c>
      <x:c r="F86" s="30" t="str">
        <x:v>Experimental or avant-garde music.</x:v>
      </x:c>
      <x:c r="G86" s="30" t="str">
        <x:v>Original scores and compositions.</x:v>
      </x:c>
      <x:c r="H86" s="30" t="str">
        <x:v>deepseek-v4-flash</x:v>
      </x:c>
      <x:c r="I86" s="30" t="str">
        <x:v>deepseek-v4-flash</x:v>
      </x:c>
      <x:c r="J86" s="30" t="str">
        <x:v>25074822e2fad2ea86a8500560e42f273fd2f68230646f760ef146b45e3e3b5a</x:v>
      </x:c>
      <x:c r="K86" s="30" t="str">
        <x:v>3f3ca7f7b51d098b969a52ba0f5ec306a4aac0beddd86211d2df888f590e6da9</x:v>
      </x:c>
      <x:c r="L86" s="30" t="n">
        <x:v>612.88</x:v>
      </x:c>
      <x:c r="M86" s="30" t="str">
        <x:v>{"completion_tokens": 5, "prompt_tokens": 569, "total_tokens": 574, "completion_tokens_details": null, "prompt_tokens_details": {"audio_tokens": null, "cached_tokens": 512}, "prompt_cache_hit_tokens": 512, "prompt_cache_miss_tokens": 57}</x:v>
      </x:c>
      <x:c r="N86" s="30" t="str">
        <x:v>hallucination</x:v>
      </x:c>
      <x:c r="O86" s="30" t="str">
        <x:v>The gold answer is 'Experimental or avant-garde music,' while the model answer is 'Original scores and compositions.' These are distinct categories of music; 'original scores and compositions' does not semantically match or imply 'experimental or avant-garde music,' and it introduces a concrete, unsupported claim that contradicts the expected answer.</x:v>
      </x:c>
      <x:c r="P86" s="30" t="str">
        <x:v>LongCat-2.0</x:v>
      </x:c>
      <x:c r="Q86" s="30" t="str">
        <x:v>LongCat-2.0</x:v>
      </x:c>
      <x:c r="R86" s="30" t="n">
        <x:v>2610.58</x:v>
      </x:c>
      <x:c r="S86" s="30" t="str">
        <x:v>{"completion_tokens": 76, "prompt_tokens": 154,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
      <x:c r="A87" s="30" t="str">
        <x:v>memos_long:1401</x:v>
      </x:c>
      <x:c r="B87" s="30" t="str">
        <x:v>long</x:v>
      </x:c>
      <x:c r="C87" s="30" t="str">
        <x:v>Generalization &amp; Application</x:v>
      </x:c>
      <x:c r="D87" s="30" t="n">
        <x:v>2</x:v>
      </x:c>
      <x:c r="E87" s="30" t="str">
        <x:v>What type of music might Ananya explore next, given her shift on 2035-06-04?</x:v>
      </x:c>
      <x:c r="F87" s="30" t="str">
        <x:v>Experimental or avant-garde music.</x:v>
      </x:c>
      <x:c r="G87" s="30" t="str">
        <x:v>Original scores and compositions.</x:v>
      </x:c>
      <x:c r="H87" s="30" t="str">
        <x:v>deepseek-v4-flash</x:v>
      </x:c>
      <x:c r="I87" s="30" t="str">
        <x:v>deepseek-v4-flash</x:v>
      </x:c>
      <x:c r="J87" s="30" t="str">
        <x:v>25074822e2fad2ea86a8500560e42f273fd2f68230646f760ef146b45e3e3b5a</x:v>
      </x:c>
      <x:c r="K87" s="30" t="str">
        <x:v>3f3ca7f7b51d098b969a52ba0f5ec306a4aac0beddd86211d2df888f590e6da9</x:v>
      </x:c>
      <x:c r="L87" s="30" t="n">
        <x:v>609.12</x:v>
      </x:c>
      <x:c r="M87" s="30" t="str">
        <x:v>{"completion_tokens": 5, "prompt_tokens": 569, "total_tokens": 574, "completion_tokens_details": null, "prompt_tokens_details": {"audio_tokens": null, "cached_tokens": 512}, "prompt_cache_hit_tokens": 512, "prompt_cache_miss_tokens": 57}</x:v>
      </x:c>
      <x:c r="N87" s="30" t="str">
        <x:v>hallucination</x:v>
      </x:c>
      <x:c r="O87" s="30" t="str">
        <x:v>The gold answer is 'Experimental or avant-garde music,' while the model answer is 'Original scores and compositions.' These are distinct categories of music; 'original scores and compositions' does not semantically equate to or encompass 'experimental or avant-garde music,' and it introduces a concrete answer that is not supported by the gold answer.</x:v>
      </x:c>
      <x:c r="P87" s="30" t="str">
        <x:v>LongCat-2.0</x:v>
      </x:c>
      <x:c r="Q87" s="30" t="str">
        <x:v>LongCat-2.0</x:v>
      </x:c>
      <x:c r="R87" s="30" t="n">
        <x:v>3240.75</x:v>
      </x:c>
      <x:c r="S87" s="30" t="str">
        <x:v>{"completion_tokens": 79, "prompt_tokens": 154,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8">
      <x:c r="A88" s="30" t="str">
        <x:v>memos_long:1401</x:v>
      </x:c>
      <x:c r="B88" s="30" t="str">
        <x:v>long</x:v>
      </x:c>
      <x:c r="C88" s="30" t="str">
        <x:v>Generalization &amp; Application</x:v>
      </x:c>
      <x:c r="D88" s="30" t="n">
        <x:v>3</x:v>
      </x:c>
      <x:c r="E88" s="30" t="str">
        <x:v>What type of music might Ananya explore next, given her shift on 2035-06-04?</x:v>
      </x:c>
      <x:c r="F88" s="30" t="str">
        <x:v>Experimental or avant-garde music.</x:v>
      </x:c>
      <x:c r="G88" s="30" t="str">
        <x:v>Original scores and compositions.</x:v>
      </x:c>
      <x:c r="H88" s="30" t="str">
        <x:v>deepseek-v4-flash</x:v>
      </x:c>
      <x:c r="I88" s="30" t="str">
        <x:v>deepseek-v4-flash</x:v>
      </x:c>
      <x:c r="J88" s="30" t="str">
        <x:v>25074822e2fad2ea86a8500560e42f273fd2f68230646f760ef146b45e3e3b5a</x:v>
      </x:c>
      <x:c r="K88" s="30" t="str">
        <x:v>3f3ca7f7b51d098b969a52ba0f5ec306a4aac0beddd86211d2df888f590e6da9</x:v>
      </x:c>
      <x:c r="L88" s="30" t="n">
        <x:v>610.63</x:v>
      </x:c>
      <x:c r="M88" s="30" t="str">
        <x:v>{"completion_tokens": 5, "prompt_tokens": 569, "total_tokens": 574, "completion_tokens_details": null, "prompt_tokens_details": {"audio_tokens": null, "cached_tokens": 512}, "prompt_cache_hit_tokens": 512, "prompt_cache_miss_tokens": 57}</x:v>
      </x:c>
      <x:c r="N88" s="30" t="str">
        <x:v>hallucination</x:v>
      </x:c>
      <x:c r="O88" s="30" t="str">
        <x:v>The gold answer is 'Experimental or avant-garde music,' while the model answer is 'Original scores and compositions.' These are different concrete categories of music; the model's answer does not semantically match the gold answer and introduces unsupported material.</x:v>
      </x:c>
      <x:c r="P88" s="30" t="str">
        <x:v>LongCat-2.0</x:v>
      </x:c>
      <x:c r="Q88" s="30" t="str">
        <x:v>LongCat-2.0</x:v>
      </x:c>
      <x:c r="R88" s="30" t="n">
        <x:v>2371.38</x:v>
      </x:c>
      <x:c r="S88" s="30" t="str">
        <x:v>{"completion_tokens": 60, "prompt_tokens": 154,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
      <x:c r="A89" s="30" t="str">
        <x:v>memos_long:1404</x:v>
      </x:c>
      <x:c r="B89" s="30" t="str">
        <x:v>long</x:v>
      </x:c>
      <x:c r="C89" s="30" t="str">
        <x:v>Dynamic Update</x:v>
      </x:c>
      <x:c r="D89" s="30" t="n">
        <x:v>1</x:v>
      </x:c>
      <x:c r="E89" s="30" t="str">
        <x:v>What did Ananya Sharma's career description change to as of 2035-04-20?</x:v>
      </x:c>
      <x:c r="F89" s="30" t="str">
        <x:v>Shaping curriculum and mentoring at University of Film Studies.</x:v>
      </x:c>
      <x:c r="G89" s="30" t="str">
        <x:v>Head of Film Studies</x:v>
      </x:c>
      <x:c r="H89" s="30" t="str">
        <x:v>deepseek-v4-flash</x:v>
      </x:c>
      <x:c r="I89" s="30" t="str">
        <x:v>deepseek-v4-flash</x:v>
      </x:c>
      <x:c r="J89" s="30" t="str">
        <x:v>8978f8421860fc744bbb4fc751c1eff876293f6b20062c49d923167b6a37bda8</x:v>
      </x:c>
      <x:c r="K89" s="30" t="str">
        <x:v>1097ca5fb681e94186627f0c2b5411b053777ac76b0955a6c2c59113ee424c37</x:v>
      </x:c>
      <x:c r="L89" s="30" t="n">
        <x:v>559.12</x:v>
      </x:c>
      <x:c r="M89" s="30" t="str">
        <x:v>{"completion_tokens": 4, "prompt_tokens": 616, "total_tokens": 620, "completion_tokens_details": null, "prompt_tokens_details": {"audio_tokens": null, "cached_tokens": 512}, "prompt_cache_hit_tokens": 512, "prompt_cache_miss_tokens": 104}</x:v>
      </x:c>
      <x:c r="N89" s="30" t="str">
        <x:v>hallucination</x:v>
      </x:c>
      <x:c r="O89" s="30" t="str">
        <x:v>The model answer 'Head of Film Studies' is a concrete claim that contradicts the gold answer 'Shaping curriculum and mentoring at University of Film Studies.' The model invents a specific job title that is not supported by the gold answer, which describes a role focused on curriculum and mentoring rather than a leadership position.</x:v>
      </x:c>
      <x:c r="P89" s="30" t="str">
        <x:v>LongCat-2.0</x:v>
      </x:c>
      <x:c r="Q89" s="30" t="str">
        <x:v>LongCat-2.0</x:v>
      </x:c>
      <x:c r="R89" s="30" t="n">
        <x:v>4774.53</x:v>
      </x:c>
      <x:c r="S89" s="30" t="str">
        <x:v>{"completion_tokens": 75, "prompt_tokens": 157,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0">
      <x:c r="A90" s="30" t="str">
        <x:v>memos_long:1404</x:v>
      </x:c>
      <x:c r="B90" s="30" t="str">
        <x:v>long</x:v>
      </x:c>
      <x:c r="C90" s="30" t="str">
        <x:v>Dynamic Update</x:v>
      </x:c>
      <x:c r="D90" s="30" t="n">
        <x:v>2</x:v>
      </x:c>
      <x:c r="E90" s="30" t="str">
        <x:v>What did Ananya Sharma's career description change to as of 2035-04-20?</x:v>
      </x:c>
      <x:c r="F90" s="30" t="str">
        <x:v>Shaping curriculum and mentoring at University of Film Studies.</x:v>
      </x:c>
      <x:c r="G90" s="30" t="str">
        <x:v>Head of Film Studies</x:v>
      </x:c>
      <x:c r="H90" s="30" t="str">
        <x:v>deepseek-v4-flash</x:v>
      </x:c>
      <x:c r="I90" s="30" t="str">
        <x:v>deepseek-v4-flash</x:v>
      </x:c>
      <x:c r="J90" s="30" t="str">
        <x:v>8978f8421860fc744bbb4fc751c1eff876293f6b20062c49d923167b6a37bda8</x:v>
      </x:c>
      <x:c r="K90" s="30" t="str">
        <x:v>1097ca5fb681e94186627f0c2b5411b053777ac76b0955a6c2c59113ee424c37</x:v>
      </x:c>
      <x:c r="L90" s="30" t="n">
        <x:v>575.3</x:v>
      </x:c>
      <x:c r="M90" s="30" t="str">
        <x:v>{"completion_tokens": 4, "prompt_tokens": 616, "total_tokens": 620, "completion_tokens_details": null, "prompt_tokens_details": {"audio_tokens": null, "cached_tokens": 512}, "prompt_cache_hit_tokens": 512, "prompt_cache_miss_tokens": 104}</x:v>
      </x:c>
      <x:c r="N90" s="30" t="str">
        <x:v>hallucination</x:v>
      </x:c>
      <x:c r="O90"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P90" s="30" t="str">
        <x:v>LongCat-2.0</x:v>
      </x:c>
      <x:c r="Q90" s="30" t="str">
        <x:v>LongCat-2.0</x:v>
      </x:c>
      <x:c r="R90" s="30" t="n">
        <x:v>4583.23</x:v>
      </x:c>
      <x:c r="S90" s="30" t="str">
        <x:v>{"completion_tokens": 66, "prompt_tokens": 157,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
      <x:c r="A91" s="30" t="str">
        <x:v>memos_long:1404</x:v>
      </x:c>
      <x:c r="B91" s="30" t="str">
        <x:v>long</x:v>
      </x:c>
      <x:c r="C91" s="30" t="str">
        <x:v>Dynamic Update</x:v>
      </x:c>
      <x:c r="D91" s="30" t="n">
        <x:v>3</x:v>
      </x:c>
      <x:c r="E91" s="30" t="str">
        <x:v>What did Ananya Sharma's career description change to as of 2035-04-20?</x:v>
      </x:c>
      <x:c r="F91" s="30" t="str">
        <x:v>Shaping curriculum and mentoring at University of Film Studies.</x:v>
      </x:c>
      <x:c r="G91" s="30" t="str">
        <x:v>Head of Film Studies</x:v>
      </x:c>
      <x:c r="H91" s="30" t="str">
        <x:v>deepseek-v4-flash</x:v>
      </x:c>
      <x:c r="I91" s="30" t="str">
        <x:v>deepseek-v4-flash</x:v>
      </x:c>
      <x:c r="J91" s="30" t="str">
        <x:v>8978f8421860fc744bbb4fc751c1eff876293f6b20062c49d923167b6a37bda8</x:v>
      </x:c>
      <x:c r="K91" s="30" t="str">
        <x:v>1097ca5fb681e94186627f0c2b5411b053777ac76b0955a6c2c59113ee424c37</x:v>
      </x:c>
      <x:c r="L91" s="30" t="n">
        <x:v>640.78</x:v>
      </x:c>
      <x:c r="M91" s="30" t="str">
        <x:v>{"completion_tokens": 4, "prompt_tokens": 616, "total_tokens": 620, "completion_tokens_details": null, "prompt_tokens_details": {"audio_tokens": null, "cached_tokens": 512}, "prompt_cache_hit_tokens": 512, "prompt_cache_miss_tokens": 104}</x:v>
      </x:c>
      <x:c r="N91" s="30" t="str">
        <x:v>hallucination</x:v>
      </x:c>
      <x:c r="O91"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P91" s="30" t="str">
        <x:v>LongCat-2.0</x:v>
      </x:c>
      <x:c r="Q91" s="30" t="str">
        <x:v>LongCat-2.0</x:v>
      </x:c>
      <x:c r="R91" s="30" t="n">
        <x:v>3521.29</x:v>
      </x:c>
      <x:c r="S91" s="30" t="str">
        <x:v>{"completion_tokens": 66, "prompt_tokens": 157,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
      <x:c r="A92" s="30" t="str">
        <x:v>memos_long:1405</x:v>
      </x:c>
      <x:c r="B92" s="30" t="str">
        <x:v>long</x:v>
      </x:c>
      <x:c r="C92" s="30" t="str">
        <x:v>Dynamic Update</x:v>
      </x:c>
      <x:c r="D92" s="30" t="n">
        <x:v>1</x:v>
      </x:c>
      <x:c r="E92" s="30" t="str">
        <x:v>Who did Ananya Sharma seek advice from on 2035-09-20 to manage stress?</x:v>
      </x:c>
      <x:c r="F92" s="30" t="str">
        <x:v>MooreAnthony, ThomasJennifer, WilsonMatthew, DavisSharon</x:v>
      </x:c>
      <x:c r="G92" s="30" t="str">
        <x:v>MooreAnthony</x:v>
      </x:c>
      <x:c r="H92" s="30" t="str">
        <x:v>deepseek-v4-flash</x:v>
      </x:c>
      <x:c r="I92" s="30" t="str">
        <x:v>deepseek-v4-flash</x:v>
      </x:c>
      <x:c r="J92" s="30" t="str">
        <x:v>7153b3b073e1af7e4cb6b71cb7700d3bce5e5850c890e386ff58ddd67d9fe2ff</x:v>
      </x:c>
      <x:c r="K92" s="30" t="str">
        <x:v>9d9603784bf589d09664e5addc56feccbf0f43098d1f3c3d6a42496504fc9b83</x:v>
      </x:c>
      <x:c r="L92" s="30" t="n">
        <x:v>566.54</x:v>
      </x:c>
      <x:c r="M92" s="30" t="str">
        <x:v>{"completion_tokens": 2, "prompt_tokens": 704, "total_tokens": 706, "completion_tokens_details": null, "prompt_tokens_details": {"audio_tokens": null, "cached_tokens": 640}, "prompt_cache_hit_tokens": 640, "prompt_cache_miss_tokens": 64}</x:v>
      </x:c>
      <x:c r="N92" s="30" t="str">
        <x:v>omission</x:v>
      </x:c>
      <x:c r="O92" s="30" t="str">
        <x:v>The model answer provides only one name (MooreAnthony) from the gold answer, which lists four names (MooreAnthony, ThomasJennifer, WilsonMatthew, DavisSharon). This is an incomplete subset without adding a concrete false claim, so it qualifies as an omission.</x:v>
      </x:c>
      <x:c r="P92" s="30" t="str">
        <x:v>LongCat-2.0</x:v>
      </x:c>
      <x:c r="Q92" s="30" t="str">
        <x:v>LongCat-2.0</x:v>
      </x:c>
      <x:c r="R92" s="30" t="n">
        <x:v>3674.32</x:v>
      </x:c>
      <x:c r="S92" s="30" t="str">
        <x:v>{"completion_tokens": 65, "prompt_tokens": 157,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3">
      <x:c r="A93" s="30" t="str">
        <x:v>memos_long:1405</x:v>
      </x:c>
      <x:c r="B93" s="30" t="str">
        <x:v>long</x:v>
      </x:c>
      <x:c r="C93" s="30" t="str">
        <x:v>Dynamic Update</x:v>
      </x:c>
      <x:c r="D93" s="30" t="n">
        <x:v>2</x:v>
      </x:c>
      <x:c r="E93" s="30" t="str">
        <x:v>Who did Ananya Sharma seek advice from on 2035-09-20 to manage stress?</x:v>
      </x:c>
      <x:c r="F93" s="30" t="str">
        <x:v>MooreAnthony, ThomasJennifer, WilsonMatthew, DavisSharon</x:v>
      </x:c>
      <x:c r="G93" s="30" t="str">
        <x:v>MooreAnthony</x:v>
      </x:c>
      <x:c r="H93" s="30" t="str">
        <x:v>deepseek-v4-flash</x:v>
      </x:c>
      <x:c r="I93" s="30" t="str">
        <x:v>deepseek-v4-flash</x:v>
      </x:c>
      <x:c r="J93" s="30" t="str">
        <x:v>7153b3b073e1af7e4cb6b71cb7700d3bce5e5850c890e386ff58ddd67d9fe2ff</x:v>
      </x:c>
      <x:c r="K93" s="30" t="str">
        <x:v>9d9603784bf589d09664e5addc56feccbf0f43098d1f3c3d6a42496504fc9b83</x:v>
      </x:c>
      <x:c r="L93" s="30" t="n">
        <x:v>561.18</x:v>
      </x:c>
      <x:c r="M93" s="30" t="str">
        <x:v>{"completion_tokens": 2, "prompt_tokens": 704, "total_tokens": 706, "completion_tokens_details": null, "prompt_tokens_details": {"audio_tokens": null, "cached_tokens": 640}, "prompt_cache_hit_tokens": 640, "prompt_cache_miss_tokens": 64}</x:v>
      </x:c>
      <x:c r="N93" s="30" t="str">
        <x:v>omission</x:v>
      </x:c>
      <x:c r="O93" s="30" t="str">
        <x:v>The model answer provides only one name (MooreAnthony) out of the four names in the gold answer (MooreAnthony, ThomasJennifer, WilsonMatthew, DavisSharon). It does not include any false or unsupported information, but it gives an incomplete subset of the correct answer.</x:v>
      </x:c>
      <x:c r="P93" s="30" t="str">
        <x:v>LongCat-2.0</x:v>
      </x:c>
      <x:c r="Q93" s="30" t="str">
        <x:v>LongCat-2.0</x:v>
      </x:c>
      <x:c r="R93" s="30" t="n">
        <x:v>3644.38</x:v>
      </x:c>
      <x:c r="S93" s="30" t="str">
        <x:v>{"completion_tokens": 67, "prompt_tokens": 157,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
      <x:c r="A94" s="30" t="str">
        <x:v>memos_long:1405</x:v>
      </x:c>
      <x:c r="B94" s="30" t="str">
        <x:v>long</x:v>
      </x:c>
      <x:c r="C94" s="30" t="str">
        <x:v>Dynamic Update</x:v>
      </x:c>
      <x:c r="D94" s="30" t="n">
        <x:v>3</x:v>
      </x:c>
      <x:c r="E94" s="30" t="str">
        <x:v>Who did Ananya Sharma seek advice from on 2035-09-20 to manage stress?</x:v>
      </x:c>
      <x:c r="F94" s="30" t="str">
        <x:v>MooreAnthony, ThomasJennifer, WilsonMatthew, DavisSharon</x:v>
      </x:c>
      <x:c r="G94" s="30" t="str">
        <x:v>MooreAnthony</x:v>
      </x:c>
      <x:c r="H94" s="30" t="str">
        <x:v>deepseek-v4-flash</x:v>
      </x:c>
      <x:c r="I94" s="30" t="str">
        <x:v>deepseek-v4-flash</x:v>
      </x:c>
      <x:c r="J94" s="30" t="str">
        <x:v>7153b3b073e1af7e4cb6b71cb7700d3bce5e5850c890e386ff58ddd67d9fe2ff</x:v>
      </x:c>
      <x:c r="K94" s="30" t="str">
        <x:v>9d9603784bf589d09664e5addc56feccbf0f43098d1f3c3d6a42496504fc9b83</x:v>
      </x:c>
      <x:c r="L94" s="30" t="n">
        <x:v>824.99</x:v>
      </x:c>
      <x:c r="M94" s="30" t="str">
        <x:v>{"completion_tokens": 2, "prompt_tokens": 704, "total_tokens": 706, "completion_tokens_details": null, "prompt_tokens_details": {"audio_tokens": null, "cached_tokens": 640}, "prompt_cache_hit_tokens": 640, "prompt_cache_miss_tokens": 64}</x:v>
      </x:c>
      <x:c r="N94" s="30" t="str">
        <x:v>omission</x:v>
      </x:c>
      <x:c r="O94" s="30" t="str">
        <x:v>The model answer provides only one name (MooreAnthony) out of the four names listed in the gold answer (MooreAnthony, ThomasJennifer, WilsonMatthew, DavisSharon). It does not include any false or unsupported information, but it gives an incomplete subset of the correct answer.</x:v>
      </x:c>
      <x:c r="P94" s="30" t="str">
        <x:v>LongCat-2.0</x:v>
      </x:c>
      <x:c r="Q94" s="30" t="str">
        <x:v>LongCat-2.0</x:v>
      </x:c>
      <x:c r="R94" s="30" t="n">
        <x:v>5418.41</x:v>
      </x:c>
      <x:c r="S94" s="30" t="str">
        <x:v>{"completion_tokens": 68, "prompt_tokens": 157,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
      <x:c r="A95" s="30" t="str">
        <x:v>memos_long:1446</x:v>
      </x:c>
      <x:c r="B95" s="30" t="str">
        <x:v>long</x:v>
      </x:c>
      <x:c r="C95" s="30" t="str">
        <x:v>Generalization &amp; Application</x:v>
      </x:c>
      <x:c r="D95" s="30" t="n">
        <x:v>1</x:v>
      </x:c>
      <x:c r="E95" s="30" t="str">
        <x:v>What transportation option might Jennifer prefer for business trips after Feb 01, 2026?</x:v>
      </x:c>
      <x:c r="F95" s="30" t="str">
        <x:v>More reliable transportation options.</x:v>
      </x:c>
      <x:c r="G95" s="30" t="str">
        <x:v>More reliable transportation options</x:v>
      </x:c>
      <x:c r="H95" s="30" t="str">
        <x:v>deepseek-v4-flash</x:v>
      </x:c>
      <x:c r="I95" s="30" t="str">
        <x:v>deepseek-v4-flash</x:v>
      </x:c>
      <x:c r="J95" s="30" t="str">
        <x:v>5cae2b43d42f832e5db709c9837ceb94451d96c81e0bd6039756b705bb5edf66</x:v>
      </x:c>
      <x:c r="K95" s="30" t="str">
        <x:v>87c4fc1612b4208c0368772031ca8a8908e493944c2c25b2b82eacac55d2bd33</x:v>
      </x:c>
      <x:c r="L95" s="30" t="n">
        <x:v>772.17</x:v>
      </x:c>
      <x:c r="M95" s="30" t="str">
        <x:v>{"completion_tokens": 4, "prompt_tokens": 632, "total_tokens": 636, "completion_tokens_details": null, "prompt_tokens_details": {"audio_tokens": null, "cached_tokens": 512}, "prompt_cache_hit_tokens": 512, "prompt_cache_miss_tokens": 120}</x:v>
      </x:c>
      <x:c r="N95" s="30" t="str">
        <x:v>correct</x:v>
      </x:c>
      <x:c r="O95" s="30" t="str">
        <x:v>The model answer 'More reliable transportation options' is semantically identical to the benchmark gold answer 'More reliable transportation options.' and provides the complete answer without any contradiction or unsupported material.</x:v>
      </x:c>
      <x:c r="P95" s="30" t="str">
        <x:v>LongCat-2.0</x:v>
      </x:c>
      <x:c r="Q95" s="30" t="str">
        <x:v>LongCat-2.0</x:v>
      </x:c>
      <x:c r="R95" s="30" t="n">
        <x:v>3029.81</x:v>
      </x:c>
      <x:c r="S95" s="30" t="str">
        <x:v>{"completion_tokens": 47, "prompt_tokens": 148,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
      <x:c r="A96" s="30" t="str">
        <x:v>memos_long:1446</x:v>
      </x:c>
      <x:c r="B96" s="30" t="str">
        <x:v>long</x:v>
      </x:c>
      <x:c r="C96" s="30" t="str">
        <x:v>Generalization &amp; Application</x:v>
      </x:c>
      <x:c r="D96" s="30" t="n">
        <x:v>2</x:v>
      </x:c>
      <x:c r="E96" s="30" t="str">
        <x:v>What transportation option might Jennifer prefer for business trips after Feb 01, 2026?</x:v>
      </x:c>
      <x:c r="F96" s="30" t="str">
        <x:v>More reliable transportation options.</x:v>
      </x:c>
      <x:c r="G96" s="30" t="str">
        <x:v>More reliable transportation options</x:v>
      </x:c>
      <x:c r="H96" s="30" t="str">
        <x:v>deepseek-v4-flash</x:v>
      </x:c>
      <x:c r="I96" s="30" t="str">
        <x:v>deepseek-v4-flash</x:v>
      </x:c>
      <x:c r="J96" s="30" t="str">
        <x:v>5cae2b43d42f832e5db709c9837ceb94451d96c81e0bd6039756b705bb5edf66</x:v>
      </x:c>
      <x:c r="K96" s="30" t="str">
        <x:v>87c4fc1612b4208c0368772031ca8a8908e493944c2c25b2b82eacac55d2bd33</x:v>
      </x:c>
      <x:c r="L96" s="30" t="n">
        <x:v>669.6</x:v>
      </x:c>
      <x:c r="M96" s="30" t="str">
        <x:v>{"completion_tokens": 4, "prompt_tokens": 632, "total_tokens": 636, "completion_tokens_details": null, "prompt_tokens_details": {"audio_tokens": null, "cached_tokens": 512}, "prompt_cache_hit_tokens": 512, "prompt_cache_miss_tokens": 120}</x:v>
      </x:c>
      <x:c r="N96" s="30" t="str">
        <x:v>correct</x:v>
      </x:c>
      <x:c r="O96" s="30" t="str">
        <x:v>The model answer 'More reliable transportation options' is semantically identical to the benchmark gold answer 'More reliable transportation options.' and provides the complete answer without any contradiction or unsupported material.</x:v>
      </x:c>
      <x:c r="P96" s="30" t="str">
        <x:v>LongCat-2.0</x:v>
      </x:c>
      <x:c r="Q96" s="30" t="str">
        <x:v>LongCat-2.0</x:v>
      </x:c>
      <x:c r="R96" s="30" t="n">
        <x:v>3134.2</x:v>
      </x:c>
      <x:c r="S96" s="30" t="str">
        <x:v>{"completion_tokens": 47, "prompt_tokens": 148,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7">
      <x:c r="A97" s="30" t="str">
        <x:v>memos_long:1446</x:v>
      </x:c>
      <x:c r="B97" s="30" t="str">
        <x:v>long</x:v>
      </x:c>
      <x:c r="C97" s="30" t="str">
        <x:v>Generalization &amp; Application</x:v>
      </x:c>
      <x:c r="D97" s="30" t="n">
        <x:v>3</x:v>
      </x:c>
      <x:c r="E97" s="30" t="str">
        <x:v>What transportation option might Jennifer prefer for business trips after Feb 01, 2026?</x:v>
      </x:c>
      <x:c r="F97" s="30" t="str">
        <x:v>More reliable transportation options.</x:v>
      </x:c>
      <x:c r="G97" s="30" t="str">
        <x:v>More reliable transportation options</x:v>
      </x:c>
      <x:c r="H97" s="30" t="str">
        <x:v>deepseek-v4-flash</x:v>
      </x:c>
      <x:c r="I97" s="30" t="str">
        <x:v>deepseek-v4-flash</x:v>
      </x:c>
      <x:c r="J97" s="30" t="str">
        <x:v>5cae2b43d42f832e5db709c9837ceb94451d96c81e0bd6039756b705bb5edf66</x:v>
      </x:c>
      <x:c r="K97" s="30" t="str">
        <x:v>87c4fc1612b4208c0368772031ca8a8908e493944c2c25b2b82eacac55d2bd33</x:v>
      </x:c>
      <x:c r="L97" s="30" t="n">
        <x:v>565.84</x:v>
      </x:c>
      <x:c r="M97" s="30" t="str">
        <x:v>{"completion_tokens": 4, "prompt_tokens": 632, "total_tokens": 636, "completion_tokens_details": null, "prompt_tokens_details": {"audio_tokens": null, "cached_tokens": 512}, "prompt_cache_hit_tokens": 512, "prompt_cache_miss_tokens": 120}</x:v>
      </x:c>
      <x:c r="N97" s="30" t="str">
        <x:v>correct</x:v>
      </x:c>
      <x:c r="O97" s="30" t="str">
        <x:v>The model answer 'More reliable transportation options' is semantically identical to the benchmark gold answer 'More reliable transportation options.' and provides the complete answer without any contradiction or unsupported material.</x:v>
      </x:c>
      <x:c r="P97" s="30" t="str">
        <x:v>LongCat-2.0</x:v>
      </x:c>
      <x:c r="Q97" s="30" t="str">
        <x:v>LongCat-2.0</x:v>
      </x:c>
      <x:c r="R97" s="30" t="n">
        <x:v>2335.89</x:v>
      </x:c>
      <x:c r="S97" s="30" t="str">
        <x:v>{"completion_tokens": 47, "prompt_tokens": 148,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
      <x:c r="A98" s="30" t="str">
        <x:v>memos_long:1471</x:v>
      </x:c>
      <x:c r="B98" s="30" t="str">
        <x:v>long</x:v>
      </x:c>
      <x:c r="C98" s="30" t="str">
        <x:v>Multi-hop Inference</x:v>
      </x:c>
      <x:c r="D98" s="30" t="n">
        <x:v>1</x:v>
      </x:c>
      <x:c r="E98" s="30" t="str">
        <x:v>What motivations drive Jennifer Martin's career and stress management strategies as of Nov 05, 2027?</x:v>
      </x:c>
      <x:c r="F98" s="30" t="str">
        <x:v>Clarificatory and exploratory motivations</x:v>
      </x:c>
      <x:c r="G98" s="30" t="str">
        <x:v>Clarificatory and exploratory motivations.</x:v>
      </x:c>
      <x:c r="H98" s="30" t="str">
        <x:v>deepseek-v4-flash</x:v>
      </x:c>
      <x:c r="I98" s="30" t="str">
        <x:v>deepseek-v4-flash</x:v>
      </x:c>
      <x:c r="J98" s="30" t="str">
        <x:v>2a4a2b3ef4315c2498aa69f8c1f0b553062cfb933d876a8fec03a4f116f5a607</x:v>
      </x:c>
      <x:c r="K98" s="30" t="str">
        <x:v>f99574227582eb8b2466736dfa3ef4660a4d7b62f99dd8d2f7f00da09e7a3477</x:v>
      </x:c>
      <x:c r="L98" s="30" t="n">
        <x:v>590.07</x:v>
      </x:c>
      <x:c r="M98" s="30" t="str">
        <x:v>{"completion_tokens": 8, "prompt_tokens": 574, "total_tokens": 582, "completion_tokens_details": null, "prompt_tokens_details": {"audio_tokens": null, "cached_tokens": 512}, "prompt_cache_hit_tokens": 512, "prompt_cache_miss_tokens": 62}</x:v>
      </x:c>
      <x:c r="N98" s="30" t="str">
        <x:v>correct</x:v>
      </x:c>
      <x:c r="O98" s="30" t="str">
        <x:v>The model answer 'Clarificatory and exploratory motivations' is semantically identical to the benchmark gold answer 'Clarificatory and exploratory motivations', differing only in punctuation (a period at the end). It provides the complete answer without any false or unsupported claims.</x:v>
      </x:c>
      <x:c r="P98" s="30" t="str">
        <x:v>LongCat-2.0</x:v>
      </x:c>
      <x:c r="Q98" s="30" t="str">
        <x:v>LongCat-2.0</x:v>
      </x:c>
      <x:c r="R98" s="30" t="n">
        <x:v>3065.03</x:v>
      </x:c>
      <x:c r="S98" s="30" t="str">
        <x:v>{"completion_tokens": 62, "prompt_tokens": 155,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
      <x:c r="A99" s="30" t="str">
        <x:v>memos_long:1471</x:v>
      </x:c>
      <x:c r="B99" s="30" t="str">
        <x:v>long</x:v>
      </x:c>
      <x:c r="C99" s="30" t="str">
        <x:v>Multi-hop Inference</x:v>
      </x:c>
      <x:c r="D99" s="30" t="n">
        <x:v>2</x:v>
      </x:c>
      <x:c r="E99" s="30" t="str">
        <x:v>What motivations drive Jennifer Martin's career and stress management strategies as of Nov 05, 2027?</x:v>
      </x:c>
      <x:c r="F99" s="30" t="str">
        <x:v>Clarificatory and exploratory motivations</x:v>
      </x:c>
      <x:c r="G99" s="30" t="str">
        <x:v>Clarificatory and exploratory motivations.</x:v>
      </x:c>
      <x:c r="H99" s="30" t="str">
        <x:v>deepseek-v4-flash</x:v>
      </x:c>
      <x:c r="I99" s="30" t="str">
        <x:v>deepseek-v4-flash</x:v>
      </x:c>
      <x:c r="J99" s="30" t="str">
        <x:v>2a4a2b3ef4315c2498aa69f8c1f0b553062cfb933d876a8fec03a4f116f5a607</x:v>
      </x:c>
      <x:c r="K99" s="30" t="str">
        <x:v>f99574227582eb8b2466736dfa3ef4660a4d7b62f99dd8d2f7f00da09e7a3477</x:v>
      </x:c>
      <x:c r="L99" s="30" t="n">
        <x:v>566.48</x:v>
      </x:c>
      <x:c r="M99" s="30" t="str">
        <x:v>{"completion_tokens": 8, "prompt_tokens": 574, "total_tokens": 582, "completion_tokens_details": null, "prompt_tokens_details": {"audio_tokens": null, "cached_tokens": 512}, "prompt_cache_hit_tokens": 512, "prompt_cache_miss_tokens": 62}</x:v>
      </x:c>
      <x:c r="N99" s="30" t="str">
        <x:v>correct</x:v>
      </x:c>
      <x:c r="O99" s="30" t="str">
        <x:v>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x:v>
      </x:c>
      <x:c r="P99" s="30" t="str">
        <x:v>LongCat-2.0</x:v>
      </x:c>
      <x:c r="Q99" s="30" t="str">
        <x:v>LongCat-2.0</x:v>
      </x:c>
      <x:c r="R99" s="30" t="n">
        <x:v>2485.43</x:v>
      </x:c>
      <x:c r="S99" s="30" t="str">
        <x:v>{"completion_tokens": 64, "prompt_tokens": 155,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
      <x:c r="A100" s="30" t="str">
        <x:v>memos_long:1471</x:v>
      </x:c>
      <x:c r="B100" s="30" t="str">
        <x:v>long</x:v>
      </x:c>
      <x:c r="C100" s="30" t="str">
        <x:v>Multi-hop Inference</x:v>
      </x:c>
      <x:c r="D100" s="30" t="n">
        <x:v>3</x:v>
      </x:c>
      <x:c r="E100" s="30" t="str">
        <x:v>What motivations drive Jennifer Martin's career and stress management strategies as of Nov 05, 2027?</x:v>
      </x:c>
      <x:c r="F100" s="30" t="str">
        <x:v>Clarificatory and exploratory motivations</x:v>
      </x:c>
      <x:c r="G100" s="30" t="str">
        <x:v>Clarificatory and exploratory motivations.</x:v>
      </x:c>
      <x:c r="H100" s="30" t="str">
        <x:v>deepseek-v4-flash</x:v>
      </x:c>
      <x:c r="I100" s="30" t="str">
        <x:v>deepseek-v4-flash</x:v>
      </x:c>
      <x:c r="J100" s="30" t="str">
        <x:v>2a4a2b3ef4315c2498aa69f8c1f0b553062cfb933d876a8fec03a4f116f5a607</x:v>
      </x:c>
      <x:c r="K100" s="30" t="str">
        <x:v>f99574227582eb8b2466736dfa3ef4660a4d7b62f99dd8d2f7f00da09e7a3477</x:v>
      </x:c>
      <x:c r="L100" s="30" t="n">
        <x:v>534.67</x:v>
      </x:c>
      <x:c r="M100" s="30" t="str">
        <x:v>{"completion_tokens": 8, "prompt_tokens": 574, "total_tokens": 582, "completion_tokens_details": null, "prompt_tokens_details": {"audio_tokens": null, "cached_tokens": 512}, "prompt_cache_hit_tokens": 512, "prompt_cache_miss_tokens": 62}</x:v>
      </x:c>
      <x:c r="N100" s="30" t="str">
        <x:v>correct</x:v>
      </x:c>
      <x:c r="O100" s="30" t="str">
        <x:v>The model answer 'Clarificatory and exploratory motivations' matches the benchmark gold answer 'Clarificatory and exploratory motivations' exactly in meaning and content, with only a minor punctuation difference (a period at the end). This is a complete and semantically equivalent answer.</x:v>
      </x:c>
      <x:c r="P100" s="30" t="str">
        <x:v>LongCat-2.0</x:v>
      </x:c>
      <x:c r="Q100" s="30" t="str">
        <x:v>LongCat-2.0</x:v>
      </x:c>
      <x:c r="R100" s="30" t="n">
        <x:v>3226.94</x:v>
      </x:c>
      <x:c r="S100" s="30" t="str">
        <x:v>{"completion_tokens": 64, "prompt_tokens": 155, "total_tokens": 219,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1">
      <x:c r="A101" s="30" t="str">
        <x:v>memos_long:1502</x:v>
      </x:c>
      <x:c r="B101" s="30" t="str">
        <x:v>long</x:v>
      </x:c>
      <x:c r="C101" s="30" t="str">
        <x:v>Generalization &amp; Application</x:v>
      </x:c>
      <x:c r="D101" s="30" t="n">
        <x:v>1</x:v>
      </x:c>
      <x:c r="E101" s="30" t="str">
        <x:v>What strategies might Jennifer use to maintain work-life balance in 2031?</x:v>
      </x:c>
      <x:c r="F101" s="30" t="str">
        <x:v>Set clear boundaries between work and personal time.</x:v>
      </x:c>
      <x:c r="G101" s="30" t="str">
        <x:v>Setting clear boundaries.</x:v>
      </x:c>
      <x:c r="H101" s="30" t="str">
        <x:v>deepseek-v4-flash</x:v>
      </x:c>
      <x:c r="I101" s="30" t="str">
        <x:v>deepseek-v4-flash</x:v>
      </x:c>
      <x:c r="J101" s="30" t="str">
        <x:v>9ca4d28eb938ff07dbbfd84497270940f12ecf63db2c1ad59cc8bf4754a8fe40</x:v>
      </x:c>
      <x:c r="K101" s="30" t="str">
        <x:v>7bcf301e68e65f2c0364395f070958d725ae7284afeae43768e6b28f201bc216</x:v>
      </x:c>
      <x:c r="L101" s="30" t="n">
        <x:v>512.07</x:v>
      </x:c>
      <x:c r="M101" s="30" t="str">
        <x:v>{"completion_tokens": 4, "prompt_tokens": 572, "total_tokens": 576, "completion_tokens_details": null, "prompt_tokens_details": {"audio_tokens": null, "cached_tokens": 512}, "prompt_cache_hit_tokens": 512, "prompt_cache_miss_tokens": 60}</x:v>
      </x:c>
      <x:c r="N101" s="30" t="str">
        <x:v>correct</x:v>
      </x:c>
      <x:c r="O101" s="30" t="str">
        <x:v>The model answer 'Setting clear boundaries' is a concise restatement of the gold answer 'Set clear boundaries between work and personal time.' It captures the core semantic content without adding false or unsupported material, and the omission of 'between work and personal time' does not constitute a concrete false claim or incomplete subset that changes the meaning.</x:v>
      </x:c>
      <x:c r="P101" s="30" t="str">
        <x:v>LongCat-2.0</x:v>
      </x:c>
      <x:c r="Q101" s="30" t="str">
        <x:v>LongCat-2.0</x:v>
      </x:c>
      <x:c r="R101" s="30" t="n">
        <x:v>2879.6</x:v>
      </x:c>
      <x:c r="S101" s="30" t="str">
        <x:v>{"completion_tokens": 77, "prompt_tokens": 147,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
      <x:c r="A102" s="30" t="str">
        <x:v>memos_long:1502</x:v>
      </x:c>
      <x:c r="B102" s="30" t="str">
        <x:v>long</x:v>
      </x:c>
      <x:c r="C102" s="30" t="str">
        <x:v>Generalization &amp; Application</x:v>
      </x:c>
      <x:c r="D102" s="30" t="n">
        <x:v>2</x:v>
      </x:c>
      <x:c r="E102" s="30" t="str">
        <x:v>What strategies might Jennifer use to maintain work-life balance in 2031?</x:v>
      </x:c>
      <x:c r="F102" s="30" t="str">
        <x:v>Set clear boundaries between work and personal time.</x:v>
      </x:c>
      <x:c r="G102" s="30" t="str">
        <x:v>Setting clear boundaries.</x:v>
      </x:c>
      <x:c r="H102" s="30" t="str">
        <x:v>deepseek-v4-flash</x:v>
      </x:c>
      <x:c r="I102" s="30" t="str">
        <x:v>deepseek-v4-flash</x:v>
      </x:c>
      <x:c r="J102" s="30" t="str">
        <x:v>9ca4d28eb938ff07dbbfd84497270940f12ecf63db2c1ad59cc8bf4754a8fe40</x:v>
      </x:c>
      <x:c r="K102" s="30" t="str">
        <x:v>7bcf301e68e65f2c0364395f070958d725ae7284afeae43768e6b28f201bc216</x:v>
      </x:c>
      <x:c r="L102" s="30" t="n">
        <x:v>765.65</x:v>
      </x:c>
      <x:c r="M102" s="30" t="str">
        <x:v>{"completion_tokens": 4, "prompt_tokens": 572, "total_tokens": 576, "completion_tokens_details": null, "prompt_tokens_details": {"audio_tokens": null, "cached_tokens": 512}, "prompt_cache_hit_tokens": 512, "prompt_cache_miss_tokens": 60}</x:v>
      </x:c>
      <x:c r="N102" s="30" t="str">
        <x:v>correct</x:v>
      </x:c>
      <x:c r="O102" s="30" t="str">
        <x:v>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an incomplete subset that changes the meaning.</x:v>
      </x:c>
      <x:c r="P102" s="30" t="str">
        <x:v>LongCat-2.0</x:v>
      </x:c>
      <x:c r="Q102" s="30" t="str">
        <x:v>LongCat-2.0</x:v>
      </x:c>
      <x:c r="R102" s="30" t="n">
        <x:v>2597.84</x:v>
      </x:c>
      <x:c r="S102" s="30" t="str">
        <x:v>{"completion_tokens": 78, "prompt_tokens": 147,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
      <x:c r="A103" s="30" t="str">
        <x:v>memos_long:1502</x:v>
      </x:c>
      <x:c r="B103" s="30" t="str">
        <x:v>long</x:v>
      </x:c>
      <x:c r="C103" s="30" t="str">
        <x:v>Generalization &amp; Application</x:v>
      </x:c>
      <x:c r="D103" s="30" t="n">
        <x:v>3</x:v>
      </x:c>
      <x:c r="E103" s="30" t="str">
        <x:v>What strategies might Jennifer use to maintain work-life balance in 2031?</x:v>
      </x:c>
      <x:c r="F103" s="30" t="str">
        <x:v>Set clear boundaries between work and personal time.</x:v>
      </x:c>
      <x:c r="G103" s="30" t="str">
        <x:v>Setting clear boundaries.</x:v>
      </x:c>
      <x:c r="H103" s="30" t="str">
        <x:v>deepseek-v4-flash</x:v>
      </x:c>
      <x:c r="I103" s="30" t="str">
        <x:v>deepseek-v4-flash</x:v>
      </x:c>
      <x:c r="J103" s="30" t="str">
        <x:v>9ca4d28eb938ff07dbbfd84497270940f12ecf63db2c1ad59cc8bf4754a8fe40</x:v>
      </x:c>
      <x:c r="K103" s="30" t="str">
        <x:v>7bcf301e68e65f2c0364395f070958d725ae7284afeae43768e6b28f201bc216</x:v>
      </x:c>
      <x:c r="L103" s="30" t="n">
        <x:v>499.49</x:v>
      </x:c>
      <x:c r="M103" s="30" t="str">
        <x:v>{"completion_tokens": 4, "prompt_tokens": 572, "total_tokens": 576, "completion_tokens_details": null, "prompt_tokens_details": {"audio_tokens": null, "cached_tokens": 512}, "prompt_cache_hit_tokens": 512, "prompt_cache_miss_tokens": 60}</x:v>
      </x:c>
      <x:c r="N103" s="30" t="str">
        <x:v>correct</x:v>
      </x:c>
      <x:c r="O103" s="30" t="str">
        <x:v>The model answer 'Setting clear boundaries' is a concise restatement of the gold answer 'Set clear boundaries between work and personal time.' It captures the core semantic meaning without adding false or unsupported information, and the omission of 'between work and personal time' does not constitute a concrete false claim or incomplete subset that changes the meaning.</x:v>
      </x:c>
      <x:c r="P103" s="30" t="str">
        <x:v>LongCat-2.0</x:v>
      </x:c>
      <x:c r="Q103" s="30" t="str">
        <x:v>LongCat-2.0</x:v>
      </x:c>
      <x:c r="R103" s="30" t="n">
        <x:v>3174.34</x:v>
      </x:c>
      <x:c r="S103" s="30" t="str">
        <x:v>{"completion_tokens": 77, "prompt_tokens": 147,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4">
      <x:c r="A104" s="30" t="str">
        <x:v>memos_long:1526</x:v>
      </x:c>
      <x:c r="B104" s="30" t="str">
        <x:v>long</x:v>
      </x:c>
      <x:c r="C104" s="30" t="str">
        <x:v>Memory Conflict</x:v>
      </x:c>
      <x:c r="D104" s="30" t="n">
        <x:v>1</x:v>
      </x:c>
      <x:c r="E104" s="30" t="str">
        <x:v>Did Jennifer Martin decide to completely avoid formal suits after her recent meetings on Sep 15, 2032?</x:v>
      </x:c>
      <x:c r="F104" s="30" t="str">
        <x:v>No, she updated her preference and acknowledged their necessity.</x:v>
      </x:c>
      <x:c r="G104" s="30" t="str">
        <x:v>No</x:v>
      </x:c>
      <x:c r="H104" s="30" t="str">
        <x:v>deepseek-v4-flash</x:v>
      </x:c>
      <x:c r="I104" s="30" t="str">
        <x:v>deepseek-v4-flash</x:v>
      </x:c>
      <x:c r="J104" s="30" t="str">
        <x:v>0b072fdd28151dd7b4fe0f106906b0b2355cd6c81e23f95794dd4135aa1ccca5</x:v>
      </x:c>
      <x:c r="K104" s="30" t="str">
        <x:v>c883d89c2e53fb975179f335234c249840dce11a6148cff7e85f64ca792ca41d</x:v>
      </x:c>
      <x:c r="L104" s="30" t="n">
        <x:v>821.33</x:v>
      </x:c>
      <x:c r="M104" s="30" t="str">
        <x:v>{"completion_tokens": 1, "prompt_tokens": 581, "total_tokens": 582, "completion_tokens_details": null, "prompt_tokens_details": {"audio_tokens": null, "cached_tokens": 512}, "prompt_cache_hit_tokens": 512, "prompt_cache_miss_tokens": 69}</x:v>
      </x:c>
      <x:c r="N104" s="30" t="str">
        <x:v>omission</x:v>
      </x:c>
      <x:c r="O104" s="30" t="str">
        <x:v>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x:v>
      </x:c>
      <x:c r="P104" s="30" t="str">
        <x:v>LongCat-2.0</x:v>
      </x:c>
      <x:c r="Q104" s="30" t="str">
        <x:v>LongCat-2.0</x:v>
      </x:c>
      <x:c r="R104" s="30" t="n">
        <x:v>3022.44</x:v>
      </x:c>
      <x:c r="S104" s="30" t="str">
        <x:v>{"completion_tokens": 65, "prompt_tokens": 155,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5">
      <x:c r="A105" s="30" t="str">
        <x:v>memos_long:1526</x:v>
      </x:c>
      <x:c r="B105" s="30" t="str">
        <x:v>long</x:v>
      </x:c>
      <x:c r="C105" s="30" t="str">
        <x:v>Memory Conflict</x:v>
      </x:c>
      <x:c r="D105" s="30" t="n">
        <x:v>2</x:v>
      </x:c>
      <x:c r="E105" s="30" t="str">
        <x:v>Did Jennifer Martin decide to completely avoid formal suits after her recent meetings on Sep 15, 2032?</x:v>
      </x:c>
      <x:c r="F105" s="30" t="str">
        <x:v>No, she updated her preference and acknowledged their necessity.</x:v>
      </x:c>
      <x:c r="G105" s="30" t="str">
        <x:v>No</x:v>
      </x:c>
      <x:c r="H105" s="30" t="str">
        <x:v>deepseek-v4-flash</x:v>
      </x:c>
      <x:c r="I105" s="30" t="str">
        <x:v>deepseek-v4-flash</x:v>
      </x:c>
      <x:c r="J105" s="30" t="str">
        <x:v>0b072fdd28151dd7b4fe0f106906b0b2355cd6c81e23f95794dd4135aa1ccca5</x:v>
      </x:c>
      <x:c r="K105" s="30" t="str">
        <x:v>c883d89c2e53fb975179f335234c249840dce11a6148cff7e85f64ca792ca41d</x:v>
      </x:c>
      <x:c r="L105" s="30" t="n">
        <x:v>849.53</x:v>
      </x:c>
      <x:c r="M105" s="30" t="str">
        <x:v>{"completion_tokens": 1, "prompt_tokens": 581, "total_tokens": 582, "completion_tokens_details": null, "prompt_tokens_details": {"audio_tokens": null, "cached_tokens": 512}, "prompt_cache_hit_tokens": 512, "prompt_cache_miss_tokens": 69}</x:v>
      </x:c>
      <x:c r="N105" s="30" t="str">
        <x:v>omission</x:v>
      </x:c>
      <x:c r="O105" s="30" t="str">
        <x:v>The model answer 'No' is factually consistent with the gold answer but omits the key supporting detail that she updated her preference and acknowledged their necessity, making it an incomplete subset of the gold answer.</x:v>
      </x:c>
      <x:c r="P105" s="30" t="str">
        <x:v>LongCat-2.0</x:v>
      </x:c>
      <x:c r="Q105" s="30" t="str">
        <x:v>LongCat-2.0</x:v>
      </x:c>
      <x:c r="R105" s="30" t="n">
        <x:v>2744.54</x:v>
      </x:c>
      <x:c r="S105" s="30" t="str">
        <x:v>{"completion_tokens": 53, "prompt_tokens": 155,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
      <x:c r="A106" s="30" t="str">
        <x:v>memos_long:1526</x:v>
      </x:c>
      <x:c r="B106" s="30" t="str">
        <x:v>long</x:v>
      </x:c>
      <x:c r="C106" s="30" t="str">
        <x:v>Memory Conflict</x:v>
      </x:c>
      <x:c r="D106" s="30" t="n">
        <x:v>3</x:v>
      </x:c>
      <x:c r="E106" s="30" t="str">
        <x:v>Did Jennifer Martin decide to completely avoid formal suits after her recent meetings on Sep 15, 2032?</x:v>
      </x:c>
      <x:c r="F106" s="30" t="str">
        <x:v>No, she updated her preference and acknowledged their necessity.</x:v>
      </x:c>
      <x:c r="G106" s="30" t="str">
        <x:v>No</x:v>
      </x:c>
      <x:c r="H106" s="30" t="str">
        <x:v>deepseek-v4-flash</x:v>
      </x:c>
      <x:c r="I106" s="30" t="str">
        <x:v>deepseek-v4-flash</x:v>
      </x:c>
      <x:c r="J106" s="30" t="str">
        <x:v>0b072fdd28151dd7b4fe0f106906b0b2355cd6c81e23f95794dd4135aa1ccca5</x:v>
      </x:c>
      <x:c r="K106" s="30" t="str">
        <x:v>c883d89c2e53fb975179f335234c249840dce11a6148cff7e85f64ca792ca41d</x:v>
      </x:c>
      <x:c r="L106" s="30" t="n">
        <x:v>618.56</x:v>
      </x:c>
      <x:c r="M106" s="30" t="str">
        <x:v>{"completion_tokens": 1, "prompt_tokens": 581, "total_tokens": 582, "completion_tokens_details": null, "prompt_tokens_details": {"audio_tokens": null, "cached_tokens": 512}, "prompt_cache_hit_tokens": 512, "prompt_cache_miss_tokens": 69}</x:v>
      </x:c>
      <x:c r="N106" s="30" t="str">
        <x:v>omission</x:v>
      </x:c>
      <x:c r="O106" s="30" t="str">
        <x:v>The model answer 'No' is factually consistent with the gold answer but only provides an incomplete subset of the information. The gold answer includes the additional detail that she 'updated her preference and acknowledged their necessity,' which the model omits without adding any false claim.</x:v>
      </x:c>
      <x:c r="P106" s="30" t="str">
        <x:v>LongCat-2.0</x:v>
      </x:c>
      <x:c r="Q106" s="30" t="str">
        <x:v>LongCat-2.0</x:v>
      </x:c>
      <x:c r="R106" s="30" t="n">
        <x:v>2661.78</x:v>
      </x:c>
      <x:c r="S106" s="30" t="str">
        <x:v>{"completion_tokens": 65, "prompt_tokens": 155,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
      <x:c r="A107" s="30" t="str">
        <x:v>memos_long:1528</x:v>
      </x:c>
      <x:c r="B107" s="30" t="str">
        <x:v>long</x:v>
      </x:c>
      <x:c r="C107" s="30" t="str">
        <x:v>Dynamic Update</x:v>
      </x:c>
      <x:c r="D107" s="30" t="n">
        <x:v>1</x:v>
      </x:c>
      <x:c r="E107" s="30" t="str">
        <x:v>What is Jennifer Martin's current employment status as of Sep 20, 2032?</x:v>
      </x:c>
      <x:c r="F107" s="30" t="str">
        <x:v>Unemployed and exploring new opportunities.</x:v>
      </x:c>
      <x:c r="G107" s="30" t="str">
        <x:v>Unemployed</x:v>
      </x:c>
      <x:c r="H107" s="30" t="str">
        <x:v>deepseek-v4-flash</x:v>
      </x:c>
      <x:c r="I107" s="30" t="str">
        <x:v>deepseek-v4-flash</x:v>
      </x:c>
      <x:c r="J107" s="30" t="str">
        <x:v>a6bffb2b4301e3d5cef26c49179ae363862b50ea1db8c8ce853b5808a517ff54</x:v>
      </x:c>
      <x:c r="K107" s="30" t="str">
        <x:v>5aeaa177a782f53b632d2013ef5fdd325df0c205be43b2fa89621da0821528d6</x:v>
      </x:c>
      <x:c r="L107" s="30" t="n">
        <x:v>665.92</x:v>
      </x:c>
      <x:c r="M107" s="30" t="str">
        <x:v>{"completion_tokens": 2, "prompt_tokens": 566, "total_tokens": 568, "completion_tokens_details": null, "prompt_tokens_details": {"audio_tokens": null, "cached_tokens": 512}, "prompt_cache_hit_tokens": 512, "prompt_cache_miss_tokens": 54}</x:v>
      </x:c>
      <x:c r="N107" s="30" t="str">
        <x:v>omission</x:v>
      </x:c>
      <x:c r="O107" s="30" t="str">
        <x:v>The model answer 'Unemployed' captures part of the gold answer but omits the additional detail 'and exploring new opportunities,' making it an incomplete subset of the full answer.</x:v>
      </x:c>
      <x:c r="P107" s="30" t="str">
        <x:v>LongCat-2.0</x:v>
      </x:c>
      <x:c r="Q107" s="30" t="str">
        <x:v>LongCat-2.0</x:v>
      </x:c>
      <x:c r="R107" s="30" t="n">
        <x:v>2510.52</x:v>
      </x:c>
      <x:c r="S107" s="30" t="str">
        <x:v>{"completion_tokens": 47, "prompt_tokens": 148,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
      <x:c r="A108" s="30" t="str">
        <x:v>memos_long:1528</x:v>
      </x:c>
      <x:c r="B108" s="30" t="str">
        <x:v>long</x:v>
      </x:c>
      <x:c r="C108" s="30" t="str">
        <x:v>Dynamic Update</x:v>
      </x:c>
      <x:c r="D108" s="30" t="n">
        <x:v>2</x:v>
      </x:c>
      <x:c r="E108" s="30" t="str">
        <x:v>What is Jennifer Martin's current employment status as of Sep 20, 2032?</x:v>
      </x:c>
      <x:c r="F108" s="30" t="str">
        <x:v>Unemployed and exploring new opportunities.</x:v>
      </x:c>
      <x:c r="G108" s="30" t="str">
        <x:v>Unemployed</x:v>
      </x:c>
      <x:c r="H108" s="30" t="str">
        <x:v>deepseek-v4-flash</x:v>
      </x:c>
      <x:c r="I108" s="30" t="str">
        <x:v>deepseek-v4-flash</x:v>
      </x:c>
      <x:c r="J108" s="30" t="str">
        <x:v>a6bffb2b4301e3d5cef26c49179ae363862b50ea1db8c8ce853b5808a517ff54</x:v>
      </x:c>
      <x:c r="K108" s="30" t="str">
        <x:v>5aeaa177a782f53b632d2013ef5fdd325df0c205be43b2fa89621da0821528d6</x:v>
      </x:c>
      <x:c r="L108" s="30" t="n">
        <x:v>414.76</x:v>
      </x:c>
      <x:c r="M108" s="30" t="str">
        <x:v>{"completion_tokens": 2, "prompt_tokens": 566, "total_tokens": 568, "completion_tokens_details": null, "prompt_tokens_details": {"audio_tokens": null, "cached_tokens": 512}, "prompt_cache_hit_tokens": 512, "prompt_cache_miss_tokens": 54}</x:v>
      </x:c>
      <x:c r="N108" s="30" t="str">
        <x:v>omission</x:v>
      </x:c>
      <x:c r="O108" s="30" t="str">
        <x:v>The model answer 'Unemployed' captures part of the gold answer but omits the additional detail 'and exploring new opportunities,' making it an incomplete subset of the full answer.</x:v>
      </x:c>
      <x:c r="P108" s="30" t="str">
        <x:v>LongCat-2.0</x:v>
      </x:c>
      <x:c r="Q108" s="30" t="str">
        <x:v>LongCat-2.0</x:v>
      </x:c>
      <x:c r="R108" s="30" t="n">
        <x:v>2405.2</x:v>
      </x:c>
      <x:c r="S108" s="30" t="str">
        <x:v>{"completion_tokens": 47, "prompt_tokens": 148,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9">
      <x:c r="A109" s="30" t="str">
        <x:v>memos_long:1528</x:v>
      </x:c>
      <x:c r="B109" s="30" t="str">
        <x:v>long</x:v>
      </x:c>
      <x:c r="C109" s="30" t="str">
        <x:v>Dynamic Update</x:v>
      </x:c>
      <x:c r="D109" s="30" t="n">
        <x:v>3</x:v>
      </x:c>
      <x:c r="E109" s="30" t="str">
        <x:v>What is Jennifer Martin's current employment status as of Sep 20, 2032?</x:v>
      </x:c>
      <x:c r="F109" s="30" t="str">
        <x:v>Unemployed and exploring new opportunities.</x:v>
      </x:c>
      <x:c r="G109" s="30" t="str">
        <x:v>Unemployed</x:v>
      </x:c>
      <x:c r="H109" s="30" t="str">
        <x:v>deepseek-v4-flash</x:v>
      </x:c>
      <x:c r="I109" s="30" t="str">
        <x:v>deepseek-v4-flash</x:v>
      </x:c>
      <x:c r="J109" s="30" t="str">
        <x:v>a6bffb2b4301e3d5cef26c49179ae363862b50ea1db8c8ce853b5808a517ff54</x:v>
      </x:c>
      <x:c r="K109" s="30" t="str">
        <x:v>5aeaa177a782f53b632d2013ef5fdd325df0c205be43b2fa89621da0821528d6</x:v>
      </x:c>
      <x:c r="L109" s="30" t="n">
        <x:v>514.03</x:v>
      </x:c>
      <x:c r="M109" s="30" t="str">
        <x:v>{"completion_tokens": 2, "prompt_tokens": 566, "total_tokens": 568, "completion_tokens_details": null, "prompt_tokens_details": {"audio_tokens": null, "cached_tokens": 512}, "prompt_cache_hit_tokens": 512, "prompt_cache_miss_tokens": 54}</x:v>
      </x:c>
      <x:c r="N109" s="30" t="str">
        <x:v>omission</x:v>
      </x:c>
      <x:c r="O109" s="30" t="str">
        <x:v>The model answer 'Unemployed' captures part of the gold answer but omits the additional detail 'and exploring new opportunities,' making it an incomplete subset of the full answer.</x:v>
      </x:c>
      <x:c r="P109" s="30" t="str">
        <x:v>LongCat-2.0</x:v>
      </x:c>
      <x:c r="Q109" s="30" t="str">
        <x:v>LongCat-2.0</x:v>
      </x:c>
      <x:c r="R109" s="30" t="n">
        <x:v>2048.96</x:v>
      </x:c>
      <x:c r="S109" s="30" t="str">
        <x:v>{"completion_tokens": 47, "prompt_tokens": 148,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
      <x:c r="A110" s="30" t="str">
        <x:v>memos_long:157</x:v>
      </x:c>
      <x:c r="B110" s="30" t="str">
        <x:v>long</x:v>
      </x:c>
      <x:c r="C110" s="30" t="str">
        <x:v>Memory Conflict</x:v>
      </x:c>
      <x:c r="D110" s="30" t="n">
        <x:v>1</x:v>
      </x:c>
      <x:c r="E110" s="30" t="str">
        <x:v>Did Martin Mark express disinterest in integrating insights from a study on feline communication into his pet preferences on Aug 03, 2035?</x:v>
      </x:c>
      <x:c r="F110" s="30" t="str">
        <x:v>No, he expressed enthusiasm about integrating these insights.</x:v>
      </x:c>
      <x:c r="G110" s="30" t="str">
        <x:v>No.</x:v>
      </x:c>
      <x:c r="H110" s="30" t="str">
        <x:v>deepseek-v4-flash</x:v>
      </x:c>
      <x:c r="I110" s="30" t="str">
        <x:v>deepseek-v4-flash</x:v>
      </x:c>
      <x:c r="J110" s="30" t="str">
        <x:v>ba6e2b068d8a5e43afa9ce96fb828ce8f41d7cfce8c1d66ff5e76d656bab6b05</x:v>
      </x:c>
      <x:c r="K110" s="30" t="str">
        <x:v>5b452bae4917862c13a1d364ff9e792a1ba8346056b5ac370c3f905a899a27d0</x:v>
      </x:c>
      <x:c r="L110" s="30" t="n">
        <x:v>579.99</x:v>
      </x:c>
      <x:c r="M110" s="30" t="str">
        <x:v>{"completion_tokens": 2, "prompt_tokens": 551, "total_tokens": 553, "completion_tokens_details": null, "prompt_tokens_details": {"audio_tokens": null, "cached_tokens": 512}, "prompt_cache_hit_tokens": 512, "prompt_cache_miss_tokens": 39}</x:v>
      </x:c>
      <x:c r="N110" s="30" t="str">
        <x:v>omission</x:v>
      </x:c>
      <x:c r="O110" s="30" t="str">
        <x:v>The model answer 'No' correctly denies that Martin Mark expressed disinterest, but it omits the key information from the gold answer that he expressed enthusiasm about integrating the insights. This makes it an incomplete subset of the gold answer.</x:v>
      </x:c>
      <x:c r="P110" s="30" t="str">
        <x:v>LongCat-2.0</x:v>
      </x:c>
      <x:c r="Q110" s="30" t="str">
        <x:v>LongCat-2.0</x:v>
      </x:c>
      <x:c r="R110" s="30" t="n">
        <x:v>2655.15</x:v>
      </x:c>
      <x:c r="S110" s="30" t="str">
        <x:v>{"completion_tokens": 58, "prompt_tokens": 161,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
      <x:c r="A111" s="30" t="str">
        <x:v>memos_long:157</x:v>
      </x:c>
      <x:c r="B111" s="30" t="str">
        <x:v>long</x:v>
      </x:c>
      <x:c r="C111" s="30" t="str">
        <x:v>Memory Conflict</x:v>
      </x:c>
      <x:c r="D111" s="30" t="n">
        <x:v>2</x:v>
      </x:c>
      <x:c r="E111" s="30" t="str">
        <x:v>Did Martin Mark express disinterest in integrating insights from a study on feline communication into his pet preferences on Aug 03, 2035?</x:v>
      </x:c>
      <x:c r="F111" s="30" t="str">
        <x:v>No, he expressed enthusiasm about integrating these insights.</x:v>
      </x:c>
      <x:c r="G111" s="30" t="str">
        <x:v>No.</x:v>
      </x:c>
      <x:c r="H111" s="30" t="str">
        <x:v>deepseek-v4-flash</x:v>
      </x:c>
      <x:c r="I111" s="30" t="str">
        <x:v>deepseek-v4-flash</x:v>
      </x:c>
      <x:c r="J111" s="30" t="str">
        <x:v>ba6e2b068d8a5e43afa9ce96fb828ce8f41d7cfce8c1d66ff5e76d656bab6b05</x:v>
      </x:c>
      <x:c r="K111" s="30" t="str">
        <x:v>5b452bae4917862c13a1d364ff9e792a1ba8346056b5ac370c3f905a899a27d0</x:v>
      </x:c>
      <x:c r="L111" s="30" t="n">
        <x:v>612.34</x:v>
      </x:c>
      <x:c r="M111" s="30" t="str">
        <x:v>{"completion_tokens": 2, "prompt_tokens": 551, "total_tokens": 553, "completion_tokens_details": null, "prompt_tokens_details": {"audio_tokens": null, "cached_tokens": 512}, "prompt_cache_hit_tokens": 512, "prompt_cache_miss_tokens": 39}</x:v>
      </x:c>
      <x:c r="N111" s="30" t="str">
        <x:v>omission</x:v>
      </x:c>
      <x:c r="O111" s="30" t="str">
        <x:v>The model answer 'No' is factually consistent with the gold answer but omits the key detail that Martin Mark expressed enthusiasm about integrating the insights. The gold answer provides a complete response by specifying his positive stance, while the model only gives a bare negation without the supporting information, making it an incomplete subset.</x:v>
      </x:c>
      <x:c r="P111" s="30" t="str">
        <x:v>LongCat-2.0</x:v>
      </x:c>
      <x:c r="Q111" s="30" t="str">
        <x:v>LongCat-2.0</x:v>
      </x:c>
      <x:c r="R111" s="30" t="n">
        <x:v>3070.46</x:v>
      </x:c>
      <x:c r="S111" s="30" t="str">
        <x:v>{"completion_tokens": 75, "prompt_tokens": 161,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
      <x:c r="A112" s="30" t="str">
        <x:v>memos_long:157</x:v>
      </x:c>
      <x:c r="B112" s="30" t="str">
        <x:v>long</x:v>
      </x:c>
      <x:c r="C112" s="30" t="str">
        <x:v>Memory Conflict</x:v>
      </x:c>
      <x:c r="D112" s="30" t="n">
        <x:v>3</x:v>
      </x:c>
      <x:c r="E112" s="30" t="str">
        <x:v>Did Martin Mark express disinterest in integrating insights from a study on feline communication into his pet preferences on Aug 03, 2035?</x:v>
      </x:c>
      <x:c r="F112" s="30" t="str">
        <x:v>No, he expressed enthusiasm about integrating these insights.</x:v>
      </x:c>
      <x:c r="G112" s="30" t="str">
        <x:v>No.</x:v>
      </x:c>
      <x:c r="H112" s="30" t="str">
        <x:v>deepseek-v4-flash</x:v>
      </x:c>
      <x:c r="I112" s="30" t="str">
        <x:v>deepseek-v4-flash</x:v>
      </x:c>
      <x:c r="J112" s="30" t="str">
        <x:v>ba6e2b068d8a5e43afa9ce96fb828ce8f41d7cfce8c1d66ff5e76d656bab6b05</x:v>
      </x:c>
      <x:c r="K112" s="30" t="str">
        <x:v>5b452bae4917862c13a1d364ff9e792a1ba8346056b5ac370c3f905a899a27d0</x:v>
      </x:c>
      <x:c r="L112" s="30" t="n">
        <x:v>556.73</x:v>
      </x:c>
      <x:c r="M112" s="30" t="str">
        <x:v>{"completion_tokens": 2, "prompt_tokens": 551, "total_tokens": 553, "completion_tokens_details": null, "prompt_tokens_details": {"audio_tokens": null, "cached_tokens": 512}, "prompt_cache_hit_tokens": 512, "prompt_cache_miss_tokens": 39}</x:v>
      </x:c>
      <x:c r="N112" s="30" t="str">
        <x:v>omission</x:v>
      </x:c>
      <x:c r="O112" s="30" t="str">
        <x:v>The model answer 'No' correctly denies that Martin Mark expressed disinterest, but it omits the key detail from the gold answer that he expressed enthusiasm about integrating the insights. This makes it an incomplete subset of the gold answer.</x:v>
      </x:c>
      <x:c r="P112" s="30" t="str">
        <x:v>LongCat-2.0</x:v>
      </x:c>
      <x:c r="Q112" s="30" t="str">
        <x:v>LongCat-2.0</x:v>
      </x:c>
      <x:c r="R112" s="30" t="n">
        <x:v>2838.2</x:v>
      </x:c>
      <x:c r="S112" s="30" t="str">
        <x:v>{"completion_tokens": 58, "prompt_tokens": 161, "total_tokens": 219,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3">
      <x:c r="A113" s="30" t="str">
        <x:v>memos_long:1608</x:v>
      </x:c>
      <x:c r="B113" s="30" t="str">
        <x:v>long</x:v>
      </x:c>
      <x:c r="C113" s="30" t="str">
        <x:v>Basic Fact Recall</x:v>
      </x:c>
      <x:c r="D113" s="30" t="n">
        <x:v>1</x:v>
      </x:c>
      <x:c r="E113" s="30" t="str">
        <x:v>What is Susan Thompson's career status as of June 25, 2027?</x:v>
      </x:c>
      <x:c r="F113" s="30" t="str">
        <x:v>Retired</x:v>
      </x:c>
      <x:c r="G113" s="30" t="str">
        <x:v>Retired</x:v>
      </x:c>
      <x:c r="H113" s="30" t="str">
        <x:v>deepseek-v4-flash</x:v>
      </x:c>
      <x:c r="I113" s="30" t="str">
        <x:v>deepseek-v4-flash</x:v>
      </x:c>
      <x:c r="J113" s="30" t="str">
        <x:v>adb76305373bd00f2c2fb3ef355357e20b74907d40a3a983525bf15917c196e8</x:v>
      </x:c>
      <x:c r="K113" s="30" t="str">
        <x:v>1b089fd8b4ca55e5e2fa5cfc2cbd7b1abf55fea1b90d335120a15152df18c943</x:v>
      </x:c>
      <x:c r="L113" s="30" t="n">
        <x:v>530.56</x:v>
      </x:c>
      <x:c r="M113" s="30" t="str">
        <x:v>{"completion_tokens": 2, "prompt_tokens": 535, "total_tokens": 537, "completion_tokens_details": null, "prompt_tokens_details": {"audio_tokens": null, "cached_tokens": 512}, "prompt_cache_hit_tokens": 512, "prompt_cache_miss_tokens": 23}</x:v>
      </x:c>
      <x:c r="N113" s="30" t="str">
        <x:v>correct</x:v>
      </x:c>
      <x:c r="O113" s="30" t="str">
        <x:v>The model answer 'Retired' matches the benchmark gold answer exactly, providing the complete and correct information about Susan Thompson's career status.</x:v>
      </x:c>
      <x:c r="P113" s="30" t="str">
        <x:v>LongCat-2.0</x:v>
      </x:c>
      <x:c r="Q113" s="30" t="str">
        <x:v>LongCat-2.0</x:v>
      </x:c>
      <x:c r="R113" s="30" t="n">
        <x:v>4573.85</x:v>
      </x:c>
      <x:c r="S113" s="30" t="str">
        <x:v>{"completion_tokens": 38, "prompt_tokens": 143, "total_tokens": 181,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4">
      <x:c r="A114" s="30" t="str">
        <x:v>memos_long:1608</x:v>
      </x:c>
      <x:c r="B114" s="30" t="str">
        <x:v>long</x:v>
      </x:c>
      <x:c r="C114" s="30" t="str">
        <x:v>Basic Fact Recall</x:v>
      </x:c>
      <x:c r="D114" s="30" t="n">
        <x:v>2</x:v>
      </x:c>
      <x:c r="E114" s="30" t="str">
        <x:v>What is Susan Thompson's career status as of June 25, 2027?</x:v>
      </x:c>
      <x:c r="F114" s="30" t="str">
        <x:v>Retired</x:v>
      </x:c>
      <x:c r="G114" s="30" t="str">
        <x:v>Retired</x:v>
      </x:c>
      <x:c r="H114" s="30" t="str">
        <x:v>deepseek-v4-flash</x:v>
      </x:c>
      <x:c r="I114" s="30" t="str">
        <x:v>deepseek-v4-flash</x:v>
      </x:c>
      <x:c r="J114" s="30" t="str">
        <x:v>adb76305373bd00f2c2fb3ef355357e20b74907d40a3a983525bf15917c196e8</x:v>
      </x:c>
      <x:c r="K114" s="30" t="str">
        <x:v>1b089fd8b4ca55e5e2fa5cfc2cbd7b1abf55fea1b90d335120a15152df18c943</x:v>
      </x:c>
      <x:c r="L114" s="30" t="n">
        <x:v>560.69</x:v>
      </x:c>
      <x:c r="M114" s="30" t="str">
        <x:v>{"completion_tokens": 2, "prompt_tokens": 535, "total_tokens": 537, "completion_tokens_details": null, "prompt_tokens_details": {"audio_tokens": null, "cached_tokens": 512}, "prompt_cache_hit_tokens": 512, "prompt_cache_miss_tokens": 23}</x:v>
      </x:c>
      <x:c r="N114" s="30" t="str">
        <x:v>correct</x:v>
      </x:c>
      <x:c r="O114" s="30" t="str">
        <x:v>The model answer 'Retired' matches the benchmark gold answer exactly, providing the complete and correct information about Susan Thompson's career status.</x:v>
      </x:c>
      <x:c r="P114" s="30" t="str">
        <x:v>LongCat-2.0</x:v>
      </x:c>
      <x:c r="Q114" s="30" t="str">
        <x:v>LongCat-2.0</x:v>
      </x:c>
      <x:c r="R114" s="30" t="n">
        <x:v>3541.12</x:v>
      </x:c>
      <x:c r="S114" s="30" t="str">
        <x:v>{"completion_tokens": 38, "prompt_tokens": 143, "total_tokens": 181,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5">
      <x:c r="A115" s="30" t="str">
        <x:v>memos_long:1608</x:v>
      </x:c>
      <x:c r="B115" s="30" t="str">
        <x:v>long</x:v>
      </x:c>
      <x:c r="C115" s="30" t="str">
        <x:v>Basic Fact Recall</x:v>
      </x:c>
      <x:c r="D115" s="30" t="n">
        <x:v>3</x:v>
      </x:c>
      <x:c r="E115" s="30" t="str">
        <x:v>What is Susan Thompson's career status as of June 25, 2027?</x:v>
      </x:c>
      <x:c r="F115" s="30" t="str">
        <x:v>Retired</x:v>
      </x:c>
      <x:c r="G115" s="30" t="str">
        <x:v>Retired</x:v>
      </x:c>
      <x:c r="H115" s="30" t="str">
        <x:v>deepseek-v4-flash</x:v>
      </x:c>
      <x:c r="I115" s="30" t="str">
        <x:v>deepseek-v4-flash</x:v>
      </x:c>
      <x:c r="J115" s="30" t="str">
        <x:v>adb76305373bd00f2c2fb3ef355357e20b74907d40a3a983525bf15917c196e8</x:v>
      </x:c>
      <x:c r="K115" s="30" t="str">
        <x:v>1b089fd8b4ca55e5e2fa5cfc2cbd7b1abf55fea1b90d335120a15152df18c943</x:v>
      </x:c>
      <x:c r="L115" s="30" t="n">
        <x:v>824.93</x:v>
      </x:c>
      <x:c r="M115" s="30" t="str">
        <x:v>{"completion_tokens": 2, "prompt_tokens": 535, "total_tokens": 537, "completion_tokens_details": null, "prompt_tokens_details": {"audio_tokens": null, "cached_tokens": 512}, "prompt_cache_hit_tokens": 512, "prompt_cache_miss_tokens": 23}</x:v>
      </x:c>
      <x:c r="N115" s="30" t="str">
        <x:v>correct</x:v>
      </x:c>
      <x:c r="O115" s="30" t="str">
        <x:v>The model answer 'Retired' matches the benchmark gold answer exactly, providing the complete and correct information about Susan Thompson's career status.</x:v>
      </x:c>
      <x:c r="P115" s="30" t="str">
        <x:v>LongCat-2.0</x:v>
      </x:c>
      <x:c r="Q115" s="30" t="str">
        <x:v>LongCat-2.0</x:v>
      </x:c>
      <x:c r="R115" s="30" t="n">
        <x:v>2207.56</x:v>
      </x:c>
      <x:c r="S115" s="30" t="str">
        <x:v>{"completion_tokens": 38, "prompt_tokens": 143, "total_tokens": 181,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6">
      <x:c r="A116" s="30" t="str">
        <x:v>memos_long:1622</x:v>
      </x:c>
      <x:c r="B116" s="30" t="str">
        <x:v>long</x:v>
      </x:c>
      <x:c r="C116" s="30" t="str">
        <x:v>Basic Fact Recall</x:v>
      </x:c>
      <x:c r="D116" s="30" t="n">
        <x:v>1</x:v>
      </x:c>
      <x:c r="E116" s="30" t="str">
        <x:v>What type of spices did Susan decide to incorporate into her meals on Jun 25, 2028?</x:v>
      </x:c>
      <x:c r="F116" s="30" t="str">
        <x:v>Mild spices</x:v>
      </x:c>
      <x:c r="G116" s="30" t="str">
        <x:v>Mild spices</x:v>
      </x:c>
      <x:c r="H116" s="30" t="str">
        <x:v>deepseek-v4-flash</x:v>
      </x:c>
      <x:c r="I116" s="30" t="str">
        <x:v>deepseek-v4-flash</x:v>
      </x:c>
      <x:c r="J116" s="30" t="str">
        <x:v>18689d13216f3508f7a892532a1a125ad3cc48ea8925157ba5e4b6243e7e6214</x:v>
      </x:c>
      <x:c r="K116" s="30" t="str">
        <x:v>53650e6191ca824a02740213dd1b87d34c8cb92aa2385bfd0041f857e808b982</x:v>
      </x:c>
      <x:c r="L116" s="30" t="n">
        <x:v>663</x:v>
      </x:c>
      <x:c r="M116" s="30" t="str">
        <x:v>{"completion_tokens": 3, "prompt_tokens": 537, "total_tokens": 540, "completion_tokens_details": null, "prompt_tokens_details": {"audio_tokens": null, "cached_tokens": 512}, "prompt_cache_hit_tokens": 512, "prompt_cache_miss_tokens": 25}</x:v>
      </x:c>
      <x:c r="N116" s="30" t="str">
        <x:v>correct</x:v>
      </x:c>
      <x:c r="O116" s="30" t="str">
        <x:v>The model answer 'Mild spices' exactly matches the benchmark gold answer 'Mild spices', providing the complete and correct information.</x:v>
      </x:c>
      <x:c r="P116" s="30" t="str">
        <x:v>LongCat-2.0</x:v>
      </x:c>
      <x:c r="Q116" s="30" t="str">
        <x:v>LongCat-2.0</x:v>
      </x:c>
      <x:c r="R116" s="30" t="n">
        <x:v>1897.65</x:v>
      </x:c>
      <x:c r="S116" s="30" t="str">
        <x:v>{"completion_tokens": 37, "prompt_tokens": 149, "total_tokens": 186,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7">
      <x:c r="A117" s="30" t="str">
        <x:v>memos_long:1622</x:v>
      </x:c>
      <x:c r="B117" s="30" t="str">
        <x:v>long</x:v>
      </x:c>
      <x:c r="C117" s="30" t="str">
        <x:v>Basic Fact Recall</x:v>
      </x:c>
      <x:c r="D117" s="30" t="n">
        <x:v>2</x:v>
      </x:c>
      <x:c r="E117" s="30" t="str">
        <x:v>What type of spices did Susan decide to incorporate into her meals on Jun 25, 2028?</x:v>
      </x:c>
      <x:c r="F117" s="30" t="str">
        <x:v>Mild spices</x:v>
      </x:c>
      <x:c r="G117" s="30" t="str">
        <x:v>Mild spices</x:v>
      </x:c>
      <x:c r="H117" s="30" t="str">
        <x:v>deepseek-v4-flash</x:v>
      </x:c>
      <x:c r="I117" s="30" t="str">
        <x:v>deepseek-v4-flash</x:v>
      </x:c>
      <x:c r="J117" s="30" t="str">
        <x:v>18689d13216f3508f7a892532a1a125ad3cc48ea8925157ba5e4b6243e7e6214</x:v>
      </x:c>
      <x:c r="K117" s="30" t="str">
        <x:v>53650e6191ca824a02740213dd1b87d34c8cb92aa2385bfd0041f857e808b982</x:v>
      </x:c>
      <x:c r="L117" s="30" t="n">
        <x:v>658.34</x:v>
      </x:c>
      <x:c r="M117" s="30" t="str">
        <x:v>{"completion_tokens": 3, "prompt_tokens": 537, "total_tokens": 540, "completion_tokens_details": null, "prompt_tokens_details": {"audio_tokens": null, "cached_tokens": 512}, "prompt_cache_hit_tokens": 512, "prompt_cache_miss_tokens": 25}</x:v>
      </x:c>
      <x:c r="N117" s="30" t="str">
        <x:v>correct</x:v>
      </x:c>
      <x:c r="O117" s="30" t="str">
        <x:v>The model answer 'Mild spices' exactly matches the benchmark gold answer 'Mild spices', providing the complete and correct information.</x:v>
      </x:c>
      <x:c r="P117" s="30" t="str">
        <x:v>LongCat-2.0</x:v>
      </x:c>
      <x:c r="Q117" s="30" t="str">
        <x:v>LongCat-2.0</x:v>
      </x:c>
      <x:c r="R117" s="30" t="n">
        <x:v>1998.15</x:v>
      </x:c>
      <x:c r="S117" s="30" t="str">
        <x:v>{"completion_tokens": 37, "prompt_tokens": 149,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8">
      <x:c r="A118" s="30" t="str">
        <x:v>memos_long:1622</x:v>
      </x:c>
      <x:c r="B118" s="30" t="str">
        <x:v>long</x:v>
      </x:c>
      <x:c r="C118" s="30" t="str">
        <x:v>Basic Fact Recall</x:v>
      </x:c>
      <x:c r="D118" s="30" t="n">
        <x:v>3</x:v>
      </x:c>
      <x:c r="E118" s="30" t="str">
        <x:v>What type of spices did Susan decide to incorporate into her meals on Jun 25, 2028?</x:v>
      </x:c>
      <x:c r="F118" s="30" t="str">
        <x:v>Mild spices</x:v>
      </x:c>
      <x:c r="G118" s="30" t="str">
        <x:v>Mild spices</x:v>
      </x:c>
      <x:c r="H118" s="30" t="str">
        <x:v>deepseek-v4-flash</x:v>
      </x:c>
      <x:c r="I118" s="30" t="str">
        <x:v>deepseek-v4-flash</x:v>
      </x:c>
      <x:c r="J118" s="30" t="str">
        <x:v>18689d13216f3508f7a892532a1a125ad3cc48ea8925157ba5e4b6243e7e6214</x:v>
      </x:c>
      <x:c r="K118" s="30" t="str">
        <x:v>53650e6191ca824a02740213dd1b87d34c8cb92aa2385bfd0041f857e808b982</x:v>
      </x:c>
      <x:c r="L118" s="30" t="n">
        <x:v>679.8</x:v>
      </x:c>
      <x:c r="M118" s="30" t="str">
        <x:v>{"completion_tokens": 3, "prompt_tokens": 537, "total_tokens": 540, "completion_tokens_details": null, "prompt_tokens_details": {"audio_tokens": null, "cached_tokens": 512}, "prompt_cache_hit_tokens": 512, "prompt_cache_miss_tokens": 25}</x:v>
      </x:c>
      <x:c r="N118" s="30" t="str">
        <x:v>correct</x:v>
      </x:c>
      <x:c r="O118" s="30" t="str">
        <x:v>The model answer 'Mild spices' exactly matches the benchmark gold answer 'Mild spices', providing the complete and correct information.</x:v>
      </x:c>
      <x:c r="P118" s="30" t="str">
        <x:v>LongCat-2.0</x:v>
      </x:c>
      <x:c r="Q118" s="30" t="str">
        <x:v>LongCat-2.0</x:v>
      </x:c>
      <x:c r="R118" s="30" t="n">
        <x:v>1704.29</x:v>
      </x:c>
      <x:c r="S118" s="30" t="str">
        <x:v>{"completion_tokens": 37, "prompt_tokens": 149,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9">
      <x:c r="A119" s="30" t="str">
        <x:v>memos_long:1642</x:v>
      </x:c>
      <x:c r="B119" s="30" t="str">
        <x:v>long</x:v>
      </x:c>
      <x:c r="C119" s="30" t="str">
        <x:v>Memory Conflict</x:v>
      </x:c>
      <x:c r="D119" s="30" t="n">
        <x:v>1</x:v>
      </x:c>
      <x:c r="E119" s="30" t="str">
        <x:v>Did Susan Thompson decide to avoid techno music after visiting her friend's house on 2030-01-15?</x:v>
      </x:c>
      <x:c r="F119" s="30" t="str">
        <x:v>No, she decided to explore more techno music.</x:v>
      </x:c>
      <x:c r="G119" s="30" t="str">
        <x:v>No</x:v>
      </x:c>
      <x:c r="H119" s="30" t="str">
        <x:v>deepseek-v4-flash</x:v>
      </x:c>
      <x:c r="I119" s="30" t="str">
        <x:v>deepseek-v4-flash</x:v>
      </x:c>
      <x:c r="J119" s="30" t="str">
        <x:v>043e06a9467dad08ff3d41062ebbd9f326980f5e669b17da16e6c1af51587f04</x:v>
      </x:c>
      <x:c r="K119" s="30" t="str">
        <x:v>29a9ec366a5a86cf621f6678573919b6dda2002d723b49cf6075906745a85897</x:v>
      </x:c>
      <x:c r="L119" s="30" t="n">
        <x:v>571.96</x:v>
      </x:c>
      <x:c r="M119" s="30" t="str">
        <x:v>{"completion_tokens": 1, "prompt_tokens": 601, "total_tokens": 602, "completion_tokens_details": null, "prompt_tokens_details": {"audio_tokens": null, "cached_tokens": 512}, "prompt_cache_hit_tokens": 512, "prompt_cache_miss_tokens": 89}</x:v>
      </x:c>
      <x:c r="N119" s="30" t="str">
        <x:v>omission</x:v>
      </x:c>
      <x:c r="O119"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any false claims.</x:v>
      </x:c>
      <x:c r="P119" s="30" t="str">
        <x:v>LongCat-2.0</x:v>
      </x:c>
      <x:c r="Q119" s="30" t="str">
        <x:v>LongCat-2.0</x:v>
      </x:c>
      <x:c r="R119" s="30" t="n">
        <x:v>2913.38</x:v>
      </x:c>
      <x:c r="S119" s="30" t="str">
        <x:v>{"completion_tokens": 72, "prompt_tokens": 158,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20">
      <x:c r="A120" s="30" t="str">
        <x:v>memos_long:1642</x:v>
      </x:c>
      <x:c r="B120" s="30" t="str">
        <x:v>long</x:v>
      </x:c>
      <x:c r="C120" s="30" t="str">
        <x:v>Memory Conflict</x:v>
      </x:c>
      <x:c r="D120" s="30" t="n">
        <x:v>2</x:v>
      </x:c>
      <x:c r="E120" s="30" t="str">
        <x:v>Did Susan Thompson decide to avoid techno music after visiting her friend's house on 2030-01-15?</x:v>
      </x:c>
      <x:c r="F120" s="30" t="str">
        <x:v>No, she decided to explore more techno music.</x:v>
      </x:c>
      <x:c r="G120" s="30" t="str">
        <x:v>No</x:v>
      </x:c>
      <x:c r="H120" s="30" t="str">
        <x:v>deepseek-v4-flash</x:v>
      </x:c>
      <x:c r="I120" s="30" t="str">
        <x:v>deepseek-v4-flash</x:v>
      </x:c>
      <x:c r="J120" s="30" t="str">
        <x:v>043e06a9467dad08ff3d41062ebbd9f326980f5e669b17da16e6c1af51587f04</x:v>
      </x:c>
      <x:c r="K120" s="30" t="str">
        <x:v>29a9ec366a5a86cf621f6678573919b6dda2002d723b49cf6075906745a85897</x:v>
      </x:c>
      <x:c r="L120" s="30" t="n">
        <x:v>620.29</x:v>
      </x:c>
      <x:c r="M120" s="30" t="str">
        <x:v>{"completion_tokens": 1, "prompt_tokens": 601, "total_tokens": 602, "completion_tokens_details": null, "prompt_tokens_details": {"audio_tokens": null, "cached_tokens": 512}, "prompt_cache_hit_tokens": 512, "prompt_cache_miss_tokens": 89}</x:v>
      </x:c>
      <x:c r="N120" s="30" t="str">
        <x:v>omission</x:v>
      </x:c>
      <x:c r="O120"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x:v>
      </x:c>
      <x:c r="P120" s="30" t="str">
        <x:v>LongCat-2.0</x:v>
      </x:c>
      <x:c r="Q120" s="30" t="str">
        <x:v>LongCat-2.0</x:v>
      </x:c>
      <x:c r="R120" s="30" t="n">
        <x:v>2564.8</x:v>
      </x:c>
      <x:c r="S120" s="30" t="str">
        <x:v>{"completion_tokens": 73, "prompt_tokens": 158,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1">
      <x:c r="A121" s="30" t="str">
        <x:v>memos_long:1642</x:v>
      </x:c>
      <x:c r="B121" s="30" t="str">
        <x:v>long</x:v>
      </x:c>
      <x:c r="C121" s="30" t="str">
        <x:v>Memory Conflict</x:v>
      </x:c>
      <x:c r="D121" s="30" t="n">
        <x:v>3</x:v>
      </x:c>
      <x:c r="E121" s="30" t="str">
        <x:v>Did Susan Thompson decide to avoid techno music after visiting her friend's house on 2030-01-15?</x:v>
      </x:c>
      <x:c r="F121" s="30" t="str">
        <x:v>No, she decided to explore more techno music.</x:v>
      </x:c>
      <x:c r="G121" s="30" t="str">
        <x:v>No</x:v>
      </x:c>
      <x:c r="H121" s="30" t="str">
        <x:v>deepseek-v4-flash</x:v>
      </x:c>
      <x:c r="I121" s="30" t="str">
        <x:v>deepseek-v4-flash</x:v>
      </x:c>
      <x:c r="J121" s="30" t="str">
        <x:v>043e06a9467dad08ff3d41062ebbd9f326980f5e669b17da16e6c1af51587f04</x:v>
      </x:c>
      <x:c r="K121" s="30" t="str">
        <x:v>29a9ec366a5a86cf621f6678573919b6dda2002d723b49cf6075906745a85897</x:v>
      </x:c>
      <x:c r="L121" s="30" t="n">
        <x:v>506.33</x:v>
      </x:c>
      <x:c r="M121" s="30" t="str">
        <x:v>{"completion_tokens": 1, "prompt_tokens": 601, "total_tokens": 602, "completion_tokens_details": null, "prompt_tokens_details": {"audio_tokens": null, "cached_tokens": 512}, "prompt_cache_hit_tokens": 512, "prompt_cache_miss_tokens": 89}</x:v>
      </x:c>
      <x:c r="N121" s="30" t="str">
        <x:v>omission</x:v>
      </x:c>
      <x:c r="O121" s="30" t="str">
        <x:v>The model answer 'No' correctly indicates that Susan did not decide to avoid techno music, but it omits the complete information from the gold answer, which specifies that she decided to explore more techno music. The model provides only an incomplete subset of the gold answer without adding a concrete false claim.</x:v>
      </x:c>
      <x:c r="P121" s="30" t="str">
        <x:v>LongCat-2.0</x:v>
      </x:c>
      <x:c r="Q121" s="30" t="str">
        <x:v>LongCat-2.0</x:v>
      </x:c>
      <x:c r="R121" s="30" t="n">
        <x:v>3999.06</x:v>
      </x:c>
      <x:c r="S121" s="30" t="str">
        <x:v>{"completion_tokens": 73, "prompt_tokens": 158,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2">
      <x:c r="A122" s="30" t="str">
        <x:v>memos_long:1662</x:v>
      </x:c>
      <x:c r="B122" s="30" t="str">
        <x:v>long</x:v>
      </x:c>
      <x:c r="C122" s="30" t="str">
        <x:v>Multi-hop Inference</x:v>
      </x:c>
      <x:c r="D122" s="30" t="n">
        <x:v>1</x:v>
      </x:c>
      <x:c r="E122" s="30" t="str">
        <x:v>By November 1, 2031, how did Susan's stress management techniques evolve?</x:v>
      </x:c>
      <x:c r="F122" s="30" t="str">
        <x:v>Incorporated mindfulness and time management.</x:v>
      </x:c>
      <x:c r="G122" s="30" t="str">
        <x:v>Used mindfulness and time management.</x:v>
      </x:c>
      <x:c r="H122" s="30" t="str">
        <x:v>deepseek-v4-flash</x:v>
      </x:c>
      <x:c r="I122" s="30" t="str">
        <x:v>deepseek-v4-flash</x:v>
      </x:c>
      <x:c r="J122" s="30" t="str">
        <x:v>43920a9dfa365027a40695560dcd3b721621f611e24a848309d494d1ab37a3c5</x:v>
      </x:c>
      <x:c r="K122" s="30" t="str">
        <x:v>74d33578be265a29b0272668fb8fdcb9b65d0593e52a8268d1e0e05646e181fa</x:v>
      </x:c>
      <x:c r="L122" s="30" t="n">
        <x:v>865.95</x:v>
      </x:c>
      <x:c r="M122" s="30" t="str">
        <x:v>{"completion_tokens": 6, "prompt_tokens": 564, "total_tokens": 570, "completion_tokens_details": null, "prompt_tokens_details": {"audio_tokens": null, "cached_tokens": 512}, "prompt_cache_hit_tokens": 512, "prompt_cache_miss_tokens": 52}</x:v>
      </x:c>
      <x:c r="N122" s="30" t="str">
        <x:v>correct</x:v>
      </x:c>
      <x:c r="O122" s="30" t="str">
        <x:v>The model answer 'Used mindfulness and time management'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P122" s="30" t="str">
        <x:v>LongCat-2.0</x:v>
      </x:c>
      <x:c r="Q122" s="30" t="str">
        <x:v>LongCat-2.0</x:v>
      </x:c>
      <x:c r="R122" s="30" t="n">
        <x:v>2198.92</x:v>
      </x:c>
      <x:c r="S122" s="30" t="str">
        <x:v>{"completion_tokens": 75, "prompt_tokens": 151,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3">
      <x:c r="A123" s="30" t="str">
        <x:v>memos_long:1662</x:v>
      </x:c>
      <x:c r="B123" s="30" t="str">
        <x:v>long</x:v>
      </x:c>
      <x:c r="C123" s="30" t="str">
        <x:v>Multi-hop Inference</x:v>
      </x:c>
      <x:c r="D123" s="30" t="n">
        <x:v>2</x:v>
      </x:c>
      <x:c r="E123" s="30" t="str">
        <x:v>By November 1, 2031, how did Susan's stress management techniques evolve?</x:v>
      </x:c>
      <x:c r="F123" s="30" t="str">
        <x:v>Incorporated mindfulness and time management.</x:v>
      </x:c>
      <x:c r="G123" s="30" t="str">
        <x:v>Used mindfulness and time management.</x:v>
      </x:c>
      <x:c r="H123" s="30" t="str">
        <x:v>deepseek-v4-flash</x:v>
      </x:c>
      <x:c r="I123" s="30" t="str">
        <x:v>deepseek-v4-flash</x:v>
      </x:c>
      <x:c r="J123" s="30" t="str">
        <x:v>43920a9dfa365027a40695560dcd3b721621f611e24a848309d494d1ab37a3c5</x:v>
      </x:c>
      <x:c r="K123" s="30" t="str">
        <x:v>74d33578be265a29b0272668fb8fdcb9b65d0593e52a8268d1e0e05646e181fa</x:v>
      </x:c>
      <x:c r="L123" s="30" t="n">
        <x:v>542.76</x:v>
      </x:c>
      <x:c r="M123" s="30" t="str">
        <x:v>{"completion_tokens": 6, "prompt_tokens": 564, "total_tokens": 570, "completion_tokens_details": null, "prompt_tokens_details": {"audio_tokens": null, "cached_tokens": 512}, "prompt_cache_hit_tokens": 512, "prompt_cache_miss_tokens": 52}</x:v>
      </x:c>
      <x:c r="N123" s="30" t="str">
        <x:v>correct</x:v>
      </x:c>
      <x:c r="O123" s="30" t="str">
        <x:v>The model answer 'Used mindfulness and time management' conveys the same complete information as the gold answer 'Incorporated mindfulness and time management.' The wording differs slightly ('Used' vs. 'Incorporated'), but the semantic content is identical and complete, with no missing or contradictory information.</x:v>
      </x:c>
      <x:c r="P123" s="30" t="str">
        <x:v>LongCat-2.0</x:v>
      </x:c>
      <x:c r="Q123" s="30" t="str">
        <x:v>LongCat-2.0</x:v>
      </x:c>
      <x:c r="R123" s="30" t="n">
        <x:v>2710.44</x:v>
      </x:c>
      <x:c r="S123" s="30" t="str">
        <x:v>{"completion_tokens": 69, "prompt_tokens": 151,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24">
      <x:c r="A124" s="30" t="str">
        <x:v>memos_long:1662</x:v>
      </x:c>
      <x:c r="B124" s="30" t="str">
        <x:v>long</x:v>
      </x:c>
      <x:c r="C124" s="30" t="str">
        <x:v>Multi-hop Inference</x:v>
      </x:c>
      <x:c r="D124" s="30" t="n">
        <x:v>3</x:v>
      </x:c>
      <x:c r="E124" s="30" t="str">
        <x:v>By November 1, 2031, how did Susan's stress management techniques evolve?</x:v>
      </x:c>
      <x:c r="F124" s="30" t="str">
        <x:v>Incorporated mindfulness and time management.</x:v>
      </x:c>
      <x:c r="G124" s="30" t="str">
        <x:v>Used mindfulness and time management.</x:v>
      </x:c>
      <x:c r="H124" s="30" t="str">
        <x:v>deepseek-v4-flash</x:v>
      </x:c>
      <x:c r="I124" s="30" t="str">
        <x:v>deepseek-v4-flash</x:v>
      </x:c>
      <x:c r="J124" s="30" t="str">
        <x:v>43920a9dfa365027a40695560dcd3b721621f611e24a848309d494d1ab37a3c5</x:v>
      </x:c>
      <x:c r="K124" s="30" t="str">
        <x:v>74d33578be265a29b0272668fb8fdcb9b65d0593e52a8268d1e0e05646e181fa</x:v>
      </x:c>
      <x:c r="L124" s="30" t="n">
        <x:v>835.81</x:v>
      </x:c>
      <x:c r="M124" s="30" t="str">
        <x:v>{"completion_tokens": 6, "prompt_tokens": 564, "total_tokens": 570, "completion_tokens_details": null, "prompt_tokens_details": {"audio_tokens": null, "cached_tokens": 512}, "prompt_cache_hit_tokens": 512, "prompt_cache_miss_tokens": 52}</x:v>
      </x:c>
      <x:c r="N124" s="30" t="str">
        <x:v>correct</x:v>
      </x:c>
      <x:c r="O124"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P124" s="30" t="str">
        <x:v>LongCat-2.0</x:v>
      </x:c>
      <x:c r="Q124" s="30" t="str">
        <x:v>LongCat-2.0</x:v>
      </x:c>
      <x:c r="R124" s="30" t="n">
        <x:v>2770.32</x:v>
      </x:c>
      <x:c r="S124" s="30" t="str">
        <x:v>{"completion_tokens": 77, "prompt_tokens": 151,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5">
      <x:c r="A125" s="30" t="str">
        <x:v>memos_long:1667</x:v>
      </x:c>
      <x:c r="B125" s="30" t="str">
        <x:v>long</x:v>
      </x:c>
      <x:c r="C125" s="30" t="str">
        <x:v>Basic Fact Recall</x:v>
      </x:c>
      <x:c r="D125" s="30" t="n">
        <x:v>1</x:v>
      </x:c>
      <x:c r="E125" s="30" t="str">
        <x:v>What type of cruises is Susan Thompson now interested in as of May 19, 2032?</x:v>
      </x:c>
      <x:c r="F125" s="30" t="str">
        <x:v>Health-focused cruises</x:v>
      </x:c>
      <x:c r="G125" s="30" t="str">
        <x:v>Health-focused cruises</x:v>
      </x:c>
      <x:c r="H125" s="30" t="str">
        <x:v>deepseek-v4-flash</x:v>
      </x:c>
      <x:c r="I125" s="30" t="str">
        <x:v>deepseek-v4-flash</x:v>
      </x:c>
      <x:c r="J125" s="30" t="str">
        <x:v>198cb22b4823617364f749f3670edc4db7e9993413d1d497a9997ee85bd9c188</x:v>
      </x:c>
      <x:c r="K125" s="30" t="str">
        <x:v>903fbaa595672b8d836f4506e48de5fc3297a3a1da294020cffc4069afbe9154</x:v>
      </x:c>
      <x:c r="L125" s="30" t="n">
        <x:v>665.35</x:v>
      </x:c>
      <x:c r="M125" s="30" t="str">
        <x:v>{"completion_tokens": 4, "prompt_tokens": 535, "total_tokens": 539, "completion_tokens_details": null, "prompt_tokens_details": {"audio_tokens": null, "cached_tokens": 512}, "prompt_cache_hit_tokens": 512, "prompt_cache_miss_tokens": 23}</x:v>
      </x:c>
      <x:c r="N125" s="30" t="str">
        <x:v>correct</x:v>
      </x:c>
      <x:c r="O125" s="30" t="str">
        <x:v>The model answer 'Health-focused cruises' matches the benchmark gold answer exactly, providing the complete and correct information.</x:v>
      </x:c>
      <x:c r="P125" s="30" t="str">
        <x:v>LongCat-2.0</x:v>
      </x:c>
      <x:c r="Q125" s="30" t="str">
        <x:v>LongCat-2.0</x:v>
      </x:c>
      <x:c r="R125" s="30" t="n">
        <x:v>2235.19</x:v>
      </x:c>
      <x:c r="S125" s="30" t="str">
        <x:v>{"completion_tokens": 34, "prompt_tokens": 151, "total_tokens": 185,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26">
      <x:c r="A126" s="30" t="str">
        <x:v>memos_long:1667</x:v>
      </x:c>
      <x:c r="B126" s="30" t="str">
        <x:v>long</x:v>
      </x:c>
      <x:c r="C126" s="30" t="str">
        <x:v>Basic Fact Recall</x:v>
      </x:c>
      <x:c r="D126" s="30" t="n">
        <x:v>2</x:v>
      </x:c>
      <x:c r="E126" s="30" t="str">
        <x:v>What type of cruises is Susan Thompson now interested in as of May 19, 2032?</x:v>
      </x:c>
      <x:c r="F126" s="30" t="str">
        <x:v>Health-focused cruises</x:v>
      </x:c>
      <x:c r="G126" s="30" t="str">
        <x:v>Health-focused cruises</x:v>
      </x:c>
      <x:c r="H126" s="30" t="str">
        <x:v>deepseek-v4-flash</x:v>
      </x:c>
      <x:c r="I126" s="30" t="str">
        <x:v>deepseek-v4-flash</x:v>
      </x:c>
      <x:c r="J126" s="30" t="str">
        <x:v>198cb22b4823617364f749f3670edc4db7e9993413d1d497a9997ee85bd9c188</x:v>
      </x:c>
      <x:c r="K126" s="30" t="str">
        <x:v>903fbaa595672b8d836f4506e48de5fc3297a3a1da294020cffc4069afbe9154</x:v>
      </x:c>
      <x:c r="L126" s="30" t="n">
        <x:v>831.69</x:v>
      </x:c>
      <x:c r="M126" s="30" t="str">
        <x:v>{"completion_tokens": 4, "prompt_tokens": 535, "total_tokens": 539, "completion_tokens_details": null, "prompt_tokens_details": {"audio_tokens": null, "cached_tokens": 512}, "prompt_cache_hit_tokens": 512, "prompt_cache_miss_tokens": 23}</x:v>
      </x:c>
      <x:c r="N126" s="30" t="str">
        <x:v>correct</x:v>
      </x:c>
      <x:c r="O126" s="30" t="str">
        <x:v>The model answer 'Health-focused cruises' matches the benchmark gold answer exactly in meaning and wording, providing the complete answer without any contradiction or omission.</x:v>
      </x:c>
      <x:c r="P126" s="30" t="str">
        <x:v>LongCat-2.0</x:v>
      </x:c>
      <x:c r="Q126" s="30" t="str">
        <x:v>LongCat-2.0</x:v>
      </x:c>
      <x:c r="R126" s="30" t="n">
        <x:v>1921.24</x:v>
      </x:c>
      <x:c r="S126" s="30" t="str">
        <x:v>{"completion_tokens": 41, "prompt_tokens": 151,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7">
      <x:c r="A127" s="30" t="str">
        <x:v>memos_long:1667</x:v>
      </x:c>
      <x:c r="B127" s="30" t="str">
        <x:v>long</x:v>
      </x:c>
      <x:c r="C127" s="30" t="str">
        <x:v>Basic Fact Recall</x:v>
      </x:c>
      <x:c r="D127" s="30" t="n">
        <x:v>3</x:v>
      </x:c>
      <x:c r="E127" s="30" t="str">
        <x:v>What type of cruises is Susan Thompson now interested in as of May 19, 2032?</x:v>
      </x:c>
      <x:c r="F127" s="30" t="str">
        <x:v>Health-focused cruises</x:v>
      </x:c>
      <x:c r="G127" s="30" t="str">
        <x:v>Health-focused cruises</x:v>
      </x:c>
      <x:c r="H127" s="30" t="str">
        <x:v>deepseek-v4-flash</x:v>
      </x:c>
      <x:c r="I127" s="30" t="str">
        <x:v>deepseek-v4-flash</x:v>
      </x:c>
      <x:c r="J127" s="30" t="str">
        <x:v>198cb22b4823617364f749f3670edc4db7e9993413d1d497a9997ee85bd9c188</x:v>
      </x:c>
      <x:c r="K127" s="30" t="str">
        <x:v>903fbaa595672b8d836f4506e48de5fc3297a3a1da294020cffc4069afbe9154</x:v>
      </x:c>
      <x:c r="L127" s="30" t="n">
        <x:v>873.81</x:v>
      </x:c>
      <x:c r="M127" s="30" t="str">
        <x:v>{"completion_tokens": 4, "prompt_tokens": 535, "total_tokens": 539, "completion_tokens_details": null, "prompt_tokens_details": {"audio_tokens": null, "cached_tokens": 512}, "prompt_cache_hit_tokens": 512, "prompt_cache_miss_tokens": 23}</x:v>
      </x:c>
      <x:c r="N127" s="30" t="str">
        <x:v>correct</x:v>
      </x:c>
      <x:c r="O127" s="30" t="str">
        <x:v>The model answer 'Health-focused cruises' matches the benchmark gold answer exactly in meaning and wording, providing the complete correct answer.</x:v>
      </x:c>
      <x:c r="P127" s="30" t="str">
        <x:v>LongCat-2.0</x:v>
      </x:c>
      <x:c r="Q127" s="30" t="str">
        <x:v>LongCat-2.0</x:v>
      </x:c>
      <x:c r="R127" s="30" t="n">
        <x:v>5014.95</x:v>
      </x:c>
      <x:c r="S127" s="30" t="str">
        <x:v>{"completion_tokens": 37, "prompt_tokens": 151, "total_tokens": 188,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8">
      <x:c r="A128" s="30" t="str">
        <x:v>memos_long:1675</x:v>
      </x:c>
      <x:c r="B128" s="30" t="str">
        <x:v>long</x:v>
      </x:c>
      <x:c r="C128" s="30" t="str">
        <x:v>Generalization &amp; Application</x:v>
      </x:c>
      <x:c r="D128" s="30" t="n">
        <x:v>1</x:v>
      </x:c>
      <x:c r="E128" s="30" t="str">
        <x:v>What might motivate Susan Thompson to continue her wellness journey after Dec 20, 2032?</x:v>
      </x:c>
      <x:c r="F128" s="30" t="str">
        <x:v>Emotional resonance from connecting with others.</x:v>
      </x:c>
      <x:c r="G128" s="30" t="str">
        <x:v>Emotional resonance with others.</x:v>
      </x:c>
      <x:c r="H128" s="30" t="str">
        <x:v>deepseek-v4-flash</x:v>
      </x:c>
      <x:c r="I128" s="30" t="str">
        <x:v>deepseek-v4-flash</x:v>
      </x:c>
      <x:c r="J128" s="30" t="str">
        <x:v>0de8adfe20969122f5fafd91652e0f16596baddbe2b1e34c1055ee869dabb754</x:v>
      </x:c>
      <x:c r="K128" s="30" t="str">
        <x:v>251e9a48b0f9a16e7fddbe7790c0c538a95cde8dff4da18ced95abd85ed6cc14</x:v>
      </x:c>
      <x:c r="L128" s="30" t="n">
        <x:v>616.98</x:v>
      </x:c>
      <x:c r="M128" s="30" t="str">
        <x:v>{"completion_tokens": 6, "prompt_tokens": 574, "total_tokens": 580, "completion_tokens_details": null, "prompt_tokens_details": {"audio_tokens": null, "cached_tokens": 512}, "prompt_cache_hit_tokens": 512, "prompt_cache_miss_tokens": 62}</x:v>
      </x:c>
      <x:c r="N128" s="30" t="str">
        <x:v>correct</x:v>
      </x:c>
      <x:c r="O128"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P128" s="30" t="str">
        <x:v>LongCat-2.0</x:v>
      </x:c>
      <x:c r="Q128" s="30" t="str">
        <x:v>LongCat-2.0</x:v>
      </x:c>
      <x:c r="R128" s="30" t="n">
        <x:v>2916.67</x:v>
      </x:c>
      <x:c r="S128" s="30" t="str">
        <x:v>{"completion_tokens": 68, "prompt_tokens": 153,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29">
      <x:c r="A129" s="30" t="str">
        <x:v>memos_long:1675</x:v>
      </x:c>
      <x:c r="B129" s="30" t="str">
        <x:v>long</x:v>
      </x:c>
      <x:c r="C129" s="30" t="str">
        <x:v>Generalization &amp; Application</x:v>
      </x:c>
      <x:c r="D129" s="30" t="n">
        <x:v>2</x:v>
      </x:c>
      <x:c r="E129" s="30" t="str">
        <x:v>What might motivate Susan Thompson to continue her wellness journey after Dec 20, 2032?</x:v>
      </x:c>
      <x:c r="F129" s="30" t="str">
        <x:v>Emotional resonance from connecting with others.</x:v>
      </x:c>
      <x:c r="G129" s="30" t="str">
        <x:v>Emotional resonance with others.</x:v>
      </x:c>
      <x:c r="H129" s="30" t="str">
        <x:v>deepseek-v4-flash</x:v>
      </x:c>
      <x:c r="I129" s="30" t="str">
        <x:v>deepseek-v4-flash</x:v>
      </x:c>
      <x:c r="J129" s="30" t="str">
        <x:v>0de8adfe20969122f5fafd91652e0f16596baddbe2b1e34c1055ee869dabb754</x:v>
      </x:c>
      <x:c r="K129" s="30" t="str">
        <x:v>251e9a48b0f9a16e7fddbe7790c0c538a95cde8dff4da18ced95abd85ed6cc14</x:v>
      </x:c>
      <x:c r="L129" s="30" t="n">
        <x:v>557.49</x:v>
      </x:c>
      <x:c r="M129" s="30" t="str">
        <x:v>{"completion_tokens": 6, "prompt_tokens": 574, "total_tokens": 580, "completion_tokens_details": null, "prompt_tokens_details": {"audio_tokens": null, "cached_tokens": 512}, "prompt_cache_hit_tokens": 512, "prompt_cache_miss_tokens": 62}</x:v>
      </x:c>
      <x:c r="N129" s="30" t="str">
        <x:v>correct</x:v>
      </x:c>
      <x:c r="O129"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P129" s="30" t="str">
        <x:v>LongCat-2.0</x:v>
      </x:c>
      <x:c r="Q129" s="30" t="str">
        <x:v>LongCat-2.0</x:v>
      </x:c>
      <x:c r="R129" s="30" t="n">
        <x:v>2208.63</x:v>
      </x:c>
      <x:c r="S129" s="30" t="str">
        <x:v>{"completion_tokens": 68, "prompt_tokens": 153,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0">
      <x:c r="A130" s="30" t="str">
        <x:v>memos_long:1675</x:v>
      </x:c>
      <x:c r="B130" s="30" t="str">
        <x:v>long</x:v>
      </x:c>
      <x:c r="C130" s="30" t="str">
        <x:v>Generalization &amp; Application</x:v>
      </x:c>
      <x:c r="D130" s="30" t="n">
        <x:v>3</x:v>
      </x:c>
      <x:c r="E130" s="30" t="str">
        <x:v>What might motivate Susan Thompson to continue her wellness journey after Dec 20, 2032?</x:v>
      </x:c>
      <x:c r="F130" s="30" t="str">
        <x:v>Emotional resonance from connecting with others.</x:v>
      </x:c>
      <x:c r="G130" s="30" t="str">
        <x:v>Emotional resonance with others.</x:v>
      </x:c>
      <x:c r="H130" s="30" t="str">
        <x:v>deepseek-v4-flash</x:v>
      </x:c>
      <x:c r="I130" s="30" t="str">
        <x:v>deepseek-v4-flash</x:v>
      </x:c>
      <x:c r="J130" s="30" t="str">
        <x:v>0de8adfe20969122f5fafd91652e0f16596baddbe2b1e34c1055ee869dabb754</x:v>
      </x:c>
      <x:c r="K130" s="30" t="str">
        <x:v>251e9a48b0f9a16e7fddbe7790c0c538a95cde8dff4da18ced95abd85ed6cc14</x:v>
      </x:c>
      <x:c r="L130" s="30" t="n">
        <x:v>524.18</x:v>
      </x:c>
      <x:c r="M130" s="30" t="str">
        <x:v>{"completion_tokens": 6, "prompt_tokens": 574, "total_tokens": 580, "completion_tokens_details": null, "prompt_tokens_details": {"audio_tokens": null, "cached_tokens": 512}, "prompt_cache_hit_tokens": 512, "prompt_cache_miss_tokens": 62}</x:v>
      </x:c>
      <x:c r="N130" s="30" t="str">
        <x:v>correct</x:v>
      </x:c>
      <x:c r="O130" s="30" t="str">
        <x:v>The model answer 'Emotional resonance with others' captures the complete meaning of the gold answer 'Emotional resonance from connecting with others.' The slight wording difference ('with' vs. 'from connecting with') does not change the semantic meaning, and the core concept of emotional resonance with others is fully preserved.</x:v>
      </x:c>
      <x:c r="P130" s="30" t="str">
        <x:v>LongCat-2.0</x:v>
      </x:c>
      <x:c r="Q130" s="30" t="str">
        <x:v>LongCat-2.0</x:v>
      </x:c>
      <x:c r="R130" s="30" t="n">
        <x:v>2936.51</x:v>
      </x:c>
      <x:c r="S130" s="30" t="str">
        <x:v>{"completion_tokens": 72, "prompt_tokens": 153,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31">
      <x:c r="A131" s="30" t="str">
        <x:v>memos_long:1683</x:v>
      </x:c>
      <x:c r="B131" s="30" t="str">
        <x:v>long</x:v>
      </x:c>
      <x:c r="C131" s="30" t="str">
        <x:v>Basic Fact Recall</x:v>
      </x:c>
      <x:c r="D131" s="30" t="n">
        <x:v>1</x:v>
      </x:c>
      <x:c r="E131" s="30" t="str">
        <x:v>What entertainment preferences did Susan Thompson express on February 26, 2033?</x:v>
      </x:c>
      <x:c r="F131" s="30" t="str">
        <x:v>Entertainment that supports tranquility and relaxation</x:v>
      </x:c>
      <x:c r="G131" s="30" t="str">
        <x:v>Tranquility and relaxation.</x:v>
      </x:c>
      <x:c r="H131" s="30" t="str">
        <x:v>deepseek-v4-flash</x:v>
      </x:c>
      <x:c r="I131" s="30" t="str">
        <x:v>deepseek-v4-flash</x:v>
      </x:c>
      <x:c r="J131" s="30" t="str">
        <x:v>8090114cd0568850d9122b099fa4ae92f9e559aff3aa2155438a702a6f861075</x:v>
      </x:c>
      <x:c r="K131" s="30" t="str">
        <x:v>acda5e8f00cd3e12059f40330bd3824e4b319ca3c5cef25e875e821274c954ec</x:v>
      </x:c>
      <x:c r="L131" s="30" t="n">
        <x:v>553.23</x:v>
      </x:c>
      <x:c r="M131" s="30" t="str">
        <x:v>{"completion_tokens": 7, "prompt_tokens": 531, "total_tokens": 538, "completion_tokens_details": null, "prompt_tokens_details": {"audio_tokens": null, "cached_tokens": 512}, "prompt_cache_hit_tokens": 512, "prompt_cache_miss_tokens": 19}</x:v>
      </x:c>
      <x:c r="N131" s="30" t="str">
        <x:v>correct</x:v>
      </x:c>
      <x:c r="O131" s="30" t="str">
        <x:v>The model answer 'Tranquility and relaxation' captures the complete semantic content of the gold answer 'Entertainment that supports tranquility and relaxation' without adding any false or unsupported information.</x:v>
      </x:c>
      <x:c r="P131" s="30" t="str">
        <x:v>LongCat-2.0</x:v>
      </x:c>
      <x:c r="Q131" s="30" t="str">
        <x:v>LongCat-2.0</x:v>
      </x:c>
      <x:c r="R131" s="30" t="n">
        <x:v>1998.62</x:v>
      </x:c>
      <x:c r="S131" s="30" t="str">
        <x:v>{"completion_tokens": 49, "prompt_tokens": 152, "total_tokens": 201,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2">
      <x:c r="A132" s="30" t="str">
        <x:v>memos_long:1683</x:v>
      </x:c>
      <x:c r="B132" s="30" t="str">
        <x:v>long</x:v>
      </x:c>
      <x:c r="C132" s="30" t="str">
        <x:v>Basic Fact Recall</x:v>
      </x:c>
      <x:c r="D132" s="30" t="n">
        <x:v>2</x:v>
      </x:c>
      <x:c r="E132" s="30" t="str">
        <x:v>What entertainment preferences did Susan Thompson express on February 26, 2033?</x:v>
      </x:c>
      <x:c r="F132" s="30" t="str">
        <x:v>Entertainment that supports tranquility and relaxation</x:v>
      </x:c>
      <x:c r="G132" s="30" t="str">
        <x:v>Tranquility and relaxation.</x:v>
      </x:c>
      <x:c r="H132" s="30" t="str">
        <x:v>deepseek-v4-flash</x:v>
      </x:c>
      <x:c r="I132" s="30" t="str">
        <x:v>deepseek-v4-flash</x:v>
      </x:c>
      <x:c r="J132" s="30" t="str">
        <x:v>8090114cd0568850d9122b099fa4ae92f9e559aff3aa2155438a702a6f861075</x:v>
      </x:c>
      <x:c r="K132" s="30" t="str">
        <x:v>acda5e8f00cd3e12059f40330bd3824e4b319ca3c5cef25e875e821274c954ec</x:v>
      </x:c>
      <x:c r="L132" s="30" t="n">
        <x:v>552.7</x:v>
      </x:c>
      <x:c r="M132" s="30" t="str">
        <x:v>{"completion_tokens": 7, "prompt_tokens": 531, "total_tokens": 538, "completion_tokens_details": null, "prompt_tokens_details": {"audio_tokens": null, "cached_tokens": 512}, "prompt_cache_hit_tokens": 512, "prompt_cache_miss_tokens": 19}</x:v>
      </x:c>
      <x:c r="N132" s="30" t="str">
        <x:v>correct</x:v>
      </x:c>
      <x:c r="O132" s="30" t="str">
        <x:v>The model answer 'Tranquility and relaxation' captures the complete semantic content of the gold answer 'Entertainment that supports tranquility and relaxation' without adding any false or unsupported information. The wording differs slightly but the meaning is fully preserved.</x:v>
      </x:c>
      <x:c r="P132" s="30" t="str">
        <x:v>LongCat-2.0</x:v>
      </x:c>
      <x:c r="Q132" s="30" t="str">
        <x:v>LongCat-2.0</x:v>
      </x:c>
      <x:c r="R132" s="30" t="n">
        <x:v>2358.52</x:v>
      </x:c>
      <x:c r="S132" s="30" t="str">
        <x:v>{"completion_tokens": 60, "prompt_tokens": 152,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33">
      <x:c r="A133" s="30" t="str">
        <x:v>memos_long:1683</x:v>
      </x:c>
      <x:c r="B133" s="30" t="str">
        <x:v>long</x:v>
      </x:c>
      <x:c r="C133" s="30" t="str">
        <x:v>Basic Fact Recall</x:v>
      </x:c>
      <x:c r="D133" s="30" t="n">
        <x:v>3</x:v>
      </x:c>
      <x:c r="E133" s="30" t="str">
        <x:v>What entertainment preferences did Susan Thompson express on February 26, 2033?</x:v>
      </x:c>
      <x:c r="F133" s="30" t="str">
        <x:v>Entertainment that supports tranquility and relaxation</x:v>
      </x:c>
      <x:c r="G133" s="30" t="str">
        <x:v>Tranquility and relaxation.</x:v>
      </x:c>
      <x:c r="H133" s="30" t="str">
        <x:v>deepseek-v4-flash</x:v>
      </x:c>
      <x:c r="I133" s="30" t="str">
        <x:v>deepseek-v4-flash</x:v>
      </x:c>
      <x:c r="J133" s="30" t="str">
        <x:v>8090114cd0568850d9122b099fa4ae92f9e559aff3aa2155438a702a6f861075</x:v>
      </x:c>
      <x:c r="K133" s="30" t="str">
        <x:v>acda5e8f00cd3e12059f40330bd3824e4b319ca3c5cef25e875e821274c954ec</x:v>
      </x:c>
      <x:c r="L133" s="30" t="n">
        <x:v>665.41</x:v>
      </x:c>
      <x:c r="M133" s="30" t="str">
        <x:v>{"completion_tokens": 7, "prompt_tokens": 531, "total_tokens": 538, "completion_tokens_details": null, "prompt_tokens_details": {"audio_tokens": null, "cached_tokens": 512}, "prompt_cache_hit_tokens": 512, "prompt_cache_miss_tokens": 19}</x:v>
      </x:c>
      <x:c r="N133" s="30" t="str">
        <x:v>correct</x:v>
      </x:c>
      <x:c r="O133" s="30" t="str">
        <x:v>The model answer 'Tranquility and relaxation' captures the complete semantic content of the gold answer 'Entertainment that supports tranquility and relaxation' with only minor wording differences, conveying the same meaning without adding false or unsupported information.</x:v>
      </x:c>
      <x:c r="P133" s="30" t="str">
        <x:v>LongCat-2.0</x:v>
      </x:c>
      <x:c r="Q133" s="30" t="str">
        <x:v>LongCat-2.0</x:v>
      </x:c>
      <x:c r="R133" s="30" t="n">
        <x:v>1836.26</x:v>
      </x:c>
      <x:c r="S133" s="30" t="str">
        <x:v>{"completion_tokens": 58, "prompt_tokens": 152,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4">
      <x:c r="A134" s="30" t="str">
        <x:v>memos_long:1734</x:v>
      </x:c>
      <x:c r="B134" s="30" t="str">
        <x:v>long</x:v>
      </x:c>
      <x:c r="C134" s="30" t="str">
        <x:v>Multi-hop Inference</x:v>
      </x:c>
      <x:c r="D134" s="30" t="n">
        <x:v>1</x:v>
      </x:c>
      <x:c r="E134" s="30" t="str">
        <x:v>As of Mar 19, 2038, how has Susan Thompson's career focus changed since Jun 19, 2037?</x:v>
      </x:c>
      <x:c r="F134" s="30" t="str">
        <x:v>From Health Advocate to Strategic Wellness Planner.</x:v>
      </x:c>
      <x:c r="G134" s="30" t="str">
        <x:v>Strategic Wellness Planner</x:v>
      </x:c>
      <x:c r="H134" s="30" t="str">
        <x:v>deepseek-v4-flash</x:v>
      </x:c>
      <x:c r="I134" s="30" t="str">
        <x:v>deepseek-v4-flash</x:v>
      </x:c>
      <x:c r="J134" s="30" t="str">
        <x:v>cc1668b15ab95f9dbbb0c7e8bea00eed6ba01b055d5a44bd667c29097685fbb6</x:v>
      </x:c>
      <x:c r="K134" s="30" t="str">
        <x:v>2ba0f07ca9b560dd7d457dedb1ffcd1af7a577f611d85e6cc18ff2c8c196c866</x:v>
      </x:c>
      <x:c r="L134" s="30" t="n">
        <x:v>603.01</x:v>
      </x:c>
      <x:c r="M134" s="30" t="str">
        <x:v>{"completion_tokens": 3, "prompt_tokens": 603, "total_tokens": 606, "completion_tokens_details": null, "prompt_tokens_details": {"audio_tokens": null, "cached_tokens": 512}, "prompt_cache_hit_tokens": 512, "prompt_cache_miss_tokens": 91}</x:v>
      </x:c>
      <x:c r="N134" s="30" t="str">
        <x:v>omission</x:v>
      </x:c>
      <x:c r="O134" s="30" t="str">
        <x:v>The gold answer describes a career change from 'Health Advocate' to 'Strategic Wellness Planner', capturing both the starting and ending roles. The model answer only provides 'Strategic Wellness Planner', which is an incomplete subset of the gold answer and omits the prior role of 'Health Advocate'.</x:v>
      </x:c>
      <x:c r="P134" s="30" t="str">
        <x:v>LongCat-2.0</x:v>
      </x:c>
      <x:c r="Q134" s="30" t="str">
        <x:v>LongCat-2.0</x:v>
      </x:c>
      <x:c r="R134" s="30" t="n">
        <x:v>2831.12</x:v>
      </x:c>
      <x:c r="S134" s="30" t="str">
        <x:v>{"completion_tokens": 74, "prompt_tokens": 167, "total_tokens": 241,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35">
      <x:c r="A135" s="30" t="str">
        <x:v>memos_long:1734</x:v>
      </x:c>
      <x:c r="B135" s="30" t="str">
        <x:v>long</x:v>
      </x:c>
      <x:c r="C135" s="30" t="str">
        <x:v>Multi-hop Inference</x:v>
      </x:c>
      <x:c r="D135" s="30" t="n">
        <x:v>2</x:v>
      </x:c>
      <x:c r="E135" s="30" t="str">
        <x:v>As of Mar 19, 2038, how has Susan Thompson's career focus changed since Jun 19, 2037?</x:v>
      </x:c>
      <x:c r="F135" s="30" t="str">
        <x:v>From Health Advocate to Strategic Wellness Planner.</x:v>
      </x:c>
      <x:c r="G135" s="30" t="str">
        <x:v>Strategic Wellness Planner</x:v>
      </x:c>
      <x:c r="H135" s="30" t="str">
        <x:v>deepseek-v4-flash</x:v>
      </x:c>
      <x:c r="I135" s="30" t="str">
        <x:v>deepseek-v4-flash</x:v>
      </x:c>
      <x:c r="J135" s="30" t="str">
        <x:v>cc1668b15ab95f9dbbb0c7e8bea00eed6ba01b055d5a44bd667c29097685fbb6</x:v>
      </x:c>
      <x:c r="K135" s="30" t="str">
        <x:v>2ba0f07ca9b560dd7d457dedb1ffcd1af7a577f611d85e6cc18ff2c8c196c866</x:v>
      </x:c>
      <x:c r="L135" s="30" t="n">
        <x:v>667.36</x:v>
      </x:c>
      <x:c r="M135" s="30" t="str">
        <x:v>{"completion_tokens": 3, "prompt_tokens": 603, "total_tokens": 606, "completion_tokens_details": null, "prompt_tokens_details": {"audio_tokens": null, "cached_tokens": 512}, "prompt_cache_hit_tokens": 512, "prompt_cache_miss_tokens": 91}</x:v>
      </x:c>
      <x:c r="N135" s="30" t="str">
        <x:v>omission</x:v>
      </x:c>
      <x:c r="O135" s="30" t="str">
        <x:v>The gold answer specifies a career change from 'Health Advocate' to 'Strategic Wellness Planner', capturing both the starting and ending roles. The model answer only provides the ending role ('Strategic Wellness Planner') without mentioning the prior role, making it an incomplete subset of the gold answer.</x:v>
      </x:c>
      <x:c r="P135" s="30" t="str">
        <x:v>LongCat-2.0</x:v>
      </x:c>
      <x:c r="Q135" s="30" t="str">
        <x:v>LongCat-2.0</x:v>
      </x:c>
      <x:c r="R135" s="30" t="n">
        <x:v>7370.95</x:v>
      </x:c>
      <x:c r="S135" s="30" t="str">
        <x:v>{"completion_tokens": 73, "prompt_tokens": 167,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6">
      <x:c r="A136" s="30" t="str">
        <x:v>memos_long:1734</x:v>
      </x:c>
      <x:c r="B136" s="30" t="str">
        <x:v>long</x:v>
      </x:c>
      <x:c r="C136" s="30" t="str">
        <x:v>Multi-hop Inference</x:v>
      </x:c>
      <x:c r="D136" s="30" t="n">
        <x:v>3</x:v>
      </x:c>
      <x:c r="E136" s="30" t="str">
        <x:v>As of Mar 19, 2038, how has Susan Thompson's career focus changed since Jun 19, 2037?</x:v>
      </x:c>
      <x:c r="F136" s="30" t="str">
        <x:v>From Health Advocate to Strategic Wellness Planner.</x:v>
      </x:c>
      <x:c r="G136" s="30" t="str">
        <x:v>Strategic Wellness Planner</x:v>
      </x:c>
      <x:c r="H136" s="30" t="str">
        <x:v>deepseek-v4-flash</x:v>
      </x:c>
      <x:c r="I136" s="30" t="str">
        <x:v>deepseek-v4-flash</x:v>
      </x:c>
      <x:c r="J136" s="30" t="str">
        <x:v>cc1668b15ab95f9dbbb0c7e8bea00eed6ba01b055d5a44bd667c29097685fbb6</x:v>
      </x:c>
      <x:c r="K136" s="30" t="str">
        <x:v>2ba0f07ca9b560dd7d457dedb1ffcd1af7a577f611d85e6cc18ff2c8c196c866</x:v>
      </x:c>
      <x:c r="L136" s="30" t="n">
        <x:v>806.58</x:v>
      </x:c>
      <x:c r="M136" s="30" t="str">
        <x:v>{"completion_tokens": 3, "prompt_tokens": 603, "total_tokens": 606, "completion_tokens_details": null, "prompt_tokens_details": {"audio_tokens": null, "cached_tokens": 512}, "prompt_cache_hit_tokens": 512, "prompt_cache_miss_tokens": 91}</x:v>
      </x:c>
      <x:c r="N136" s="30" t="str">
        <x:v>omission</x:v>
      </x:c>
      <x:c r="O136" s="30" t="str">
        <x:v>The gold answer describes a career change from 'Health Advocate' to 'Strategic Wellness Planner', capturing both the starting and ending roles. The model answer only provides the ending role ('Strategic Wellness Planner') without mentioning the prior role ('Health Advocate'), making it an incomplete subset of the gold answer.</x:v>
      </x:c>
      <x:c r="P136" s="30" t="str">
        <x:v>LongCat-2.0</x:v>
      </x:c>
      <x:c r="Q136" s="30" t="str">
        <x:v>LongCat-2.0</x:v>
      </x:c>
      <x:c r="R136" s="30" t="n">
        <x:v>6962.04</x:v>
      </x:c>
      <x:c r="S136" s="30" t="str">
        <x:v>{"completion_tokens": 76, "prompt_tokens": 167,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7">
      <x:c r="A137" s="30" t="str">
        <x:v>memos_long:1752</x:v>
      </x:c>
      <x:c r="B137" s="30" t="str">
        <x:v>long</x:v>
      </x:c>
      <x:c r="C137" s="30" t="str">
        <x:v>Basic Fact Recall</x:v>
      </x:c>
      <x:c r="D137" s="30" t="n">
        <x:v>1</x:v>
      </x:c>
      <x:c r="E137" s="30" t="str">
        <x:v>What activity does Susan Thompson find soothing as of May 22, 2039?</x:v>
      </x:c>
      <x:c r="F137" s="30" t="str">
        <x:v>Observing her fish swim.</x:v>
      </x:c>
      <x:c r="G137" s="30" t="str">
        <x:v>Observing her fish swim.</x:v>
      </x:c>
      <x:c r="H137" s="30" t="str">
        <x:v>deepseek-v4-flash</x:v>
      </x:c>
      <x:c r="I137" s="30" t="str">
        <x:v>deepseek-v4-flash</x:v>
      </x:c>
      <x:c r="J137" s="30" t="str">
        <x:v>0abe28201aedd1bce6c2733ffeb0f08ccbb84ba18d1829b61ff8db96cf70b605</x:v>
      </x:c>
      <x:c r="K137" s="30" t="str">
        <x:v>731e897eb0a4ba296a81614ee196564bf4572b48df204f62339635063f73472f</x:v>
      </x:c>
      <x:c r="L137" s="30" t="n">
        <x:v>871.16</x:v>
      </x:c>
      <x:c r="M137" s="30" t="str">
        <x:v>{"completion_tokens": 6, "prompt_tokens": 534, "total_tokens": 540, "completion_tokens_details": null, "prompt_tokens_details": {"audio_tokens": null, "cached_tokens": 512}, "prompt_cache_hit_tokens": 512, "prompt_cache_miss_tokens": 22}</x:v>
      </x:c>
      <x:c r="N137" s="30" t="str">
        <x:v>correct</x:v>
      </x:c>
      <x:c r="O137" s="30" t="str">
        <x:v>The model answer exactly matches the gold answer, providing the complete and correct information.</x:v>
      </x:c>
      <x:c r="P137" s="30" t="str">
        <x:v>LongCat-2.0</x:v>
      </x:c>
      <x:c r="Q137" s="30" t="str">
        <x:v>LongCat-2.0</x:v>
      </x:c>
      <x:c r="R137" s="30" t="n">
        <x:v>2032.61</x:v>
      </x:c>
      <x:c r="S137" s="30" t="str">
        <x:v>{"completion_tokens": 27, "prompt_tokens": 149, "total_tokens": 176,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38">
      <x:c r="A138" s="30" t="str">
        <x:v>memos_long:1752</x:v>
      </x:c>
      <x:c r="B138" s="30" t="str">
        <x:v>long</x:v>
      </x:c>
      <x:c r="C138" s="30" t="str">
        <x:v>Basic Fact Recall</x:v>
      </x:c>
      <x:c r="D138" s="30" t="n">
        <x:v>2</x:v>
      </x:c>
      <x:c r="E138" s="30" t="str">
        <x:v>What activity does Susan Thompson find soothing as of May 22, 2039?</x:v>
      </x:c>
      <x:c r="F138" s="30" t="str">
        <x:v>Observing her fish swim.</x:v>
      </x:c>
      <x:c r="G138" s="30" t="str">
        <x:v>Observing her fish swim.</x:v>
      </x:c>
      <x:c r="H138" s="30" t="str">
        <x:v>deepseek-v4-flash</x:v>
      </x:c>
      <x:c r="I138" s="30" t="str">
        <x:v>deepseek-v4-flash</x:v>
      </x:c>
      <x:c r="J138" s="30" t="str">
        <x:v>0abe28201aedd1bce6c2733ffeb0f08ccbb84ba18d1829b61ff8db96cf70b605</x:v>
      </x:c>
      <x:c r="K138" s="30" t="str">
        <x:v>731e897eb0a4ba296a81614ee196564bf4572b48df204f62339635063f73472f</x:v>
      </x:c>
      <x:c r="L138" s="30" t="n">
        <x:v>868.05</x:v>
      </x:c>
      <x:c r="M138" s="30" t="str">
        <x:v>{"completion_tokens": 6, "prompt_tokens": 534, "total_tokens": 540, "completion_tokens_details": null, "prompt_tokens_details": {"audio_tokens": null, "cached_tokens": 512}, "prompt_cache_hit_tokens": 512, "prompt_cache_miss_tokens": 22}</x:v>
      </x:c>
      <x:c r="N138" s="30" t="str">
        <x:v>correct</x:v>
      </x:c>
      <x:c r="O138" s="30" t="str">
        <x:v>The model answer exactly matches the gold answer, providing the complete and correct information.</x:v>
      </x:c>
      <x:c r="P138" s="30" t="str">
        <x:v>LongCat-2.0</x:v>
      </x:c>
      <x:c r="Q138" s="30" t="str">
        <x:v>LongCat-2.0</x:v>
      </x:c>
      <x:c r="R138" s="30" t="n">
        <x:v>1638.45</x:v>
      </x:c>
      <x:c r="S138" s="30" t="str">
        <x:v>{"completion_tokens": 27, "prompt_tokens": 149, "total_tokens": 176,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39">
      <x:c r="A139" s="30" t="str">
        <x:v>memos_long:1752</x:v>
      </x:c>
      <x:c r="B139" s="30" t="str">
        <x:v>long</x:v>
      </x:c>
      <x:c r="C139" s="30" t="str">
        <x:v>Basic Fact Recall</x:v>
      </x:c>
      <x:c r="D139" s="30" t="n">
        <x:v>3</x:v>
      </x:c>
      <x:c r="E139" s="30" t="str">
        <x:v>What activity does Susan Thompson find soothing as of May 22, 2039?</x:v>
      </x:c>
      <x:c r="F139" s="30" t="str">
        <x:v>Observing her fish swim.</x:v>
      </x:c>
      <x:c r="G139" s="30" t="str">
        <x:v>Observing her fish swim.</x:v>
      </x:c>
      <x:c r="H139" s="30" t="str">
        <x:v>deepseek-v4-flash</x:v>
      </x:c>
      <x:c r="I139" s="30" t="str">
        <x:v>deepseek-v4-flash</x:v>
      </x:c>
      <x:c r="J139" s="30" t="str">
        <x:v>0abe28201aedd1bce6c2733ffeb0f08ccbb84ba18d1829b61ff8db96cf70b605</x:v>
      </x:c>
      <x:c r="K139" s="30" t="str">
        <x:v>731e897eb0a4ba296a81614ee196564bf4572b48df204f62339635063f73472f</x:v>
      </x:c>
      <x:c r="L139" s="30" t="n">
        <x:v>710.49</x:v>
      </x:c>
      <x:c r="M139" s="30" t="str">
        <x:v>{"completion_tokens": 6, "prompt_tokens": 534, "total_tokens": 540, "completion_tokens_details": null, "prompt_tokens_details": {"audio_tokens": null, "cached_tokens": 512}, "prompt_cache_hit_tokens": 512, "prompt_cache_miss_tokens": 22}</x:v>
      </x:c>
      <x:c r="N139" s="30" t="str">
        <x:v>correct</x:v>
      </x:c>
      <x:c r="O139" s="30" t="str">
        <x:v>The model answer exactly matches the gold answer, providing the complete and correct information.</x:v>
      </x:c>
      <x:c r="P139" s="30" t="str">
        <x:v>LongCat-2.0</x:v>
      </x:c>
      <x:c r="Q139" s="30" t="str">
        <x:v>LongCat-2.0</x:v>
      </x:c>
      <x:c r="R139" s="30" t="n">
        <x:v>1892.35</x:v>
      </x:c>
      <x:c r="S139" s="30" t="str">
        <x:v>{"completion_tokens": 27, "prompt_tokens": 149, "total_tokens": 176,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0">
      <x:c r="A140" s="30" t="str">
        <x:v>memos_long:1756</x:v>
      </x:c>
      <x:c r="B140" s="30" t="str">
        <x:v>long</x:v>
      </x:c>
      <x:c r="C140" s="30" t="str">
        <x:v>Multi-hop Inference</x:v>
      </x:c>
      <x:c r="D140" s="30" t="n">
        <x:v>1</x:v>
      </x:c>
      <x:c r="E140" s="30" t="str">
        <x:v>How did Susan Thompson's salary increase influence her ability to inspire others in the wellness sector?</x:v>
      </x:c>
      <x:c r="F140" s="30" t="str">
        <x:v>It enhanced her capacity to support other women.</x:v>
      </x:c>
      <x:c r="G140" s="30" t="str">
        <x:v>Enhanced her ability to inspire.</x:v>
      </x:c>
      <x:c r="H140" s="30" t="str">
        <x:v>deepseek-v4-flash</x:v>
      </x:c>
      <x:c r="I140" s="30" t="str">
        <x:v>deepseek-v4-flash</x:v>
      </x:c>
      <x:c r="J140" s="30" t="str">
        <x:v>e2bb45e9fa68f3b9262f011d9de8630a8877584f7fdbe836d57da17c79381778</x:v>
      </x:c>
      <x:c r="K140" s="30" t="str">
        <x:v>e0cf8933f65fae0e6edf91c3a0cbc9995e0978beea429176c359af3ac889b76b</x:v>
      </x:c>
      <x:c r="L140" s="30" t="n">
        <x:v>614.58</x:v>
      </x:c>
      <x:c r="M140" s="30" t="str">
        <x:v>{"completion_tokens": 6, "prompt_tokens": 605, "total_tokens": 611, "completion_tokens_details": null, "prompt_tokens_details": {"audio_tokens": null, "cached_tokens": 512}, "prompt_cache_hit_tokens": 512, "prompt_cache_miss_tokens": 93}</x:v>
      </x:c>
      <x:c r="N140" s="30" t="str">
        <x:v>omission</x:v>
      </x:c>
      <x:c r="O140" s="30" t="str">
        <x:v>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x:v>
      </x:c>
      <x:c r="P140" s="30" t="str">
        <x:v>LongCat-2.0</x:v>
      </x:c>
      <x:c r="Q140" s="30" t="str">
        <x:v>LongCat-2.0</x:v>
      </x:c>
      <x:c r="R140" s="30" t="n">
        <x:v>3577.18</x:v>
      </x:c>
      <x:c r="S140" s="30" t="str">
        <x:v>{"completion_tokens": 70, "prompt_tokens": 151, "total_tokens": 221,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41">
      <x:c r="A141" s="30" t="str">
        <x:v>memos_long:1756</x:v>
      </x:c>
      <x:c r="B141" s="30" t="str">
        <x:v>long</x:v>
      </x:c>
      <x:c r="C141" s="30" t="str">
        <x:v>Multi-hop Inference</x:v>
      </x:c>
      <x:c r="D141" s="30" t="n">
        <x:v>2</x:v>
      </x:c>
      <x:c r="E141" s="30" t="str">
        <x:v>How did Susan Thompson's salary increase influence her ability to inspire others in the wellness sector?</x:v>
      </x:c>
      <x:c r="F141" s="30" t="str">
        <x:v>It enhanced her capacity to support other women.</x:v>
      </x:c>
      <x:c r="G141" s="30" t="str">
        <x:v>Enhanced her ability to inspire.</x:v>
      </x:c>
      <x:c r="H141" s="30" t="str">
        <x:v>deepseek-v4-flash</x:v>
      </x:c>
      <x:c r="I141" s="30" t="str">
        <x:v>deepseek-v4-flash</x:v>
      </x:c>
      <x:c r="J141" s="30" t="str">
        <x:v>e2bb45e9fa68f3b9262f011d9de8630a8877584f7fdbe836d57da17c79381778</x:v>
      </x:c>
      <x:c r="K141" s="30" t="str">
        <x:v>e0cf8933f65fae0e6edf91c3a0cbc9995e0978beea429176c359af3ac889b76b</x:v>
      </x:c>
      <x:c r="L141" s="30" t="n">
        <x:v>1023.52</x:v>
      </x:c>
      <x:c r="M141" s="30" t="str">
        <x:v>{"completion_tokens": 6, "prompt_tokens": 605, "total_tokens": 611, "completion_tokens_details": null, "prompt_tokens_details": {"audio_tokens": null, "cached_tokens": 512}, "prompt_cache_hit_tokens": 512, "prompt_cache_miss_tokens": 93}</x:v>
      </x:c>
      <x:c r="N141" s="30" t="str">
        <x:v>omission</x:v>
      </x:c>
      <x:c r="O141" s="30" t="str">
        <x:v>The model answer 'Enhanced her ability to inspire' captures part of the gold answer but omits the specific detail about 'other women' and the nature of the support, making it an incomplete subset of the gold answer.</x:v>
      </x:c>
      <x:c r="P141" s="30" t="str">
        <x:v>LongCat-2.0</x:v>
      </x:c>
      <x:c r="Q141" s="30" t="str">
        <x:v>LongCat-2.0</x:v>
      </x:c>
      <x:c r="R141" s="30" t="n">
        <x:v>2236.9</x:v>
      </x:c>
      <x:c r="S141" s="30" t="str">
        <x:v>{"completion_tokens": 57, "prompt_tokens": 151,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2">
      <x:c r="A142" s="30" t="str">
        <x:v>memos_long:1756</x:v>
      </x:c>
      <x:c r="B142" s="30" t="str">
        <x:v>long</x:v>
      </x:c>
      <x:c r="C142" s="30" t="str">
        <x:v>Multi-hop Inference</x:v>
      </x:c>
      <x:c r="D142" s="30" t="n">
        <x:v>3</x:v>
      </x:c>
      <x:c r="E142" s="30" t="str">
        <x:v>How did Susan Thompson's salary increase influence her ability to inspire others in the wellness sector?</x:v>
      </x:c>
      <x:c r="F142" s="30" t="str">
        <x:v>It enhanced her capacity to support other women.</x:v>
      </x:c>
      <x:c r="G142" s="30" t="str">
        <x:v>Enhanced her ability to inspire.</x:v>
      </x:c>
      <x:c r="H142" s="30" t="str">
        <x:v>deepseek-v4-flash</x:v>
      </x:c>
      <x:c r="I142" s="30" t="str">
        <x:v>deepseek-v4-flash</x:v>
      </x:c>
      <x:c r="J142" s="30" t="str">
        <x:v>e2bb45e9fa68f3b9262f011d9de8630a8877584f7fdbe836d57da17c79381778</x:v>
      </x:c>
      <x:c r="K142" s="30" t="str">
        <x:v>e0cf8933f65fae0e6edf91c3a0cbc9995e0978beea429176c359af3ac889b76b</x:v>
      </x:c>
      <x:c r="L142" s="30" t="n">
        <x:v>765.69</x:v>
      </x:c>
      <x:c r="M142" s="30" t="str">
        <x:v>{"completion_tokens": 6, "prompt_tokens": 605, "total_tokens": 611, "completion_tokens_details": null, "prompt_tokens_details": {"audio_tokens": null, "cached_tokens": 512}, "prompt_cache_hit_tokens": 512, "prompt_cache_miss_tokens": 93}</x:v>
      </x:c>
      <x:c r="N142" s="30" t="str">
        <x:v>omission</x:v>
      </x:c>
      <x:c r="O142" s="30" t="str">
        <x:v>The model answer 'Enhanced her ability to inspire' is incomplete compared to the gold answer 'It enhanced her capacity to support other women.' The model omits the specific target group 'other women' and the specific action 'support,' providing only a vague subset of the gold answer without adding false claims.</x:v>
      </x:c>
      <x:c r="P142" s="30" t="str">
        <x:v>LongCat-2.0</x:v>
      </x:c>
      <x:c r="Q142" s="30" t="str">
        <x:v>LongCat-2.0</x:v>
      </x:c>
      <x:c r="R142" s="30" t="n">
        <x:v>2370.26</x:v>
      </x:c>
      <x:c r="S142" s="30" t="str">
        <x:v>{"completion_tokens": 73, "prompt_tokens": 151,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3">
      <x:c r="A143" s="30" t="str">
        <x:v>memos_long:179</x:v>
      </x:c>
      <x:c r="B143" s="30" t="str">
        <x:v>long</x:v>
      </x:c>
      <x:c r="C143" s="30" t="str">
        <x:v>Multi-hop Inference</x:v>
      </x:c>
      <x:c r="D143" s="30" t="n">
        <x:v>1</x:v>
      </x:c>
      <x:c r="E143" s="30" t="str">
        <x:v>How did Johnson Joseph's promotion impact his career and finances after Dec 21, 2025?</x:v>
      </x:c>
      <x:c r="F143" s="30" t="str">
        <x:v>Increased income and savings.</x:v>
      </x:c>
      <x:c r="G143" s="30" t="str">
        <x:v>Income increased to 4500 USD.</x:v>
      </x:c>
      <x:c r="H143" s="30" t="str">
        <x:v>deepseek-v4-flash</x:v>
      </x:c>
      <x:c r="I143" s="30" t="str">
        <x:v>deepseek-v4-flash</x:v>
      </x:c>
      <x:c r="J143" s="30" t="str">
        <x:v>f814937de4be95a387975398de8982ad395d806b827b3550079775b06d42c4ef</x:v>
      </x:c>
      <x:c r="K143" s="30" t="str">
        <x:v>bba8d16100094fcaed5d266b3cc9dd4a1a0dc8961fb7234d3938add1a36a9d9d</x:v>
      </x:c>
      <x:c r="L143" s="30" t="n">
        <x:v>684.62</x:v>
      </x:c>
      <x:c r="M143" s="30" t="str">
        <x:v>{"completion_tokens": 8, "prompt_tokens": 616, "total_tokens": 624, "completion_tokens_details": null, "prompt_tokens_details": {"audio_tokens": null, "cached_tokens": 512}, "prompt_cache_hit_tokens": 512, "prompt_cache_miss_tokens": 104}</x:v>
      </x:c>
      <x:c r="N143" s="30" t="str">
        <x:v>omission</x:v>
      </x:c>
      <x:c r="O143" s="30" t="str">
        <x:v>The gold answer states that Johnson Joseph's promotion led to increased income and savings. The model answer only mentions the income increase to 4500 USD but omits the savings component, providing only an incomplete subset of the gold answer.</x:v>
      </x:c>
      <x:c r="P143" s="30" t="str">
        <x:v>LongCat-2.0</x:v>
      </x:c>
      <x:c r="Q143" s="30" t="str">
        <x:v>LongCat-2.0</x:v>
      </x:c>
      <x:c r="R143" s="30" t="n">
        <x:v>5666.85</x:v>
      </x:c>
      <x:c r="S143" s="30" t="str">
        <x:v>{"completion_tokens": 60, "prompt_tokens": 156,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44">
      <x:c r="A144" s="30" t="str">
        <x:v>memos_long:179</x:v>
      </x:c>
      <x:c r="B144" s="30" t="str">
        <x:v>long</x:v>
      </x:c>
      <x:c r="C144" s="30" t="str">
        <x:v>Multi-hop Inference</x:v>
      </x:c>
      <x:c r="D144" s="30" t="n">
        <x:v>2</x:v>
      </x:c>
      <x:c r="E144" s="30" t="str">
        <x:v>How did Johnson Joseph's promotion impact his career and finances after Dec 21, 2025?</x:v>
      </x:c>
      <x:c r="F144" s="30" t="str">
        <x:v>Increased income and savings.</x:v>
      </x:c>
      <x:c r="G144" s="30" t="str">
        <x:v>Income increased to 4500 USD.</x:v>
      </x:c>
      <x:c r="H144" s="30" t="str">
        <x:v>deepseek-v4-flash</x:v>
      </x:c>
      <x:c r="I144" s="30" t="str">
        <x:v>deepseek-v4-flash</x:v>
      </x:c>
      <x:c r="J144" s="30" t="str">
        <x:v>f814937de4be95a387975398de8982ad395d806b827b3550079775b06d42c4ef</x:v>
      </x:c>
      <x:c r="K144" s="30" t="str">
        <x:v>bba8d16100094fcaed5d266b3cc9dd4a1a0dc8961fb7234d3938add1a36a9d9d</x:v>
      </x:c>
      <x:c r="L144" s="30" t="n">
        <x:v>913.45</x:v>
      </x:c>
      <x:c r="M144" s="30" t="str">
        <x:v>{"completion_tokens": 8, "prompt_tokens": 616, "total_tokens": 624, "completion_tokens_details": null, "prompt_tokens_details": {"audio_tokens": null, "cached_tokens": 512}, "prompt_cache_hit_tokens": 512, "prompt_cache_miss_tokens": 104}</x:v>
      </x:c>
      <x:c r="N144" s="30" t="str">
        <x:v>omission</x:v>
      </x:c>
      <x:c r="O144" s="30" t="str">
        <x:v>The gold answer states that Johnson Joseph's promotion increased both his income and savings. The model answer only mentions the income increase to 4500 USD but omits any mention of savings, providing only an incomplete subset of the gold answer.</x:v>
      </x:c>
      <x:c r="P144" s="30" t="str">
        <x:v>LongCat-2.0</x:v>
      </x:c>
      <x:c r="Q144" s="30" t="str">
        <x:v>LongCat-2.0</x:v>
      </x:c>
      <x:c r="R144" s="30" t="n">
        <x:v>2804.18</x:v>
      </x:c>
      <x:c r="S144" s="30" t="str">
        <x:v>{"completion_tokens": 61, "prompt_tokens": 156,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5">
      <x:c r="A145" s="30" t="str">
        <x:v>memos_long:179</x:v>
      </x:c>
      <x:c r="B145" s="30" t="str">
        <x:v>long</x:v>
      </x:c>
      <x:c r="C145" s="30" t="str">
        <x:v>Multi-hop Inference</x:v>
      </x:c>
      <x:c r="D145" s="30" t="n">
        <x:v>3</x:v>
      </x:c>
      <x:c r="E145" s="30" t="str">
        <x:v>How did Johnson Joseph's promotion impact his career and finances after Dec 21, 2025?</x:v>
      </x:c>
      <x:c r="F145" s="30" t="str">
        <x:v>Increased income and savings.</x:v>
      </x:c>
      <x:c r="G145" s="30" t="str">
        <x:v>Income increased to 4500 USD.</x:v>
      </x:c>
      <x:c r="H145" s="30" t="str">
        <x:v>deepseek-v4-flash</x:v>
      </x:c>
      <x:c r="I145" s="30" t="str">
        <x:v>deepseek-v4-flash</x:v>
      </x:c>
      <x:c r="J145" s="30" t="str">
        <x:v>f814937de4be95a387975398de8982ad395d806b827b3550079775b06d42c4ef</x:v>
      </x:c>
      <x:c r="K145" s="30" t="str">
        <x:v>bba8d16100094fcaed5d266b3cc9dd4a1a0dc8961fb7234d3938add1a36a9d9d</x:v>
      </x:c>
      <x:c r="L145" s="30" t="n">
        <x:v>922.61</x:v>
      </x:c>
      <x:c r="M145" s="30" t="str">
        <x:v>{"completion_tokens": 8, "prompt_tokens": 616, "total_tokens": 624, "completion_tokens_details": null, "prompt_tokens_details": {"audio_tokens": null, "cached_tokens": 512}, "prompt_cache_hit_tokens": 512, "prompt_cache_miss_tokens": 104}</x:v>
      </x:c>
      <x:c r="N145" s="30" t="str">
        <x:v>omission</x:v>
      </x:c>
      <x:c r="O145" s="30" t="str">
        <x:v>The gold answer states that Johnson Joseph's promotion led to increased income and savings. The model answer only mentions income increasing to 4500 USD but completely omits the savings component, providing only an incomplete subset of the gold answer.</x:v>
      </x:c>
      <x:c r="P145" s="30" t="str">
        <x:v>LongCat-2.0</x:v>
      </x:c>
      <x:c r="Q145" s="30" t="str">
        <x:v>LongCat-2.0</x:v>
      </x:c>
      <x:c r="R145" s="30" t="n">
        <x:v>2513.09</x:v>
      </x:c>
      <x:c r="S145" s="30" t="str">
        <x:v>{"completion_tokens": 60, "prompt_tokens": 156,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6">
      <x:c r="A146" s="30" t="str">
        <x:v>memos_long:1802</x:v>
      </x:c>
      <x:c r="B146" s="30" t="str">
        <x:v>long</x:v>
      </x:c>
      <x:c r="C146" s="30" t="str">
        <x:v>Basic Fact Recall</x:v>
      </x:c>
      <x:c r="D146" s="30" t="n">
        <x:v>1</x:v>
      </x:c>
      <x:c r="E146" s="30" t="str">
        <x:v>Who is the leader of the local support group that provides advice to Michelle Hernandez?</x:v>
      </x:c>
      <x:c r="F146" s="30" t="str">
        <x:v>Alex Johnson</x:v>
      </x:c>
      <x:c r="G146" s="30" t="str">
        <x:v>Alex Johnson</x:v>
      </x:c>
      <x:c r="H146" s="30" t="str">
        <x:v>deepseek-v4-flash</x:v>
      </x:c>
      <x:c r="I146" s="30" t="str">
        <x:v>deepseek-v4-flash</x:v>
      </x:c>
      <x:c r="J146" s="30" t="str">
        <x:v>86a18ec7822c8089f21a23a4d70fb1a7020eb48a3c306093fbde8c853d08aee3</x:v>
      </x:c>
      <x:c r="K146" s="30" t="str">
        <x:v>7389aca9635e9e15e55f20f1f15a969e548e86b2ba4676679be97b6a34a21a49</x:v>
      </x:c>
      <x:c r="L146" s="30" t="n">
        <x:v>530.68</x:v>
      </x:c>
      <x:c r="M146" s="30" t="str">
        <x:v>{"completion_tokens": 2, "prompt_tokens": 537, "total_tokens": 539, "completion_tokens_details": null, "prompt_tokens_details": {"audio_tokens": null, "cached_tokens": 512}, "prompt_cache_hit_tokens": 512, "prompt_cache_miss_tokens": 25}</x:v>
      </x:c>
      <x:c r="N146" s="30" t="str">
        <x:v>correct</x:v>
      </x:c>
      <x:c r="O146" s="30" t="str">
        <x:v>The model answer 'Alex Johnson' exactly matches the benchmark gold answer, providing the complete and correct name of the leader of the local support group.</x:v>
      </x:c>
      <x:c r="P146" s="30" t="str">
        <x:v>LongCat-2.0</x:v>
      </x:c>
      <x:c r="Q146" s="30" t="str">
        <x:v>LongCat-2.0</x:v>
      </x:c>
      <x:c r="R146" s="30" t="n">
        <x:v>2313.3</x:v>
      </x:c>
      <x:c r="S146" s="30" t="str">
        <x:v>{"completion_tokens": 40, "prompt_tokens": 139, "total_tokens": 179,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47">
      <x:c r="A147" s="30" t="str">
        <x:v>memos_long:1802</x:v>
      </x:c>
      <x:c r="B147" s="30" t="str">
        <x:v>long</x:v>
      </x:c>
      <x:c r="C147" s="30" t="str">
        <x:v>Basic Fact Recall</x:v>
      </x:c>
      <x:c r="D147" s="30" t="n">
        <x:v>2</x:v>
      </x:c>
      <x:c r="E147" s="30" t="str">
        <x:v>Who is the leader of the local support group that provides advice to Michelle Hernandez?</x:v>
      </x:c>
      <x:c r="F147" s="30" t="str">
        <x:v>Alex Johnson</x:v>
      </x:c>
      <x:c r="G147" s="30" t="str">
        <x:v>Alex Johnson</x:v>
      </x:c>
      <x:c r="H147" s="30" t="str">
        <x:v>deepseek-v4-flash</x:v>
      </x:c>
      <x:c r="I147" s="30" t="str">
        <x:v>deepseek-v4-flash</x:v>
      </x:c>
      <x:c r="J147" s="30" t="str">
        <x:v>86a18ec7822c8089f21a23a4d70fb1a7020eb48a3c306093fbde8c853d08aee3</x:v>
      </x:c>
      <x:c r="K147" s="30" t="str">
        <x:v>7389aca9635e9e15e55f20f1f15a969e548e86b2ba4676679be97b6a34a21a49</x:v>
      </x:c>
      <x:c r="L147" s="30" t="n">
        <x:v>714.02</x:v>
      </x:c>
      <x:c r="M147" s="30" t="str">
        <x:v>{"completion_tokens": 2, "prompt_tokens": 537, "total_tokens": 539, "completion_tokens_details": null, "prompt_tokens_details": {"audio_tokens": null, "cached_tokens": 512}, "prompt_cache_hit_tokens": 512, "prompt_cache_miss_tokens": 25}</x:v>
      </x:c>
      <x:c r="N147" s="30" t="str">
        <x:v>correct</x:v>
      </x:c>
      <x:c r="O147" s="30" t="str">
        <x:v>The model answer 'Alex Johnson' exactly matches the benchmark gold answer, providing the complete and correct name of the leader of the local support group.</x:v>
      </x:c>
      <x:c r="P147" s="30" t="str">
        <x:v>LongCat-2.0</x:v>
      </x:c>
      <x:c r="Q147" s="30" t="str">
        <x:v>LongCat-2.0</x:v>
      </x:c>
      <x:c r="R147" s="30" t="n">
        <x:v>2429.84</x:v>
      </x:c>
      <x:c r="S147" s="30" t="str">
        <x:v>{"completion_tokens": 40, "prompt_tokens": 139,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8">
      <x:c r="A148" s="30" t="str">
        <x:v>memos_long:1802</x:v>
      </x:c>
      <x:c r="B148" s="30" t="str">
        <x:v>long</x:v>
      </x:c>
      <x:c r="C148" s="30" t="str">
        <x:v>Basic Fact Recall</x:v>
      </x:c>
      <x:c r="D148" s="30" t="n">
        <x:v>3</x:v>
      </x:c>
      <x:c r="E148" s="30" t="str">
        <x:v>Who is the leader of the local support group that provides advice to Michelle Hernandez?</x:v>
      </x:c>
      <x:c r="F148" s="30" t="str">
        <x:v>Alex Johnson</x:v>
      </x:c>
      <x:c r="G148" s="30" t="str">
        <x:v>Alex Johnson</x:v>
      </x:c>
      <x:c r="H148" s="30" t="str">
        <x:v>deepseek-v4-flash</x:v>
      </x:c>
      <x:c r="I148" s="30" t="str">
        <x:v>deepseek-v4-flash</x:v>
      </x:c>
      <x:c r="J148" s="30" t="str">
        <x:v>86a18ec7822c8089f21a23a4d70fb1a7020eb48a3c306093fbde8c853d08aee3</x:v>
      </x:c>
      <x:c r="K148" s="30" t="str">
        <x:v>7389aca9635e9e15e55f20f1f15a969e548e86b2ba4676679be97b6a34a21a49</x:v>
      </x:c>
      <x:c r="L148" s="30" t="n">
        <x:v>769.26</x:v>
      </x:c>
      <x:c r="M148" s="30" t="str">
        <x:v>{"completion_tokens": 2, "prompt_tokens": 537, "total_tokens": 539, "completion_tokens_details": null, "prompt_tokens_details": {"audio_tokens": null, "cached_tokens": 512}, "prompt_cache_hit_tokens": 512, "prompt_cache_miss_tokens": 25}</x:v>
      </x:c>
      <x:c r="N148" s="30" t="str">
        <x:v>correct</x:v>
      </x:c>
      <x:c r="O148" s="30" t="str">
        <x:v>The model answer 'Alex Johnson' exactly matches the benchmark gold answer, providing the complete and correct name of the leader of the local support group.</x:v>
      </x:c>
      <x:c r="P148" s="30" t="str">
        <x:v>LongCat-2.0</x:v>
      </x:c>
      <x:c r="Q148" s="30" t="str">
        <x:v>LongCat-2.0</x:v>
      </x:c>
      <x:c r="R148" s="30" t="n">
        <x:v>2677.27</x:v>
      </x:c>
      <x:c r="S148" s="30" t="str">
        <x:v>{"completion_tokens": 40, "prompt_tokens": 139,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49">
      <x:c r="A149" s="30" t="str">
        <x:v>memos_long:1828</x:v>
      </x:c>
      <x:c r="B149" s="30" t="str">
        <x:v>long</x:v>
      </x:c>
      <x:c r="C149" s="30" t="str">
        <x:v>Generalization &amp; Application</x:v>
      </x:c>
      <x:c r="D149" s="30" t="n">
        <x:v>1</x:v>
      </x:c>
      <x:c r="E149" s="30" t="str">
        <x:v>What type of AI-driven strategy games would be suitable for Michelle Hernandez after June 18, 2030?</x:v>
      </x:c>
      <x:c r="F149" s="30" t="str">
        <x:v>Games that challenge analytical skills and offer emotional engagement.</x:v>
      </x:c>
      <x:c r="G149" s="30" t="str">
        <x:v>Games challenging analytical skills.</x:v>
      </x:c>
      <x:c r="H149" s="30" t="str">
        <x:v>deepseek-v4-flash</x:v>
      </x:c>
      <x:c r="I149" s="30" t="str">
        <x:v>deepseek-v4-flash</x:v>
      </x:c>
      <x:c r="J149" s="30" t="str">
        <x:v>77142ad6c24e55c3a26c8a5456b2e7f8839878480b2865ef6ba04e86bb847044</x:v>
      </x:c>
      <x:c r="K149" s="30" t="str">
        <x:v>22b869471796a1997295c6ac92c6e6533d17659a9eefaf790264c8f60a317ec9</x:v>
      </x:c>
      <x:c r="L149" s="30" t="n">
        <x:v>775.6</x:v>
      </x:c>
      <x:c r="M149" s="30" t="str">
        <x:v>{"completion_tokens": 5, "prompt_tokens": 577, "total_tokens": 582, "completion_tokens_details": null, "prompt_tokens_details": {"audio_tokens": null, "cached_tokens": 512}, "prompt_cache_hit_tokens": 512, "prompt_cache_miss_tokens": 65}</x:v>
      </x:c>
      <x:c r="N149" s="30" t="str">
        <x:v>omission</x:v>
      </x:c>
      <x:c r="O149" s="30" t="str">
        <x:v>The model answer only mentions 'Games challenging analytical skills,' which is an incomplete subset of the gold answer. The gold answer also includes 'offer emotional engagement,' which the model answer omits without adding any concrete false claim.</x:v>
      </x:c>
      <x:c r="P149" s="30" t="str">
        <x:v>LongCat-2.0</x:v>
      </x:c>
      <x:c r="Q149" s="30" t="str">
        <x:v>LongCat-2.0</x:v>
      </x:c>
      <x:c r="R149" s="30" t="n">
        <x:v>2321.07</x:v>
      </x:c>
      <x:c r="S149" s="30" t="str">
        <x:v>{"completion_tokens": 56, "prompt_tokens": 157,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0">
      <x:c r="A150" s="30" t="str">
        <x:v>memos_long:1828</x:v>
      </x:c>
      <x:c r="B150" s="30" t="str">
        <x:v>long</x:v>
      </x:c>
      <x:c r="C150" s="30" t="str">
        <x:v>Generalization &amp; Application</x:v>
      </x:c>
      <x:c r="D150" s="30" t="n">
        <x:v>2</x:v>
      </x:c>
      <x:c r="E150" s="30" t="str">
        <x:v>What type of AI-driven strategy games would be suitable for Michelle Hernandez after June 18, 2030?</x:v>
      </x:c>
      <x:c r="F150" s="30" t="str">
        <x:v>Games that challenge analytical skills and offer emotional engagement.</x:v>
      </x:c>
      <x:c r="G150" s="30" t="str">
        <x:v>Games challenging analytical skills.</x:v>
      </x:c>
      <x:c r="H150" s="30" t="str">
        <x:v>deepseek-v4-flash</x:v>
      </x:c>
      <x:c r="I150" s="30" t="str">
        <x:v>deepseek-v4-flash</x:v>
      </x:c>
      <x:c r="J150" s="30" t="str">
        <x:v>77142ad6c24e55c3a26c8a5456b2e7f8839878480b2865ef6ba04e86bb847044</x:v>
      </x:c>
      <x:c r="K150" s="30" t="str">
        <x:v>22b869471796a1997295c6ac92c6e6533d17659a9eefaf790264c8f60a317ec9</x:v>
      </x:c>
      <x:c r="L150" s="30" t="n">
        <x:v>753.66</x:v>
      </x:c>
      <x:c r="M150" s="30" t="str">
        <x:v>{"completion_tokens": 5, "prompt_tokens": 577, "total_tokens": 582, "completion_tokens_details": null, "prompt_tokens_details": {"audio_tokens": null, "cached_tokens": 512}, "prompt_cache_hit_tokens": 512, "prompt_cache_miss_tokens": 65}</x:v>
      </x:c>
      <x:c r="N150" s="30" t="str">
        <x:v>omission</x:v>
      </x:c>
      <x:c r="O150" s="30" t="str">
        <x:v>The model answer only mentions 'Games challenging analytical skills,' which is an incomplete subset of the gold answer. The gold answer also includes 'offer emotional engagement,' which the model answer omits without adding any concrete false claim.</x:v>
      </x:c>
      <x:c r="P150" s="30" t="str">
        <x:v>LongCat-2.0</x:v>
      </x:c>
      <x:c r="Q150" s="30" t="str">
        <x:v>LongCat-2.0</x:v>
      </x:c>
      <x:c r="R150" s="30" t="n">
        <x:v>2009.34</x:v>
      </x:c>
      <x:c r="S150" s="30" t="str">
        <x:v>{"completion_tokens": 56, "prompt_tokens": 157,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1">
      <x:c r="A151" s="30" t="str">
        <x:v>memos_long:1828</x:v>
      </x:c>
      <x:c r="B151" s="30" t="str">
        <x:v>long</x:v>
      </x:c>
      <x:c r="C151" s="30" t="str">
        <x:v>Generalization &amp; Application</x:v>
      </x:c>
      <x:c r="D151" s="30" t="n">
        <x:v>3</x:v>
      </x:c>
      <x:c r="E151" s="30" t="str">
        <x:v>What type of AI-driven strategy games would be suitable for Michelle Hernandez after June 18, 2030?</x:v>
      </x:c>
      <x:c r="F151" s="30" t="str">
        <x:v>Games that challenge analytical skills and offer emotional engagement.</x:v>
      </x:c>
      <x:c r="G151" s="30" t="str">
        <x:v>Games challenging analytical skills.</x:v>
      </x:c>
      <x:c r="H151" s="30" t="str">
        <x:v>deepseek-v4-flash</x:v>
      </x:c>
      <x:c r="I151" s="30" t="str">
        <x:v>deepseek-v4-flash</x:v>
      </x:c>
      <x:c r="J151" s="30" t="str">
        <x:v>77142ad6c24e55c3a26c8a5456b2e7f8839878480b2865ef6ba04e86bb847044</x:v>
      </x:c>
      <x:c r="K151" s="30" t="str">
        <x:v>22b869471796a1997295c6ac92c6e6533d17659a9eefaf790264c8f60a317ec9</x:v>
      </x:c>
      <x:c r="L151" s="30" t="n">
        <x:v>609.62</x:v>
      </x:c>
      <x:c r="M151" s="30" t="str">
        <x:v>{"completion_tokens": 5, "prompt_tokens": 577, "total_tokens": 582, "completion_tokens_details": null, "prompt_tokens_details": {"audio_tokens": null, "cached_tokens": 512}, "prompt_cache_hit_tokens": 512, "prompt_cache_miss_tokens": 65}</x:v>
      </x:c>
      <x:c r="N151" s="30" t="str">
        <x:v>omission</x:v>
      </x:c>
      <x:c r="O151" s="30" t="str">
        <x:v>The model answer only mentions 'Games challenging analytical skills,' which is an incomplete subset of the gold answer. The gold answer also includes 'offer emotional engagement,' which the model answer omits without adding any concrete false claim.</x:v>
      </x:c>
      <x:c r="P151" s="30" t="str">
        <x:v>LongCat-2.0</x:v>
      </x:c>
      <x:c r="Q151" s="30" t="str">
        <x:v>LongCat-2.0</x:v>
      </x:c>
      <x:c r="R151" s="30" t="n">
        <x:v>2231.86</x:v>
      </x:c>
      <x:c r="S151" s="30" t="str">
        <x:v>{"completion_tokens": 56, "prompt_tokens": 157,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52">
      <x:c r="A152" s="30" t="str">
        <x:v>memos_long:1833</x:v>
      </x:c>
      <x:c r="B152" s="30" t="str">
        <x:v>long</x:v>
      </x:c>
      <x:c r="C152" s="30" t="str">
        <x:v>Generalization &amp; Application</x:v>
      </x:c>
      <x:c r="D152" s="30" t="n">
        <x:v>1</x:v>
      </x:c>
      <x:c r="E152" s="30" t="str">
        <x:v>What new beverage might Michelle consider if she wants to continue her health-conscious lifestyle?</x:v>
      </x:c>
      <x:c r="F152" s="30" t="str">
        <x:v>Michelle might consider herbal teas.</x:v>
      </x:c>
      <x:c r="G152" s="30" t="str">
        <x:v>Flavored sparkling water</x:v>
      </x:c>
      <x:c r="H152" s="30" t="str">
        <x:v>deepseek-v4-flash</x:v>
      </x:c>
      <x:c r="I152" s="30" t="str">
        <x:v>deepseek-v4-flash</x:v>
      </x:c>
      <x:c r="J152" s="30" t="str">
        <x:v>43db8429aca762524d701530717789d4a444e912e225a3f5141e8958e8f3b083</x:v>
      </x:c>
      <x:c r="K152" s="30" t="str">
        <x:v>bba59693d4e866839e9b3ea09882fd17877b2196f0d0f710ae54fbdea8c45db2</x:v>
      </x:c>
      <x:c r="L152" s="30" t="n">
        <x:v>753.66</x:v>
      </x:c>
      <x:c r="M152" s="30" t="str">
        <x:v>{"completion_tokens": 5, "prompt_tokens": 558, "total_tokens": 563, "completion_tokens_details": null, "prompt_tokens_details": {"audio_tokens": null, "cached_tokens": 512}, "prompt_cache_hit_tokens": 512, "prompt_cache_miss_tokens": 46}</x:v>
      </x:c>
      <x:c r="N152" s="30" t="str">
        <x:v>hallucination</x:v>
      </x:c>
      <x:c r="O152" s="30" t="str">
        <x:v>The gold answer specifies herbal teas as the new beverage Michelle might consider. The model answer provides 'Flavored sparkling water,' which is a concrete, specific beverage that contradicts the gold answer and is not supported by it.</x:v>
      </x:c>
      <x:c r="P152" s="30" t="str">
        <x:v>LongCat-2.0</x:v>
      </x:c>
      <x:c r="Q152" s="30" t="str">
        <x:v>LongCat-2.0</x:v>
      </x:c>
      <x:c r="R152" s="30" t="n">
        <x:v>2611.26</x:v>
      </x:c>
      <x:c r="S152" s="30" t="str">
        <x:v>{"completion_tokens": 57, "prompt_tokens": 145,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3">
      <x:c r="A153" s="30" t="str">
        <x:v>memos_long:1833</x:v>
      </x:c>
      <x:c r="B153" s="30" t="str">
        <x:v>long</x:v>
      </x:c>
      <x:c r="C153" s="30" t="str">
        <x:v>Generalization &amp; Application</x:v>
      </x:c>
      <x:c r="D153" s="30" t="n">
        <x:v>2</x:v>
      </x:c>
      <x:c r="E153" s="30" t="str">
        <x:v>What new beverage might Michelle consider if she wants to continue her health-conscious lifestyle?</x:v>
      </x:c>
      <x:c r="F153" s="30" t="str">
        <x:v>Michelle might consider herbal teas.</x:v>
      </x:c>
      <x:c r="G153" s="30" t="str">
        <x:v>Flavored sparkling water</x:v>
      </x:c>
      <x:c r="H153" s="30" t="str">
        <x:v>deepseek-v4-flash</x:v>
      </x:c>
      <x:c r="I153" s="30" t="str">
        <x:v>deepseek-v4-flash</x:v>
      </x:c>
      <x:c r="J153" s="30" t="str">
        <x:v>43db8429aca762524d701530717789d4a444e912e225a3f5141e8958e8f3b083</x:v>
      </x:c>
      <x:c r="K153" s="30" t="str">
        <x:v>bba59693d4e866839e9b3ea09882fd17877b2196f0d0f710ae54fbdea8c45db2</x:v>
      </x:c>
      <x:c r="L153" s="30" t="n">
        <x:v>595.38</x:v>
      </x:c>
      <x:c r="M153" s="30" t="str">
        <x:v>{"completion_tokens": 5, "prompt_tokens": 558, "total_tokens": 563, "completion_tokens_details": null, "prompt_tokens_details": {"audio_tokens": null, "cached_tokens": 512}, "prompt_cache_hit_tokens": 512, "prompt_cache_miss_tokens": 46}</x:v>
      </x:c>
      <x:c r="N153" s="30" t="str">
        <x:v>hallucination</x:v>
      </x:c>
      <x:c r="O153" s="30" t="str">
        <x:v>The gold answer specifies herbal teas as the new beverage Michelle might consider. The model answer provides 'Flavored sparkling water,' which is a concrete, specific beverage that contradicts the gold answer and is not supported by it.</x:v>
      </x:c>
      <x:c r="P153" s="30" t="str">
        <x:v>LongCat-2.0</x:v>
      </x:c>
      <x:c r="Q153" s="30" t="str">
        <x:v>LongCat-2.0</x:v>
      </x:c>
      <x:c r="R153" s="30" t="n">
        <x:v>2395.67</x:v>
      </x:c>
      <x:c r="S153" s="30" t="str">
        <x:v>{"completion_tokens": 57, "prompt_tokens": 145,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54">
      <x:c r="A154" s="30" t="str">
        <x:v>memos_long:1833</x:v>
      </x:c>
      <x:c r="B154" s="30" t="str">
        <x:v>long</x:v>
      </x:c>
      <x:c r="C154" s="30" t="str">
        <x:v>Generalization &amp; Application</x:v>
      </x:c>
      <x:c r="D154" s="30" t="n">
        <x:v>3</x:v>
      </x:c>
      <x:c r="E154" s="30" t="str">
        <x:v>What new beverage might Michelle consider if she wants to continue her health-conscious lifestyle?</x:v>
      </x:c>
      <x:c r="F154" s="30" t="str">
        <x:v>Michelle might consider herbal teas.</x:v>
      </x:c>
      <x:c r="G154" s="30" t="str">
        <x:v>Flavored sparkling water</x:v>
      </x:c>
      <x:c r="H154" s="30" t="str">
        <x:v>deepseek-v4-flash</x:v>
      </x:c>
      <x:c r="I154" s="30" t="str">
        <x:v>deepseek-v4-flash</x:v>
      </x:c>
      <x:c r="J154" s="30" t="str">
        <x:v>43db8429aca762524d701530717789d4a444e912e225a3f5141e8958e8f3b083</x:v>
      </x:c>
      <x:c r="K154" s="30" t="str">
        <x:v>bba59693d4e866839e9b3ea09882fd17877b2196f0d0f710ae54fbdea8c45db2</x:v>
      </x:c>
      <x:c r="L154" s="30" t="n">
        <x:v>821.86</x:v>
      </x:c>
      <x:c r="M154" s="30" t="str">
        <x:v>{"completion_tokens": 5, "prompt_tokens": 558, "total_tokens": 563, "completion_tokens_details": null, "prompt_tokens_details": {"audio_tokens": null, "cached_tokens": 512}, "prompt_cache_hit_tokens": 512, "prompt_cache_miss_tokens": 46}</x:v>
      </x:c>
      <x:c r="N154" s="30" t="str">
        <x:v>hallucination</x:v>
      </x:c>
      <x:c r="O154" s="30" t="str">
        <x:v>The gold answer specifies herbal teas as the new beverage Michelle might consider. The model answer provides 'flavored sparkling water,' which is a concrete, specific beverage that is not supported by or equivalent to the gold answer, making it a hallucination.</x:v>
      </x:c>
      <x:c r="P154" s="30" t="str">
        <x:v>LongCat-2.0</x:v>
      </x:c>
      <x:c r="Q154" s="30" t="str">
        <x:v>LongCat-2.0</x:v>
      </x:c>
      <x:c r="R154" s="30" t="n">
        <x:v>2680.08</x:v>
      </x:c>
      <x:c r="S154" s="30" t="str">
        <x:v>{"completion_tokens": 63, "prompt_tokens": 145,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5">
      <x:c r="A155" s="30" t="str">
        <x:v>memos_long:1852</x:v>
      </x:c>
      <x:c r="B155" s="30" t="str">
        <x:v>long</x:v>
      </x:c>
      <x:c r="C155" s="30" t="str">
        <x:v>Generalization &amp; Application</x:v>
      </x:c>
      <x:c r="D155" s="30" t="n">
        <x:v>1</x:v>
      </x:c>
      <x:c r="E155" s="30" t="str">
        <x:v>What other health-conscious lifestyle choices might Michelle Hernandez explore based on her preferences as of 2033-03-16?</x:v>
      </x:c>
      <x:c r="F155" s="30" t="str">
        <x:v>Michelle might explore organic foods or yoga.</x:v>
      </x:c>
      <x:c r="G155" s="30" t="str">
        <x:v>Natural flavored sparkling water.</x:v>
      </x:c>
      <x:c r="H155" s="30" t="str">
        <x:v>deepseek-v4-flash</x:v>
      </x:c>
      <x:c r="I155" s="30" t="str">
        <x:v>deepseek-v4-flash</x:v>
      </x:c>
      <x:c r="J155" s="30" t="str">
        <x:v>dba8bc33bae7a6964adc2126f07f71aedf29e6dce11f621cc889345eee7a0183</x:v>
      </x:c>
      <x:c r="K155" s="30" t="str">
        <x:v>abc82c64bb8db0b11dc341e7fb2594ca60a4d20b36ca6cb63c9b73aa5b41b5f9</x:v>
      </x:c>
      <x:c r="L155" s="30" t="n">
        <x:v>605.78</x:v>
      </x:c>
      <x:c r="M155" s="30" t="str">
        <x:v>{"completion_tokens": 6, "prompt_tokens": 603, "total_tokens": 609, "completion_tokens_details": null, "prompt_tokens_details": {"audio_tokens": null, "cached_tokens": 512}, "prompt_cache_hit_tokens": 512, "prompt_cache_miss_tokens": 91}</x:v>
      </x:c>
      <x:c r="N155" s="30" t="str">
        <x:v>hallucination</x:v>
      </x:c>
      <x:c r="O155" s="30" t="str">
        <x:v>The gold answer suggests Michelle might explore organic foods or yoga. The model answer 'Natural flavored sparkling water' is a concrete claim that is not supported by or semantically equivalent to the gold answer, and it introduces unsupported material not present in the gold answer.</x:v>
      </x:c>
      <x:c r="P155" s="30" t="str">
        <x:v>LongCat-2.0</x:v>
      </x:c>
      <x:c r="Q155" s="30" t="str">
        <x:v>LongCat-2.0</x:v>
      </x:c>
      <x:c r="R155" s="30" t="n">
        <x:v>3022.81</x:v>
      </x:c>
      <x:c r="S155" s="30" t="str">
        <x:v>{"completion_tokens": 65, "prompt_tokens": 159,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56">
      <x:c r="A156" s="30" t="str">
        <x:v>memos_long:1852</x:v>
      </x:c>
      <x:c r="B156" s="30" t="str">
        <x:v>long</x:v>
      </x:c>
      <x:c r="C156" s="30" t="str">
        <x:v>Generalization &amp; Application</x:v>
      </x:c>
      <x:c r="D156" s="30" t="n">
        <x:v>2</x:v>
      </x:c>
      <x:c r="E156" s="30" t="str">
        <x:v>What other health-conscious lifestyle choices might Michelle Hernandez explore based on her preferences as of 2033-03-16?</x:v>
      </x:c>
      <x:c r="F156" s="30" t="str">
        <x:v>Michelle might explore organic foods or yoga.</x:v>
      </x:c>
      <x:c r="G156" s="30" t="str">
        <x:v>Natural flavored sparkling water.</x:v>
      </x:c>
      <x:c r="H156" s="30" t="str">
        <x:v>deepseek-v4-flash</x:v>
      </x:c>
      <x:c r="I156" s="30" t="str">
        <x:v>deepseek-v4-flash</x:v>
      </x:c>
      <x:c r="J156" s="30" t="str">
        <x:v>dba8bc33bae7a6964adc2126f07f71aedf29e6dce11f621cc889345eee7a0183</x:v>
      </x:c>
      <x:c r="K156" s="30" t="str">
        <x:v>abc82c64bb8db0b11dc341e7fb2594ca60a4d20b36ca6cb63c9b73aa5b41b5f9</x:v>
      </x:c>
      <x:c r="L156" s="30" t="n">
        <x:v>673.35</x:v>
      </x:c>
      <x:c r="M156" s="30" t="str">
        <x:v>{"completion_tokens": 6, "prompt_tokens": 603, "total_tokens": 609, "completion_tokens_details": null, "prompt_tokens_details": {"audio_tokens": null, "cached_tokens": 512}, "prompt_cache_hit_tokens": 512, "prompt_cache_miss_tokens": 91}</x:v>
      </x:c>
      <x:c r="N156" s="30" t="str">
        <x:v>omission</x:v>
      </x:c>
      <x:c r="O156" s="30" t="str">
        <x:v>The model answer 'Natural flavored sparkling water' does not include any part of the gold answer (organic foods or yoga). It provides a different concrete suggestion that is not supported by the gold answer, but since it does not contradict the gold answer and simply offers an unrelated alternative, it is best classified as an omission of the expected answer rather than a direct hallucination against it.</x:v>
      </x:c>
      <x:c r="P156" s="30" t="str">
        <x:v>LongCat-2.0</x:v>
      </x:c>
      <x:c r="Q156" s="30" t="str">
        <x:v>LongCat-2.0</x:v>
      </x:c>
      <x:c r="R156" s="30" t="n">
        <x:v>3851.49</x:v>
      </x:c>
      <x:c r="S156" s="30" t="str">
        <x:v>{"completion_tokens": 88, "prompt_tokens": 159, "total_tokens": 247,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7">
      <x:c r="A157" s="30" t="str">
        <x:v>memos_long:1852</x:v>
      </x:c>
      <x:c r="B157" s="30" t="str">
        <x:v>long</x:v>
      </x:c>
      <x:c r="C157" s="30" t="str">
        <x:v>Generalization &amp; Application</x:v>
      </x:c>
      <x:c r="D157" s="30" t="n">
        <x:v>3</x:v>
      </x:c>
      <x:c r="E157" s="30" t="str">
        <x:v>What other health-conscious lifestyle choices might Michelle Hernandez explore based on her preferences as of 2033-03-16?</x:v>
      </x:c>
      <x:c r="F157" s="30" t="str">
        <x:v>Michelle might explore organic foods or yoga.</x:v>
      </x:c>
      <x:c r="G157" s="30" t="str">
        <x:v>Natural flavored sparkling water.</x:v>
      </x:c>
      <x:c r="H157" s="30" t="str">
        <x:v>deepseek-v4-flash</x:v>
      </x:c>
      <x:c r="I157" s="30" t="str">
        <x:v>deepseek-v4-flash</x:v>
      </x:c>
      <x:c r="J157" s="30" t="str">
        <x:v>dba8bc33bae7a6964adc2126f07f71aedf29e6dce11f621cc889345eee7a0183</x:v>
      </x:c>
      <x:c r="K157" s="30" t="str">
        <x:v>abc82c64bb8db0b11dc341e7fb2594ca60a4d20b36ca6cb63c9b73aa5b41b5f9</x:v>
      </x:c>
      <x:c r="L157" s="30" t="n">
        <x:v>625.81</x:v>
      </x:c>
      <x:c r="M157" s="30" t="str">
        <x:v>{"completion_tokens": 6, "prompt_tokens": 603, "total_tokens": 609, "completion_tokens_details": null, "prompt_tokens_details": {"audio_tokens": null, "cached_tokens": 512}, "prompt_cache_hit_tokens": 512, "prompt_cache_miss_tokens": 91}</x:v>
      </x:c>
      <x:c r="N157" s="30" t="str">
        <x:v>hallucination</x:v>
      </x:c>
      <x:c r="O157" s="30" t="str">
        <x:v>The model answer 'Natural flavored sparkling water' is a concrete health-related suggestion that is not supported by or present in the gold answer, which only mentions 'organic foods or yoga'. Since the model provided a specific, unsupported claim rather than the correct options, it constitutes a hallucination.</x:v>
      </x:c>
      <x:c r="P157" s="30" t="str">
        <x:v>LongCat-2.0</x:v>
      </x:c>
      <x:c r="Q157" s="30" t="str">
        <x:v>LongCat-2.0</x:v>
      </x:c>
      <x:c r="R157" s="30" t="n">
        <x:v>3119.26</x:v>
      </x:c>
      <x:c r="S157" s="30" t="str">
        <x:v>{"completion_tokens": 71, "prompt_tokens": 159,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58">
      <x:c r="A158" s="30" t="str">
        <x:v>memos_long:1865</x:v>
      </x:c>
      <x:c r="B158" s="30" t="str">
        <x:v>long</x:v>
      </x:c>
      <x:c r="C158" s="30" t="str">
        <x:v>Generalization &amp; Application</x:v>
      </x:c>
      <x:c r="D158" s="30" t="n">
        <x:v>1</x:v>
      </x:c>
      <x:c r="E158" s="30" t="str">
        <x:v>How can Michelle's belief in AI's potential impact her leadership style in 2034?</x:v>
      </x:c>
      <x:c r="F158" s="30" t="str">
        <x:v>It drives optimism and visionary planning.</x:v>
      </x:c>
      <x:c r="G158" s="30" t="str">
        <x:v>Optimistic and transformative.</x:v>
      </x:c>
      <x:c r="H158" s="30" t="str">
        <x:v>deepseek-v4-flash</x:v>
      </x:c>
      <x:c r="I158" s="30" t="str">
        <x:v>deepseek-v4-flash</x:v>
      </x:c>
      <x:c r="J158" s="30" t="str">
        <x:v>e7c1ea309f6945ff389f14d2394809554123709a6c20735cfe3697a59ed2fc84</x:v>
      </x:c>
      <x:c r="K158" s="30" t="str">
        <x:v>0956e91632b0fb1b887af61ff7217b4d0ffd79227ec0c7fcb5b916970625adcb</x:v>
      </x:c>
      <x:c r="L158" s="30" t="n">
        <x:v>627.98</x:v>
      </x:c>
      <x:c r="M158" s="30" t="str">
        <x:v>{"completion_tokens": 5, "prompt_tokens": 584, "total_tokens": 589, "completion_tokens_details": null, "prompt_tokens_details": {"audio_tokens": null, "cached_tokens": 512}, "prompt_cache_hit_tokens": 512, "prompt_cache_miss_tokens": 72}</x:v>
      </x:c>
      <x:c r="N158" s="30" t="str">
        <x:v>correct</x:v>
      </x:c>
      <x:c r="O158"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or forward-looking change. The wording differs but the semantics are complete and aligned.</x:v>
      </x:c>
      <x:c r="P158" s="30" t="str">
        <x:v>LongCat-2.0</x:v>
      </x:c>
      <x:c r="Q158" s="30" t="str">
        <x:v>LongCat-2.0</x:v>
      </x:c>
      <x:c r="R158" s="30" t="n">
        <x:v>2801.71</x:v>
      </x:c>
      <x:c r="S158" s="30" t="str">
        <x:v>{"completion_tokens": 86, "prompt_tokens": 151,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59">
      <x:c r="A159" s="30" t="str">
        <x:v>memos_long:1865</x:v>
      </x:c>
      <x:c r="B159" s="30" t="str">
        <x:v>long</x:v>
      </x:c>
      <x:c r="C159" s="30" t="str">
        <x:v>Generalization &amp; Application</x:v>
      </x:c>
      <x:c r="D159" s="30" t="n">
        <x:v>2</x:v>
      </x:c>
      <x:c r="E159" s="30" t="str">
        <x:v>How can Michelle's belief in AI's potential impact her leadership style in 2034?</x:v>
      </x:c>
      <x:c r="F159" s="30" t="str">
        <x:v>It drives optimism and visionary planning.</x:v>
      </x:c>
      <x:c r="G159" s="30" t="str">
        <x:v>Optimistic and transformative.</x:v>
      </x:c>
      <x:c r="H159" s="30" t="str">
        <x:v>deepseek-v4-flash</x:v>
      </x:c>
      <x:c r="I159" s="30" t="str">
        <x:v>deepseek-v4-flash</x:v>
      </x:c>
      <x:c r="J159" s="30" t="str">
        <x:v>e7c1ea309f6945ff389f14d2394809554123709a6c20735cfe3697a59ed2fc84</x:v>
      </x:c>
      <x:c r="K159" s="30" t="str">
        <x:v>0956e91632b0fb1b887af61ff7217b4d0ffd79227ec0c7fcb5b916970625adcb</x:v>
      </x:c>
      <x:c r="L159" s="30" t="n">
        <x:v>662</x:v>
      </x:c>
      <x:c r="M159" s="30" t="str">
        <x:v>{"completion_tokens": 5, "prompt_tokens": 584, "total_tokens": 589, "completion_tokens_details": null, "prompt_tokens_details": {"audio_tokens": null, "cached_tokens": 512}, "prompt_cache_hit_tokens": 512, "prompt_cache_miss_tokens": 72}</x:v>
      </x:c>
      <x:c r="N159" s="30" t="str">
        <x:v>correct</x:v>
      </x:c>
      <x:c r="O159"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P159" s="30" t="str">
        <x:v>LongCat-2.0</x:v>
      </x:c>
      <x:c r="Q159" s="30" t="str">
        <x:v>LongCat-2.0</x:v>
      </x:c>
      <x:c r="R159" s="30" t="n">
        <x:v>3161.95</x:v>
      </x:c>
      <x:c r="S159" s="30" t="str">
        <x:v>{"completion_tokens": 83, "prompt_tokens": 151,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0">
      <x:c r="A160" s="30" t="str">
        <x:v>memos_long:1865</x:v>
      </x:c>
      <x:c r="B160" s="30" t="str">
        <x:v>long</x:v>
      </x:c>
      <x:c r="C160" s="30" t="str">
        <x:v>Generalization &amp; Application</x:v>
      </x:c>
      <x:c r="D160" s="30" t="n">
        <x:v>3</x:v>
      </x:c>
      <x:c r="E160" s="30" t="str">
        <x:v>How can Michelle's belief in AI's potential impact her leadership style in 2034?</x:v>
      </x:c>
      <x:c r="F160" s="30" t="str">
        <x:v>It drives optimism and visionary planning.</x:v>
      </x:c>
      <x:c r="G160" s="30" t="str">
        <x:v>Optimistic and transformative.</x:v>
      </x:c>
      <x:c r="H160" s="30" t="str">
        <x:v>deepseek-v4-flash</x:v>
      </x:c>
      <x:c r="I160" s="30" t="str">
        <x:v>deepseek-v4-flash</x:v>
      </x:c>
      <x:c r="J160" s="30" t="str">
        <x:v>e7c1ea309f6945ff389f14d2394809554123709a6c20735cfe3697a59ed2fc84</x:v>
      </x:c>
      <x:c r="K160" s="30" t="str">
        <x:v>0956e91632b0fb1b887af61ff7217b4d0ffd79227ec0c7fcb5b916970625adcb</x:v>
      </x:c>
      <x:c r="L160" s="30" t="n">
        <x:v>726.5</x:v>
      </x:c>
      <x:c r="M160" s="30" t="str">
        <x:v>{"completion_tokens": 5, "prompt_tokens": 584, "total_tokens": 589, "completion_tokens_details": null, "prompt_tokens_details": {"audio_tokens": null, "cached_tokens": 512}, "prompt_cache_hit_tokens": 512, "prompt_cache_miss_tokens": 72}</x:v>
      </x:c>
      <x:c r="N160" s="30" t="str">
        <x:v>correct</x:v>
      </x:c>
      <x:c r="O160" s="30" t="str">
        <x:v>The model answer 'Optimistic and transformative' captures the core meaning of the gold answer 'It drives optimism and visionary planning.' 'Optimistic' directly corresponds to 'optimism,' and 'transformative' aligns with the forward-looking, change-oriented nature of 'visionary planning.' While more concise, the model answer semantically conveys the complete meaning of the gold answer without contradiction or unsupported claims.</x:v>
      </x:c>
      <x:c r="P160" s="30" t="str">
        <x:v>LongCat-2.0</x:v>
      </x:c>
      <x:c r="Q160" s="30" t="str">
        <x:v>LongCat-2.0</x:v>
      </x:c>
      <x:c r="R160" s="30" t="n">
        <x:v>3882.89</x:v>
      </x:c>
      <x:c r="S160" s="30" t="str">
        <x:v>{"completion_tokens": 93, "prompt_tokens": 151,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1">
      <x:c r="A161" s="30" t="str">
        <x:v>memos_long:1875</x:v>
      </x:c>
      <x:c r="B161" s="30" t="str">
        <x:v>long</x:v>
      </x:c>
      <x:c r="C161" s="30" t="str">
        <x:v>Generalization &amp; Application</x:v>
      </x:c>
      <x:c r="D161" s="30" t="n">
        <x:v>1</x:v>
      </x:c>
      <x:c r="E161" s="30" t="str">
        <x:v>What movie genres could Michelle explore to enhance her analytical skills as of Dec 13, 2035?</x:v>
      </x:c>
      <x:c r="F161" s="30" t="str">
        <x:v>Genres with fresh narratives and intellectual challenges.</x:v>
      </x:c>
      <x:c r="G161" s="30" t="str">
        <x:v>Fresh, intellectually challenging narratives.</x:v>
      </x:c>
      <x:c r="H161" s="30" t="str">
        <x:v>deepseek-v4-flash</x:v>
      </x:c>
      <x:c r="I161" s="30" t="str">
        <x:v>deepseek-v4-flash</x:v>
      </x:c>
      <x:c r="J161" s="30" t="str">
        <x:v>165781019b47f89468f1960d8131ac92e0dc8d46c01f11edd41a8f7cdbd1af0a</x:v>
      </x:c>
      <x:c r="K161" s="30" t="str">
        <x:v>9d56ddb644ec5d566332c1b529400084fbbbed7162dea8990ad70249a69f1adb</x:v>
      </x:c>
      <x:c r="L161" s="30" t="n">
        <x:v>914.87</x:v>
      </x:c>
      <x:c r="M161" s="30" t="str">
        <x:v>{"completion_tokens": 6, "prompt_tokens": 600, "total_tokens": 606, "completion_tokens_details": null, "prompt_tokens_details": {"audio_tokens": null, "cached_tokens": 512}, "prompt_cache_hit_tokens": 512, "prompt_cache_miss_tokens": 88}</x:v>
      </x:c>
      <x:c r="N161" s="30" t="str">
        <x:v>correct</x:v>
      </x:c>
      <x:c r="O161" s="30" t="str">
        <x:v>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x:v>
      </x:c>
      <x:c r="P161" s="30" t="str">
        <x:v>LongCat-2.0</x:v>
      </x:c>
      <x:c r="Q161" s="30" t="str">
        <x:v>LongCat-2.0</x:v>
      </x:c>
      <x:c r="R161" s="30" t="n">
        <x:v>2747.66</x:v>
      </x:c>
      <x:c r="S161" s="30" t="str">
        <x:v>{"completion_tokens": 63, "prompt_tokens": 157,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62">
      <x:c r="A162" s="30" t="str">
        <x:v>memos_long:1875</x:v>
      </x:c>
      <x:c r="B162" s="30" t="str">
        <x:v>long</x:v>
      </x:c>
      <x:c r="C162" s="30" t="str">
        <x:v>Generalization &amp; Application</x:v>
      </x:c>
      <x:c r="D162" s="30" t="n">
        <x:v>2</x:v>
      </x:c>
      <x:c r="E162" s="30" t="str">
        <x:v>What movie genres could Michelle explore to enhance her analytical skills as of Dec 13, 2035?</x:v>
      </x:c>
      <x:c r="F162" s="30" t="str">
        <x:v>Genres with fresh narratives and intellectual challenges.</x:v>
      </x:c>
      <x:c r="G162" s="30" t="str">
        <x:v>Fresh, intellectually challenging narratives.</x:v>
      </x:c>
      <x:c r="H162" s="30" t="str">
        <x:v>deepseek-v4-flash</x:v>
      </x:c>
      <x:c r="I162" s="30" t="str">
        <x:v>deepseek-v4-flash</x:v>
      </x:c>
      <x:c r="J162" s="30" t="str">
        <x:v>165781019b47f89468f1960d8131ac92e0dc8d46c01f11edd41a8f7cdbd1af0a</x:v>
      </x:c>
      <x:c r="K162" s="30" t="str">
        <x:v>9d56ddb644ec5d566332c1b529400084fbbbed7162dea8990ad70249a69f1adb</x:v>
      </x:c>
      <x:c r="L162" s="30" t="n">
        <x:v>868.72</x:v>
      </x:c>
      <x:c r="M162" s="30" t="str">
        <x:v>{"completion_tokens": 6, "prompt_tokens": 600, "total_tokens": 606, "completion_tokens_details": null, "prompt_tokens_details": {"audio_tokens": null, "cached_tokens": 512}, "prompt_cache_hit_tokens": 512, "prompt_cache_miss_tokens": 88}</x:v>
      </x:c>
      <x:c r="N162" s="30" t="str">
        <x:v>correct</x:v>
      </x:c>
      <x:c r="O162" s="30" t="str">
        <x:v>The model answer 'Fresh, intellectually challenging narratives' captures the complete meaning of the gold answer 'Genres with fresh narratives and intellectual challenges.' Both convey the same core idea of seeking fresh and intellectually stimulating content, with only minor wording differences.</x:v>
      </x:c>
      <x:c r="P162" s="30" t="str">
        <x:v>LongCat-2.0</x:v>
      </x:c>
      <x:c r="Q162" s="30" t="str">
        <x:v>LongCat-2.0</x:v>
      </x:c>
      <x:c r="R162" s="30" t="n">
        <x:v>2783.54</x:v>
      </x:c>
      <x:c r="S162" s="30" t="str">
        <x:v>{"completion_tokens": 61, "prompt_tokens": 157,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3">
      <x:c r="A163" s="30" t="str">
        <x:v>memos_long:1875</x:v>
      </x:c>
      <x:c r="B163" s="30" t="str">
        <x:v>long</x:v>
      </x:c>
      <x:c r="C163" s="30" t="str">
        <x:v>Generalization &amp; Application</x:v>
      </x:c>
      <x:c r="D163" s="30" t="n">
        <x:v>3</x:v>
      </x:c>
      <x:c r="E163" s="30" t="str">
        <x:v>What movie genres could Michelle explore to enhance her analytical skills as of Dec 13, 2035?</x:v>
      </x:c>
      <x:c r="F163" s="30" t="str">
        <x:v>Genres with fresh narratives and intellectual challenges.</x:v>
      </x:c>
      <x:c r="G163" s="30" t="str">
        <x:v>Fresh, intellectually challenging narratives.</x:v>
      </x:c>
      <x:c r="H163" s="30" t="str">
        <x:v>deepseek-v4-flash</x:v>
      </x:c>
      <x:c r="I163" s="30" t="str">
        <x:v>deepseek-v4-flash</x:v>
      </x:c>
      <x:c r="J163" s="30" t="str">
        <x:v>165781019b47f89468f1960d8131ac92e0dc8d46c01f11edd41a8f7cdbd1af0a</x:v>
      </x:c>
      <x:c r="K163" s="30" t="str">
        <x:v>9d56ddb644ec5d566332c1b529400084fbbbed7162dea8990ad70249a69f1adb</x:v>
      </x:c>
      <x:c r="L163" s="30" t="n">
        <x:v>862.37</x:v>
      </x:c>
      <x:c r="M163" s="30" t="str">
        <x:v>{"completion_tokens": 6, "prompt_tokens": 600, "total_tokens": 606, "completion_tokens_details": null, "prompt_tokens_details": {"audio_tokens": null, "cached_tokens": 512}, "prompt_cache_hit_tokens": 512, "prompt_cache_miss_tokens": 88}</x:v>
      </x:c>
      <x:c r="N163" s="30" t="str">
        <x:v>correct</x:v>
      </x:c>
      <x:c r="O163" s="30" t="str">
        <x:v>The model answer 'Fresh, intellectually challenging narratives' semantically captures the complete meaning of the gold answer 'Genres with fresh narratives and intellectual challenges.' Both convey the same core idea of seeking fresh and intellectually stimulating content, with only minor wording differences.</x:v>
      </x:c>
      <x:c r="P163" s="30" t="str">
        <x:v>LongCat-2.0</x:v>
      </x:c>
      <x:c r="Q163" s="30" t="str">
        <x:v>LongCat-2.0</x:v>
      </x:c>
      <x:c r="R163" s="30" t="n">
        <x:v>2764.59</x:v>
      </x:c>
      <x:c r="S163" s="30" t="str">
        <x:v>{"completion_tokens": 63, "prompt_tokens": 157,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4">
      <x:c r="A164" s="30" t="str">
        <x:v>memos_long:1878</x:v>
      </x:c>
      <x:c r="B164" s="30" t="str">
        <x:v>long</x:v>
      </x:c>
      <x:c r="C164" s="30" t="str">
        <x:v>Multi-hop Inference</x:v>
      </x:c>
      <x:c r="D164" s="30" t="n">
        <x:v>1</x:v>
      </x:c>
      <x:c r="E164" s="30" t="str">
        <x:v>How did Michelle's promotion affect her monthly income by Feb 23, 2035?</x:v>
      </x:c>
      <x:c r="F164" s="30" t="str">
        <x:v>Increased to 12000.</x:v>
      </x:c>
      <x:c r="G164" s="30" t="str">
        <x:v>Increased to $12,000.</x:v>
      </x:c>
      <x:c r="H164" s="30" t="str">
        <x:v>deepseek-v4-flash</x:v>
      </x:c>
      <x:c r="I164" s="30" t="str">
        <x:v>deepseek-v4-flash</x:v>
      </x:c>
      <x:c r="J164" s="30" t="str">
        <x:v>19f96395551becb1e07b21cfe4c9230110cfbb7ed00f3d31275c48aab8752fae</x:v>
      </x:c>
      <x:c r="K164" s="30" t="str">
        <x:v>ef143f97ef230073a04e1e00a5992943265d387b2e99f589d58fda627cb1324c</x:v>
      </x:c>
      <x:c r="L164" s="30" t="n">
        <x:v>808.87</x:v>
      </x:c>
      <x:c r="M164" s="30" t="str">
        <x:v>{"completion_tokens": 7, "prompt_tokens": 575, "total_tokens": 582, "completion_tokens_details": null, "prompt_tokens_details": {"audio_tokens": null, "cached_tokens": 512}, "prompt_cache_hit_tokens": 512, "prompt_cache_miss_tokens": 63}</x:v>
      </x:c>
      <x:c r="N164" s="30" t="str">
        <x:v>correct</x:v>
      </x:c>
      <x:c r="O164" s="30" t="str">
        <x:v>The model answer states the income increased to $12,000, which is semantically identical to the gold answer of 12000. The only difference is the addition of a dollar sign and comma formatting, which does not change the meaning.</x:v>
      </x:c>
      <x:c r="P164" s="30" t="str">
        <x:v>LongCat-2.0</x:v>
      </x:c>
      <x:c r="Q164" s="30" t="str">
        <x:v>LongCat-2.0</x:v>
      </x:c>
      <x:c r="R164" s="30" t="n">
        <x:v>5109.84</x:v>
      </x:c>
      <x:c r="S164" s="30" t="str">
        <x:v>{"completion_tokens": 65, "prompt_tokens": 159,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5">
      <x:c r="A165" s="30" t="str">
        <x:v>memos_long:1878</x:v>
      </x:c>
      <x:c r="B165" s="30" t="str">
        <x:v>long</x:v>
      </x:c>
      <x:c r="C165" s="30" t="str">
        <x:v>Multi-hop Inference</x:v>
      </x:c>
      <x:c r="D165" s="30" t="n">
        <x:v>2</x:v>
      </x:c>
      <x:c r="E165" s="30" t="str">
        <x:v>How did Michelle's promotion affect her monthly income by Feb 23, 2035?</x:v>
      </x:c>
      <x:c r="F165" s="30" t="str">
        <x:v>Increased to 12000.</x:v>
      </x:c>
      <x:c r="G165" s="30" t="str">
        <x:v>Increased to $12,000.</x:v>
      </x:c>
      <x:c r="H165" s="30" t="str">
        <x:v>deepseek-v4-flash</x:v>
      </x:c>
      <x:c r="I165" s="30" t="str">
        <x:v>deepseek-v4-flash</x:v>
      </x:c>
      <x:c r="J165" s="30" t="str">
        <x:v>19f96395551becb1e07b21cfe4c9230110cfbb7ed00f3d31275c48aab8752fae</x:v>
      </x:c>
      <x:c r="K165" s="30" t="str">
        <x:v>ef143f97ef230073a04e1e00a5992943265d387b2e99f589d58fda627cb1324c</x:v>
      </x:c>
      <x:c r="L165" s="30" t="n">
        <x:v>613.95</x:v>
      </x:c>
      <x:c r="M165" s="30" t="str">
        <x:v>{"completion_tokens": 7, "prompt_tokens": 575, "total_tokens": 582, "completion_tokens_details": null, "prompt_tokens_details": {"audio_tokens": null, "cached_tokens": 512}, "prompt_cache_hit_tokens": 512, "prompt_cache_miss_tokens": 63}</x:v>
      </x:c>
      <x:c r="N165" s="30" t="str">
        <x:v>correct</x:v>
      </x:c>
      <x:c r="O165" s="30" t="str">
        <x:v>The model answer states the income increased to $12,000, which is semantically identical to the gold answer of 12000. The only difference is the addition of a dollar sign and comma formatting, which does not change the meaning.</x:v>
      </x:c>
      <x:c r="P165" s="30" t="str">
        <x:v>LongCat-2.0</x:v>
      </x:c>
      <x:c r="Q165" s="30" t="str">
        <x:v>LongCat-2.0</x:v>
      </x:c>
      <x:c r="R165" s="30" t="n">
        <x:v>5117.44</x:v>
      </x:c>
      <x:c r="S165" s="30" t="str">
        <x:v>{"completion_tokens": 65, "prompt_tokens": 159,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66">
      <x:c r="A166" s="30" t="str">
        <x:v>memos_long:1878</x:v>
      </x:c>
      <x:c r="B166" s="30" t="str">
        <x:v>long</x:v>
      </x:c>
      <x:c r="C166" s="30" t="str">
        <x:v>Multi-hop Inference</x:v>
      </x:c>
      <x:c r="D166" s="30" t="n">
        <x:v>3</x:v>
      </x:c>
      <x:c r="E166" s="30" t="str">
        <x:v>How did Michelle's promotion affect her monthly income by Feb 23, 2035?</x:v>
      </x:c>
      <x:c r="F166" s="30" t="str">
        <x:v>Increased to 12000.</x:v>
      </x:c>
      <x:c r="G166" s="30" t="str">
        <x:v>Increased to $12,000.</x:v>
      </x:c>
      <x:c r="H166" s="30" t="str">
        <x:v>deepseek-v4-flash</x:v>
      </x:c>
      <x:c r="I166" s="30" t="str">
        <x:v>deepseek-v4-flash</x:v>
      </x:c>
      <x:c r="J166" s="30" t="str">
        <x:v>19f96395551becb1e07b21cfe4c9230110cfbb7ed00f3d31275c48aab8752fae</x:v>
      </x:c>
      <x:c r="K166" s="30" t="str">
        <x:v>ef143f97ef230073a04e1e00a5992943265d387b2e99f589d58fda627cb1324c</x:v>
      </x:c>
      <x:c r="L166" s="30" t="n">
        <x:v>629.43</x:v>
      </x:c>
      <x:c r="M166" s="30" t="str">
        <x:v>{"completion_tokens": 7, "prompt_tokens": 575, "total_tokens": 582, "completion_tokens_details": null, "prompt_tokens_details": {"audio_tokens": null, "cached_tokens": 512}, "prompt_cache_hit_tokens": 512, "prompt_cache_miss_tokens": 63}</x:v>
      </x:c>
      <x:c r="N166" s="30" t="str">
        <x:v>correct</x:v>
      </x:c>
      <x:c r="O166" s="30" t="str">
        <x:v>The model answer states the income increased to $12,000, which is semantically identical to the gold answer of 12000. The addition of the dollar sign and comma formatting does not change the meaning or introduce any false information.</x:v>
      </x:c>
      <x:c r="P166" s="30" t="str">
        <x:v>LongCat-2.0</x:v>
      </x:c>
      <x:c r="Q166" s="30" t="str">
        <x:v>LongCat-2.0</x:v>
      </x:c>
      <x:c r="R166" s="30" t="n">
        <x:v>5354.44</x:v>
      </x:c>
      <x:c r="S166"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7">
      <x:c r="A167" s="30" t="str">
        <x:v>memos_long:1882</x:v>
      </x:c>
      <x:c r="B167" s="30" t="str">
        <x:v>long</x:v>
      </x:c>
      <x:c r="C167" s="30" t="str">
        <x:v>Generalization &amp; Application</x:v>
      </x:c>
      <x:c r="D167" s="30" t="n">
        <x:v>1</x:v>
      </x:c>
      <x:c r="E167" s="30" t="str">
        <x:v>What strategies might Michelle Hernandez employ to maintain team morale and clarity of goals at Visionary AI Solutions after 2036-01-23?</x:v>
      </x:c>
      <x:c r="F167" s="30" t="str">
        <x:v>She might use strategic planning and effective communication.</x:v>
      </x:c>
      <x:c r="G167" s="30" t="str">
        <x:v>Innovation and strategic initiatives.</x:v>
      </x:c>
      <x:c r="H167" s="30" t="str">
        <x:v>deepseek-v4-flash</x:v>
      </x:c>
      <x:c r="I167" s="30" t="str">
        <x:v>deepseek-v4-flash</x:v>
      </x:c>
      <x:c r="J167" s="30" t="str">
        <x:v>b2a8f89008559698de0524624dc3196ebdce3907936c45a6fe43b3c4fc7eaa3d</x:v>
      </x:c>
      <x:c r="K167" s="30" t="str">
        <x:v>f5f1125d01f39d961ceff9c227933fa3015a736553f79ff99f192dab4b835993</x:v>
      </x:c>
      <x:c r="L167" s="30" t="n">
        <x:v>609.94</x:v>
      </x:c>
      <x:c r="M167" s="30" t="str">
        <x:v>{"completion_tokens": 6, "prompt_tokens": 578, "total_tokens": 584, "completion_tokens_details": null, "prompt_tokens_details": {"audio_tokens": null, "cached_tokens": 512}, "prompt_cache_hit_tokens": 512, "prompt_cache_miss_tokens": 66}</x:v>
      </x:c>
      <x:c r="N167" s="30" t="str">
        <x:v>omission</x:v>
      </x:c>
      <x:c r="O167" s="30" t="str">
        <x:v>The model answer 'Innovation and strategic initiatives' does not include 'effective communication' from the gold answer, and 'innovation' is not semantically equivalent to 'strategic planning.' It provides only an incomplete subset of the gold answer without adding a concrete false claim.</x:v>
      </x:c>
      <x:c r="P167" s="30" t="str">
        <x:v>LongCat-2.0</x:v>
      </x:c>
      <x:c r="Q167" s="30" t="str">
        <x:v>LongCat-2.0</x:v>
      </x:c>
      <x:c r="R167" s="30" t="n">
        <x:v>2813.3</x:v>
      </x:c>
      <x:c r="S167" s="30" t="str">
        <x:v>{"completion_tokens": 68, "prompt_tokens": 164,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68">
      <x:c r="A168" s="30" t="str">
        <x:v>memos_long:1882</x:v>
      </x:c>
      <x:c r="B168" s="30" t="str">
        <x:v>long</x:v>
      </x:c>
      <x:c r="C168" s="30" t="str">
        <x:v>Generalization &amp; Application</x:v>
      </x:c>
      <x:c r="D168" s="30" t="n">
        <x:v>2</x:v>
      </x:c>
      <x:c r="E168" s="30" t="str">
        <x:v>What strategies might Michelle Hernandez employ to maintain team morale and clarity of goals at Visionary AI Solutions after 2036-01-23?</x:v>
      </x:c>
      <x:c r="F168" s="30" t="str">
        <x:v>She might use strategic planning and effective communication.</x:v>
      </x:c>
      <x:c r="G168" s="30" t="str">
        <x:v>Innovation and strategic initiatives.</x:v>
      </x:c>
      <x:c r="H168" s="30" t="str">
        <x:v>deepseek-v4-flash</x:v>
      </x:c>
      <x:c r="I168" s="30" t="str">
        <x:v>deepseek-v4-flash</x:v>
      </x:c>
      <x:c r="J168" s="30" t="str">
        <x:v>b2a8f89008559698de0524624dc3196ebdce3907936c45a6fe43b3c4fc7eaa3d</x:v>
      </x:c>
      <x:c r="K168" s="30" t="str">
        <x:v>f5f1125d01f39d961ceff9c227933fa3015a736553f79ff99f192dab4b835993</x:v>
      </x:c>
      <x:c r="L168" s="30" t="n">
        <x:v>909.46</x:v>
      </x:c>
      <x:c r="M168" s="30" t="str">
        <x:v>{"completion_tokens": 6, "prompt_tokens": 578, "total_tokens": 584, "completion_tokens_details": null, "prompt_tokens_details": {"audio_tokens": null, "cached_tokens": 512}, "prompt_cache_hit_tokens": 512, "prompt_cache_miss_tokens": 66}</x:v>
      </x:c>
      <x:c r="N168" s="30" t="str">
        <x:v>omission</x:v>
      </x:c>
      <x:c r="O168" s="30" t="str">
        <x:v>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x:v>
      </x:c>
      <x:c r="P168" s="30" t="str">
        <x:v>LongCat-2.0</x:v>
      </x:c>
      <x:c r="Q168" s="30" t="str">
        <x:v>LongCat-2.0</x:v>
      </x:c>
      <x:c r="R168" s="30" t="n">
        <x:v>2938.73</x:v>
      </x:c>
      <x:c r="S168" s="30" t="str">
        <x:v>{"completion_tokens": 70, "prompt_tokens": 164,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69">
      <x:c r="A169" s="30" t="str">
        <x:v>memos_long:1882</x:v>
      </x:c>
      <x:c r="B169" s="30" t="str">
        <x:v>long</x:v>
      </x:c>
      <x:c r="C169" s="30" t="str">
        <x:v>Generalization &amp; Application</x:v>
      </x:c>
      <x:c r="D169" s="30" t="n">
        <x:v>3</x:v>
      </x:c>
      <x:c r="E169" s="30" t="str">
        <x:v>What strategies might Michelle Hernandez employ to maintain team morale and clarity of goals at Visionary AI Solutions after 2036-01-23?</x:v>
      </x:c>
      <x:c r="F169" s="30" t="str">
        <x:v>She might use strategic planning and effective communication.</x:v>
      </x:c>
      <x:c r="G169" s="30" t="str">
        <x:v>Innovation and strategic initiatives.</x:v>
      </x:c>
      <x:c r="H169" s="30" t="str">
        <x:v>deepseek-v4-flash</x:v>
      </x:c>
      <x:c r="I169" s="30" t="str">
        <x:v>deepseek-v4-flash</x:v>
      </x:c>
      <x:c r="J169" s="30" t="str">
        <x:v>b2a8f89008559698de0524624dc3196ebdce3907936c45a6fe43b3c4fc7eaa3d</x:v>
      </x:c>
      <x:c r="K169" s="30" t="str">
        <x:v>f5f1125d01f39d961ceff9c227933fa3015a736553f79ff99f192dab4b835993</x:v>
      </x:c>
      <x:c r="L169" s="30" t="n">
        <x:v>857.99</x:v>
      </x:c>
      <x:c r="M169" s="30" t="str">
        <x:v>{"completion_tokens": 6, "prompt_tokens": 578, "total_tokens": 584, "completion_tokens_details": null, "prompt_tokens_details": {"audio_tokens": null, "cached_tokens": 512}, "prompt_cache_hit_tokens": 512, "prompt_cache_miss_tokens": 66}</x:v>
      </x:c>
      <x:c r="N169" s="30" t="str">
        <x:v>omission</x:v>
      </x:c>
      <x:c r="O169" s="30" t="str">
        <x:v>The model answer mentions 'Innovation and strategic initiatives,' which partially overlaps with 'strategic planning' from the gold answer but omits 'effective communication' entirely. It does not provide the complete gold answer, nor does it add a concrete false claim, so it is an omission.</x:v>
      </x:c>
      <x:c r="P169" s="30" t="str">
        <x:v>LongCat-2.0</x:v>
      </x:c>
      <x:c r="Q169" s="30" t="str">
        <x:v>LongCat-2.0</x:v>
      </x:c>
      <x:c r="R169" s="30" t="n">
        <x:v>3038.01</x:v>
      </x:c>
      <x:c r="S169" s="30" t="str">
        <x:v>{"completion_tokens": 70, "prompt_tokens": 164,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0">
      <x:c r="A170" s="30" t="str">
        <x:v>memos_long:1883</x:v>
      </x:c>
      <x:c r="B170" s="30" t="str">
        <x:v>long</x:v>
      </x:c>
      <x:c r="C170" s="30" t="str">
        <x:v>Memory Conflict</x:v>
      </x:c>
      <x:c r="D170" s="30" t="n">
        <x:v>1</x:v>
      </x:c>
      <x:c r="E170" s="30" t="str">
        <x:v>Did Michelle Hernandez express confidence in managing stress on Sep 15, 2035?</x:v>
      </x:c>
      <x:c r="F170" s="30" t="str">
        <x:v>No, she expressed challenges in managing stress.</x:v>
      </x:c>
      <x:c r="G170" s="30" t="str">
        <x:v>Yes</x:v>
      </x:c>
      <x:c r="H170" s="30" t="str">
        <x:v>deepseek-v4-flash</x:v>
      </x:c>
      <x:c r="I170" s="30" t="str">
        <x:v>deepseek-v4-flash</x:v>
      </x:c>
      <x:c r="J170" s="30" t="str">
        <x:v>d4f7fc8f6ff9d91f10ed3faaec181c288714fe358dfcd1e18cfe87a0a6381556</x:v>
      </x:c>
      <x:c r="K170" s="30" t="str">
        <x:v>1954e5c2daa777c4fe96b47ea42a722142e031b0c7e3342dbd4a7b49453a7b3a</x:v>
      </x:c>
      <x:c r="L170" s="30" t="n">
        <x:v>561.7</x:v>
      </x:c>
      <x:c r="M170" s="30" t="str">
        <x:v>{"completion_tokens": 1, "prompt_tokens": 582, "total_tokens": 583, "completion_tokens_details": null, "prompt_tokens_details": {"audio_tokens": null, "cached_tokens": 512}, "prompt_cache_hit_tokens": 512, "prompt_cache_miss_tokens": 70}</x:v>
      </x:c>
      <x:c r="N170" s="30" t="str">
        <x:v>hallucination</x:v>
      </x:c>
      <x:c r="O170" s="30" t="str">
        <x:v>The gold answer states that Michelle Hernandez expressed challenges in managing stress, while the model answer claims she expressed confidence. These are directly contradictory statements, making the model's answer a concrete false claim.</x:v>
      </x:c>
      <x:c r="P170" s="30" t="str">
        <x:v>LongCat-2.0</x:v>
      </x:c>
      <x:c r="Q170" s="30" t="str">
        <x:v>LongCat-2.0</x:v>
      </x:c>
      <x:c r="R170" s="30" t="n">
        <x:v>1860.09</x:v>
      </x:c>
      <x:c r="S170" s="30" t="str">
        <x:v>{"completion_tokens": 51, "prompt_tokens": 148,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1">
      <x:c r="A171" s="30" t="str">
        <x:v>memos_long:1883</x:v>
      </x:c>
      <x:c r="B171" s="30" t="str">
        <x:v>long</x:v>
      </x:c>
      <x:c r="C171" s="30" t="str">
        <x:v>Memory Conflict</x:v>
      </x:c>
      <x:c r="D171" s="30" t="n">
        <x:v>2</x:v>
      </x:c>
      <x:c r="E171" s="30" t="str">
        <x:v>Did Michelle Hernandez express confidence in managing stress on Sep 15, 2035?</x:v>
      </x:c>
      <x:c r="F171" s="30" t="str">
        <x:v>No, she expressed challenges in managing stress.</x:v>
      </x:c>
      <x:c r="G171" s="30" t="str">
        <x:v>Yes</x:v>
      </x:c>
      <x:c r="H171" s="30" t="str">
        <x:v>deepseek-v4-flash</x:v>
      </x:c>
      <x:c r="I171" s="30" t="str">
        <x:v>deepseek-v4-flash</x:v>
      </x:c>
      <x:c r="J171" s="30" t="str">
        <x:v>d4f7fc8f6ff9d91f10ed3faaec181c288714fe358dfcd1e18cfe87a0a6381556</x:v>
      </x:c>
      <x:c r="K171" s="30" t="str">
        <x:v>1954e5c2daa777c4fe96b47ea42a722142e031b0c7e3342dbd4a7b49453a7b3a</x:v>
      </x:c>
      <x:c r="L171" s="30" t="n">
        <x:v>482.79</x:v>
      </x:c>
      <x:c r="M171" s="30" t="str">
        <x:v>{"completion_tokens": 1, "prompt_tokens": 582, "total_tokens": 583, "completion_tokens_details": null, "prompt_tokens_details": {"audio_tokens": null, "cached_tokens": 512}, "prompt_cache_hit_tokens": 512, "prompt_cache_miss_tokens": 70}</x:v>
      </x:c>
      <x:c r="N171" s="30" t="str">
        <x:v>hallucination</x:v>
      </x:c>
      <x:c r="O171" s="30" t="str">
        <x:v>The gold answer states that Michelle Hernandez expressed challenges in managing stress, while the model answer claims she expressed confidence. These are directly contradictory statements, making the model answer a hallucination.</x:v>
      </x:c>
      <x:c r="P171" s="30" t="str">
        <x:v>LongCat-2.0</x:v>
      </x:c>
      <x:c r="Q171" s="30" t="str">
        <x:v>LongCat-2.0</x:v>
      </x:c>
      <x:c r="R171" s="30" t="n">
        <x:v>2349.14</x:v>
      </x:c>
      <x:c r="S171" s="30" t="str">
        <x:v>{"completion_tokens": 49, "prompt_tokens": 148, "total_tokens": 197,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72">
      <x:c r="A172" s="30" t="str">
        <x:v>memos_long:1883</x:v>
      </x:c>
      <x:c r="B172" s="30" t="str">
        <x:v>long</x:v>
      </x:c>
      <x:c r="C172" s="30" t="str">
        <x:v>Memory Conflict</x:v>
      </x:c>
      <x:c r="D172" s="30" t="n">
        <x:v>3</x:v>
      </x:c>
      <x:c r="E172" s="30" t="str">
        <x:v>Did Michelle Hernandez express confidence in managing stress on Sep 15, 2035?</x:v>
      </x:c>
      <x:c r="F172" s="30" t="str">
        <x:v>No, she expressed challenges in managing stress.</x:v>
      </x:c>
      <x:c r="G172" s="30" t="str">
        <x:v>Yes</x:v>
      </x:c>
      <x:c r="H172" s="30" t="str">
        <x:v>deepseek-v4-flash</x:v>
      </x:c>
      <x:c r="I172" s="30" t="str">
        <x:v>deepseek-v4-flash</x:v>
      </x:c>
      <x:c r="J172" s="30" t="str">
        <x:v>d4f7fc8f6ff9d91f10ed3faaec181c288714fe358dfcd1e18cfe87a0a6381556</x:v>
      </x:c>
      <x:c r="K172" s="30" t="str">
        <x:v>1954e5c2daa777c4fe96b47ea42a722142e031b0c7e3342dbd4a7b49453a7b3a</x:v>
      </x:c>
      <x:c r="L172" s="30" t="n">
        <x:v>551.87</x:v>
      </x:c>
      <x:c r="M172" s="30" t="str">
        <x:v>{"completion_tokens": 1, "prompt_tokens": 582, "total_tokens": 583, "completion_tokens_details": null, "prompt_tokens_details": {"audio_tokens": null, "cached_tokens": 512}, "prompt_cache_hit_tokens": 512, "prompt_cache_miss_tokens": 70}</x:v>
      </x:c>
      <x:c r="N172" s="30" t="str">
        <x:v>hallucination</x:v>
      </x:c>
      <x:c r="O172" s="30" t="str">
        <x:v>The gold answer states that Michelle Hernandez expressed challenges in managing stress, while the model answer claims she expressed confidence. These are directly contradictory, making the model answer a hallucination.</x:v>
      </x:c>
      <x:c r="P172" s="30" t="str">
        <x:v>LongCat-2.0</x:v>
      </x:c>
      <x:c r="Q172" s="30" t="str">
        <x:v>LongCat-2.0</x:v>
      </x:c>
      <x:c r="R172" s="30" t="n">
        <x:v>2139.06</x:v>
      </x:c>
      <x:c r="S172" s="30" t="str">
        <x:v>{"completion_tokens": 48, "prompt_tokens": 148,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3">
      <x:c r="A173" s="30" t="str">
        <x:v>memos_long:1896</x:v>
      </x:c>
      <x:c r="B173" s="30" t="str">
        <x:v>long</x:v>
      </x:c>
      <x:c r="C173" s="30" t="str">
        <x:v>Multi-hop Inference</x:v>
      </x:c>
      <x:c r="D173" s="30" t="n">
        <x:v>1</x:v>
      </x:c>
      <x:c r="E173" s="30" t="str">
        <x:v>How did Michelle's monthly income change after joining Innovative AI Corp on Mar 16, 2037?</x:v>
      </x:c>
      <x:c r="F173" s="30" t="str">
        <x:v>Increased from 12,000 to 15,000.</x:v>
      </x:c>
      <x:c r="G173" s="30" t="str">
        <x:v>Increased from 12,000 to 15,000.</x:v>
      </x:c>
      <x:c r="H173" s="30" t="str">
        <x:v>deepseek-v4-flash</x:v>
      </x:c>
      <x:c r="I173" s="30" t="str">
        <x:v>deepseek-v4-flash</x:v>
      </x:c>
      <x:c r="J173" s="30" t="str">
        <x:v>12fe1da270440ab084b8250be03a0b3e28a7c7a363beb09eb5704eed50a4f405</x:v>
      </x:c>
      <x:c r="K173" s="30" t="str">
        <x:v>6c796100b730582c9506e73909da69f0bcc70e5620cb7dda000d98ac6200f0c4</x:v>
      </x:c>
      <x:c r="L173" s="30" t="n">
        <x:v>718.16</x:v>
      </x:c>
      <x:c r="M173" s="30" t="str">
        <x:v>{"completion_tokens": 12, "prompt_tokens": 564, "total_tokens": 576, "completion_tokens_details": null, "prompt_tokens_details": {"audio_tokens": null, "cached_tokens": 512}, "prompt_cache_hit_tokens": 512, "prompt_cache_miss_tokens": 52}</x:v>
      </x:c>
      <x:c r="N173" s="30" t="str">
        <x:v>correct</x:v>
      </x:c>
      <x:c r="O173" s="30" t="str">
        <x:v>The model answer matches the gold answer exactly, stating that Michelle's monthly income increased from 12,000 to 15,000 after joining Innovative AI Corp on Mar 16, 2037.</x:v>
      </x:c>
      <x:c r="P173" s="30" t="str">
        <x:v>LongCat-2.0</x:v>
      </x:c>
      <x:c r="Q173" s="30" t="str">
        <x:v>LongCat-2.0</x:v>
      </x:c>
      <x:c r="R173" s="30" t="n">
        <x:v>7484.47</x:v>
      </x:c>
      <x:c r="S173" s="30" t="str">
        <x:v>{"completion_tokens": 61, "prompt_tokens": 180, "total_tokens": 241,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74">
      <x:c r="A174" s="30" t="str">
        <x:v>memos_long:1896</x:v>
      </x:c>
      <x:c r="B174" s="30" t="str">
        <x:v>long</x:v>
      </x:c>
      <x:c r="C174" s="30" t="str">
        <x:v>Multi-hop Inference</x:v>
      </x:c>
      <x:c r="D174" s="30" t="n">
        <x:v>2</x:v>
      </x:c>
      <x:c r="E174" s="30" t="str">
        <x:v>How did Michelle's monthly income change after joining Innovative AI Corp on Mar 16, 2037?</x:v>
      </x:c>
      <x:c r="F174" s="30" t="str">
        <x:v>Increased from 12,000 to 15,000.</x:v>
      </x:c>
      <x:c r="G174" s="30" t="str">
        <x:v>Increased from 12,000 to 15,000.</x:v>
      </x:c>
      <x:c r="H174" s="30" t="str">
        <x:v>deepseek-v4-flash</x:v>
      </x:c>
      <x:c r="I174" s="30" t="str">
        <x:v>deepseek-v4-flash</x:v>
      </x:c>
      <x:c r="J174" s="30" t="str">
        <x:v>12fe1da270440ab084b8250be03a0b3e28a7c7a363beb09eb5704eed50a4f405</x:v>
      </x:c>
      <x:c r="K174" s="30" t="str">
        <x:v>6c796100b730582c9506e73909da69f0bcc70e5620cb7dda000d98ac6200f0c4</x:v>
      </x:c>
      <x:c r="L174" s="30" t="n">
        <x:v>766.52</x:v>
      </x:c>
      <x:c r="M174" s="30" t="str">
        <x:v>{"completion_tokens": 12, "prompt_tokens": 564, "total_tokens": 576, "completion_tokens_details": null, "prompt_tokens_details": {"audio_tokens": null, "cached_tokens": 512}, "prompt_cache_hit_tokens": 512, "prompt_cache_miss_tokens": 52}</x:v>
      </x:c>
      <x:c r="N174" s="30" t="str">
        <x:v>correct</x:v>
      </x:c>
      <x:c r="O174" s="30" t="str">
        <x:v>The model answer matches the gold answer exactly, stating that Michelle's monthly income increased from 12,000 to 15,000 after joining Innovative AI Corp on Mar 16, 2037.</x:v>
      </x:c>
      <x:c r="P174" s="30" t="str">
        <x:v>LongCat-2.0</x:v>
      </x:c>
      <x:c r="Q174" s="30" t="str">
        <x:v>LongCat-2.0</x:v>
      </x:c>
      <x:c r="R174" s="30" t="n">
        <x:v>7193.71</x:v>
      </x:c>
      <x:c r="S174" s="30" t="str">
        <x:v>{"completion_tokens": 61, "prompt_tokens": 180, "total_tokens": 241,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75">
      <x:c r="A175" s="30" t="str">
        <x:v>memos_long:1896</x:v>
      </x:c>
      <x:c r="B175" s="30" t="str">
        <x:v>long</x:v>
      </x:c>
      <x:c r="C175" s="30" t="str">
        <x:v>Multi-hop Inference</x:v>
      </x:c>
      <x:c r="D175" s="30" t="n">
        <x:v>3</x:v>
      </x:c>
      <x:c r="E175" s="30" t="str">
        <x:v>How did Michelle's monthly income change after joining Innovative AI Corp on Mar 16, 2037?</x:v>
      </x:c>
      <x:c r="F175" s="30" t="str">
        <x:v>Increased from 12,000 to 15,000.</x:v>
      </x:c>
      <x:c r="G175" s="30" t="str">
        <x:v>Increased from 12,000 to 15,000.</x:v>
      </x:c>
      <x:c r="H175" s="30" t="str">
        <x:v>deepseek-v4-flash</x:v>
      </x:c>
      <x:c r="I175" s="30" t="str">
        <x:v>deepseek-v4-flash</x:v>
      </x:c>
      <x:c r="J175" s="30" t="str">
        <x:v>12fe1da270440ab084b8250be03a0b3e28a7c7a363beb09eb5704eed50a4f405</x:v>
      </x:c>
      <x:c r="K175" s="30" t="str">
        <x:v>6c796100b730582c9506e73909da69f0bcc70e5620cb7dda000d98ac6200f0c4</x:v>
      </x:c>
      <x:c r="L175" s="30" t="n">
        <x:v>571.52</x:v>
      </x:c>
      <x:c r="M175" s="30" t="str">
        <x:v>{"completion_tokens": 12, "prompt_tokens": 564, "total_tokens": 576, "completion_tokens_details": null, "prompt_tokens_details": {"audio_tokens": null, "cached_tokens": 512}, "prompt_cache_hit_tokens": 512, "prompt_cache_miss_tokens": 52}</x:v>
      </x:c>
      <x:c r="N175" s="30" t="str">
        <x:v>correct</x:v>
      </x:c>
      <x:c r="O175" s="30" t="str">
        <x:v>The model answer exactly matches the gold answer, stating that Michelle's monthly income increased from 12,000 to 15,000 after joining Innovative AI Corp on Mar 16, 2037.</x:v>
      </x:c>
      <x:c r="P175" s="30" t="str">
        <x:v>LongCat-2.0</x:v>
      </x:c>
      <x:c r="Q175" s="30" t="str">
        <x:v>LongCat-2.0</x:v>
      </x:c>
      <x:c r="R175" s="30" t="n">
        <x:v>7136.24</x:v>
      </x:c>
      <x:c r="S175" s="30" t="str">
        <x:v>{"completion_tokens": 61, "prompt_tokens": 180, "total_tokens": 241,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76">
      <x:c r="A176" s="30" t="str">
        <x:v>memos_long:19</x:v>
      </x:c>
      <x:c r="B176" s="30" t="str">
        <x:v>long</x:v>
      </x:c>
      <x:c r="C176" s="30" t="str">
        <x:v>Multi-hop Inference</x:v>
      </x:c>
      <x:c r="D176" s="30" t="n">
        <x:v>1</x:v>
      </x:c>
      <x:c r="E176" s="30" t="str">
        <x:v>What was the main reason Martin wanted to change his career according to dialogues on December 15, 2025?</x:v>
      </x:c>
      <x:c r="F176" s="30" t="str">
        <x:v>Impact on his mental health.</x:v>
      </x:c>
      <x:c r="G176" s="30" t="str">
        <x:v>Mental health impact</x:v>
      </x:c>
      <x:c r="H176" s="30" t="str">
        <x:v>deepseek-v4-flash</x:v>
      </x:c>
      <x:c r="I176" s="30" t="str">
        <x:v>deepseek-v4-flash</x:v>
      </x:c>
      <x:c r="J176" s="30" t="str">
        <x:v>355216a3ad10fa82344c891ca87ac26644c60ca08e70af39a9ebbacb73531171</x:v>
      </x:c>
      <x:c r="K176" s="30" t="str">
        <x:v>058d0e3ff5b3b1e8384c80f1a0b389a4dad3a4917a8273f7cd3cd5c4705e01e9</x:v>
      </x:c>
      <x:c r="L176" s="30" t="n">
        <x:v>633.05</x:v>
      </x:c>
      <x:c r="M176" s="30" t="str">
        <x:v>{"completion_tokens": 3, "prompt_tokens": 573, "total_tokens": 576, "completion_tokens_details": null, "prompt_tokens_details": {"audio_tokens": null, "cached_tokens": 512}, "prompt_cache_hit_tokens": 512, "prompt_cache_miss_tokens": 61}</x:v>
      </x:c>
      <x:c r="N176" s="30" t="str">
        <x:v>correct</x:v>
      </x:c>
      <x:c r="O176" s="30" t="str">
        <x:v>The model answer 'Mental health impact' is a concise rephrasing of the gold answer 'Impact on his mental health' and conveys the same complete meaning without adding false or unsupported information.</x:v>
      </x:c>
      <x:c r="P176" s="30" t="str">
        <x:v>LongCat-2.0</x:v>
      </x:c>
      <x:c r="Q176" s="30" t="str">
        <x:v>LongCat-2.0</x:v>
      </x:c>
      <x:c r="R176" s="30" t="n">
        <x:v>4625.6</x:v>
      </x:c>
      <x:c r="S176" s="30" t="str">
        <x:v>{"completion_tokens": 51, "prompt_tokens": 155,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7">
      <x:c r="A177" s="30" t="str">
        <x:v>memos_long:19</x:v>
      </x:c>
      <x:c r="B177" s="30" t="str">
        <x:v>long</x:v>
      </x:c>
      <x:c r="C177" s="30" t="str">
        <x:v>Multi-hop Inference</x:v>
      </x:c>
      <x:c r="D177" s="30" t="n">
        <x:v>2</x:v>
      </x:c>
      <x:c r="E177" s="30" t="str">
        <x:v>What was the main reason Martin wanted to change his career according to dialogues on December 15, 2025?</x:v>
      </x:c>
      <x:c r="F177" s="30" t="str">
        <x:v>Impact on his mental health.</x:v>
      </x:c>
      <x:c r="G177" s="30" t="str">
        <x:v>Mental health impact</x:v>
      </x:c>
      <x:c r="H177" s="30" t="str">
        <x:v>deepseek-v4-flash</x:v>
      </x:c>
      <x:c r="I177" s="30" t="str">
        <x:v>deepseek-v4-flash</x:v>
      </x:c>
      <x:c r="J177" s="30" t="str">
        <x:v>355216a3ad10fa82344c891ca87ac26644c60ca08e70af39a9ebbacb73531171</x:v>
      </x:c>
      <x:c r="K177" s="30" t="str">
        <x:v>058d0e3ff5b3b1e8384c80f1a0b389a4dad3a4917a8273f7cd3cd5c4705e01e9</x:v>
      </x:c>
      <x:c r="L177" s="30" t="n">
        <x:v>566.36</x:v>
      </x:c>
      <x:c r="M177" s="30" t="str">
        <x:v>{"completion_tokens": 3, "prompt_tokens": 573, "total_tokens": 576, "completion_tokens_details": null, "prompt_tokens_details": {"audio_tokens": null, "cached_tokens": 512}, "prompt_cache_hit_tokens": 512, "prompt_cache_miss_tokens": 61}</x:v>
      </x:c>
      <x:c r="N177" s="30" t="str">
        <x:v>correct</x:v>
      </x:c>
      <x:c r="O177" s="30" t="str">
        <x:v>The model answer 'Mental health impact' is semantically equivalent to the gold answer 'Impact on his mental health,' conveying the same meaning with slightly different wording.</x:v>
      </x:c>
      <x:c r="P177" s="30" t="str">
        <x:v>LongCat-2.0</x:v>
      </x:c>
      <x:c r="Q177" s="30" t="str">
        <x:v>LongCat-2.0</x:v>
      </x:c>
      <x:c r="R177" s="30" t="n">
        <x:v>4888.21</x:v>
      </x:c>
      <x:c r="S177" s="30" t="str">
        <x:v>{"completion_tokens": 44, "prompt_tokens": 155, "total_tokens": 199,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78">
      <x:c r="A178" s="30" t="str">
        <x:v>memos_long:19</x:v>
      </x:c>
      <x:c r="B178" s="30" t="str">
        <x:v>long</x:v>
      </x:c>
      <x:c r="C178" s="30" t="str">
        <x:v>Multi-hop Inference</x:v>
      </x:c>
      <x:c r="D178" s="30" t="n">
        <x:v>3</x:v>
      </x:c>
      <x:c r="E178" s="30" t="str">
        <x:v>What was the main reason Martin wanted to change his career according to dialogues on December 15, 2025?</x:v>
      </x:c>
      <x:c r="F178" s="30" t="str">
        <x:v>Impact on his mental health.</x:v>
      </x:c>
      <x:c r="G178" s="30" t="str">
        <x:v>Mental health impact</x:v>
      </x:c>
      <x:c r="H178" s="30" t="str">
        <x:v>deepseek-v4-flash</x:v>
      </x:c>
      <x:c r="I178" s="30" t="str">
        <x:v>deepseek-v4-flash</x:v>
      </x:c>
      <x:c r="J178" s="30" t="str">
        <x:v>355216a3ad10fa82344c891ca87ac26644c60ca08e70af39a9ebbacb73531171</x:v>
      </x:c>
      <x:c r="K178" s="30" t="str">
        <x:v>058d0e3ff5b3b1e8384c80f1a0b389a4dad3a4917a8273f7cd3cd5c4705e01e9</x:v>
      </x:c>
      <x:c r="L178" s="30" t="n">
        <x:v>825.36</x:v>
      </x:c>
      <x:c r="M178" s="30" t="str">
        <x:v>{"completion_tokens": 3, "prompt_tokens": 573, "total_tokens": 576, "completion_tokens_details": null, "prompt_tokens_details": {"audio_tokens": null, "cached_tokens": 512}, "prompt_cache_hit_tokens": 512, "prompt_cache_miss_tokens": 61}</x:v>
      </x:c>
      <x:c r="N178" s="30" t="str">
        <x:v>correct</x:v>
      </x:c>
      <x:c r="O178" s="30" t="str">
        <x:v>The model answer 'Mental health impact' is semantically equivalent to the gold answer 'Impact on his mental health,' conveying the same meaning with slightly different wording.</x:v>
      </x:c>
      <x:c r="P178" s="30" t="str">
        <x:v>LongCat-2.0</x:v>
      </x:c>
      <x:c r="Q178" s="30" t="str">
        <x:v>LongCat-2.0</x:v>
      </x:c>
      <x:c r="R178" s="30" t="n">
        <x:v>4116.57</x:v>
      </x:c>
      <x:c r="S178" s="30" t="str">
        <x:v>{"completion_tokens": 44, "prompt_tokens": 155,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79">
      <x:c r="A179" s="30" t="str">
        <x:v>memos_long:190</x:v>
      </x:c>
      <x:c r="B179" s="30" t="str">
        <x:v>long</x:v>
      </x:c>
      <x:c r="C179" s="30" t="str">
        <x:v>Generalization &amp; Application</x:v>
      </x:c>
      <x:c r="D179" s="30" t="n">
        <x:v>1</x:v>
      </x:c>
      <x:c r="E179" s="30" t="str">
        <x:v>Based on Johnson Joseph's interest in strategy games, what new leisure activity might he enjoy in November 2027?</x:v>
      </x:c>
      <x:c r="F179" s="30" t="str">
        <x:v>Johnson might enjoy chess as a new leisure activity.</x:v>
      </x:c>
      <x:c r="G179" s="30" t="str">
        <x:v>Playing strategy-based games.</x:v>
      </x:c>
      <x:c r="H179" s="30" t="str">
        <x:v>deepseek-v4-flash</x:v>
      </x:c>
      <x:c r="I179" s="30" t="str">
        <x:v>deepseek-v4-flash</x:v>
      </x:c>
      <x:c r="J179" s="30" t="str">
        <x:v>bf69304e88038a98290dc7afd947787937ef565d009f0f50790728f67019853b</x:v>
      </x:c>
      <x:c r="K179" s="30" t="str">
        <x:v>eabde2c9208cf8e513026d319217f95b463e1159389504866ffef10f01df172c</x:v>
      </x:c>
      <x:c r="L179" s="30" t="n">
        <x:v>919.15</x:v>
      </x:c>
      <x:c r="M179" s="30" t="str">
        <x:v>{"completion_tokens": 5, "prompt_tokens": 547, "total_tokens": 552, "completion_tokens_details": null, "prompt_tokens_details": {"audio_tokens": null, "cached_tokens": 512}, "prompt_cache_hit_tokens": 512, "prompt_cache_miss_tokens": 35}</x:v>
      </x:c>
      <x:c r="N179" s="30" t="str">
        <x:v>omission</x:v>
      </x:c>
      <x:c r="O179" s="30" t="str">
        <x:v>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x:v>
      </x:c>
      <x:c r="P179" s="30" t="str">
        <x:v>LongCat-2.0</x:v>
      </x:c>
      <x:c r="Q179" s="30" t="str">
        <x:v>LongCat-2.0</x:v>
      </x:c>
      <x:c r="R179" s="30" t="n">
        <x:v>3359.97</x:v>
      </x:c>
      <x:c r="S179" s="30" t="str">
        <x:v>{"completion_tokens": 67, "prompt_tokens": 157,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80">
      <x:c r="A180" s="30" t="str">
        <x:v>memos_long:190</x:v>
      </x:c>
      <x:c r="B180" s="30" t="str">
        <x:v>long</x:v>
      </x:c>
      <x:c r="C180" s="30" t="str">
        <x:v>Generalization &amp; Application</x:v>
      </x:c>
      <x:c r="D180" s="30" t="n">
        <x:v>2</x:v>
      </x:c>
      <x:c r="E180" s="30" t="str">
        <x:v>Based on Johnson Joseph's interest in strategy games, what new leisure activity might he enjoy in November 2027?</x:v>
      </x:c>
      <x:c r="F180" s="30" t="str">
        <x:v>Johnson might enjoy chess as a new leisure activity.</x:v>
      </x:c>
      <x:c r="G180" s="30" t="str">
        <x:v>Playing strategy-based games.</x:v>
      </x:c>
      <x:c r="H180" s="30" t="str">
        <x:v>deepseek-v4-flash</x:v>
      </x:c>
      <x:c r="I180" s="30" t="str">
        <x:v>deepseek-v4-flash</x:v>
      </x:c>
      <x:c r="J180" s="30" t="str">
        <x:v>bf69304e88038a98290dc7afd947787937ef565d009f0f50790728f67019853b</x:v>
      </x:c>
      <x:c r="K180" s="30" t="str">
        <x:v>eabde2c9208cf8e513026d319217f95b463e1159389504866ffef10f01df172c</x:v>
      </x:c>
      <x:c r="L180" s="30" t="n">
        <x:v>919.15</x:v>
      </x:c>
      <x:c r="M180" s="30" t="str">
        <x:v>{"completion_tokens": 5, "prompt_tokens": 547, "total_tokens": 552, "completion_tokens_details": null, "prompt_tokens_details": {"audio_tokens": null, "cached_tokens": 512}, "prompt_cache_hit_tokens": 512, "prompt_cache_miss_tokens": 35}</x:v>
      </x:c>
      <x:c r="N180" s="30" t="str">
        <x:v>omission</x:v>
      </x:c>
      <x:c r="O180" s="30" t="str">
        <x:v>The model answer 'Playing strategy-based games' is too vague and does not provide the specific concrete answer 'chess' given in the gold answer. It only offers a general category rather than a specific new leisure activity, making it an incomplete subset of the gold answer.</x:v>
      </x:c>
      <x:c r="P180" s="30" t="str">
        <x:v>LongCat-2.0</x:v>
      </x:c>
      <x:c r="Q180" s="30" t="str">
        <x:v>LongCat-2.0</x:v>
      </x:c>
      <x:c r="R180" s="30" t="n">
        <x:v>2555.73</x:v>
      </x:c>
      <x:c r="S180" s="30" t="str">
        <x:v>{"completion_tokens": 65, "prompt_tokens": 157,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1">
      <x:c r="A181" s="30" t="str">
        <x:v>memos_long:190</x:v>
      </x:c>
      <x:c r="B181" s="30" t="str">
        <x:v>long</x:v>
      </x:c>
      <x:c r="C181" s="30" t="str">
        <x:v>Generalization &amp; Application</x:v>
      </x:c>
      <x:c r="D181" s="30" t="n">
        <x:v>3</x:v>
      </x:c>
      <x:c r="E181" s="30" t="str">
        <x:v>Based on Johnson Joseph's interest in strategy games, what new leisure activity might he enjoy in November 2027?</x:v>
      </x:c>
      <x:c r="F181" s="30" t="str">
        <x:v>Johnson might enjoy chess as a new leisure activity.</x:v>
      </x:c>
      <x:c r="G181" s="30" t="str">
        <x:v>Playing strategy-based games.</x:v>
      </x:c>
      <x:c r="H181" s="30" t="str">
        <x:v>deepseek-v4-flash</x:v>
      </x:c>
      <x:c r="I181" s="30" t="str">
        <x:v>deepseek-v4-flash</x:v>
      </x:c>
      <x:c r="J181" s="30" t="str">
        <x:v>bf69304e88038a98290dc7afd947787937ef565d009f0f50790728f67019853b</x:v>
      </x:c>
      <x:c r="K181" s="30" t="str">
        <x:v>eabde2c9208cf8e513026d319217f95b463e1159389504866ffef10f01df172c</x:v>
      </x:c>
      <x:c r="L181" s="30" t="n">
        <x:v>940.49</x:v>
      </x:c>
      <x:c r="M181" s="30" t="str">
        <x:v>{"completion_tokens": 5, "prompt_tokens": 547, "total_tokens": 552, "completion_tokens_details": null, "prompt_tokens_details": {"audio_tokens": null, "cached_tokens": 512}, "prompt_cache_hit_tokens": 512, "prompt_cache_miss_tokens": 35}</x:v>
      </x:c>
      <x:c r="N181" s="30" t="str">
        <x:v>omission</x:v>
      </x:c>
      <x:c r="O181" s="30" t="str">
        <x:v>The model answer 'Playing strategy-based games' is too vague and does not provide the specific concrete answer 'chess' given in the gold answer. It only offers a general category rather than a specific new leisure activity, making it an incomplete subset without adding a concrete false claim.</x:v>
      </x:c>
      <x:c r="P181" s="30" t="str">
        <x:v>LongCat-2.0</x:v>
      </x:c>
      <x:c r="Q181" s="30" t="str">
        <x:v>LongCat-2.0</x:v>
      </x:c>
      <x:c r="R181" s="30" t="n">
        <x:v>2203.37</x:v>
      </x:c>
      <x:c r="S181" s="30" t="str">
        <x:v>{"completion_tokens": 67, "prompt_tokens": 157,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2">
      <x:c r="A182" s="30" t="str">
        <x:v>memos_long:1905</x:v>
      </x:c>
      <x:c r="B182" s="30" t="str">
        <x:v>long</x:v>
      </x:c>
      <x:c r="C182" s="30" t="str">
        <x:v>Basic Fact Recall</x:v>
      </x:c>
      <x:c r="D182" s="30" t="n">
        <x:v>1</x:v>
      </x:c>
      <x:c r="E182" s="30" t="str">
        <x:v>What is the name of Joseph Garcia's friend who shares his love for classic Hollywood?</x:v>
      </x:c>
      <x:c r="F182" s="30" t="str">
        <x:v>David Jones</x:v>
      </x:c>
      <x:c r="G182" s="30" t="str">
        <x:v>JonesDavid</x:v>
      </x:c>
      <x:c r="H182" s="30" t="str">
        <x:v>deepseek-v4-flash</x:v>
      </x:c>
      <x:c r="I182" s="30" t="str">
        <x:v>deepseek-v4-flash</x:v>
      </x:c>
      <x:c r="J182" s="30" t="str">
        <x:v>2bcfa51ff09e662d80b1f9c24fee5a70ecf95d85a25e84f4cce7976c45601066</x:v>
      </x:c>
      <x:c r="K182" s="30" t="str">
        <x:v>9016376e32124c445a368593115c3d5bedafa40c7ee3b245162dd1fb4a31036d</x:v>
      </x:c>
      <x:c r="L182" s="30" t="n">
        <x:v>561.74</x:v>
      </x:c>
      <x:c r="M182" s="30" t="str">
        <x:v>{"completion_tokens": 2, "prompt_tokens": 539, "total_tokens": 541, "completion_tokens_details": null, "prompt_tokens_details": {"audio_tokens": null, "cached_tokens": 512}, "prompt_cache_hit_tokens": 512, "prompt_cache_miss_tokens": 27}</x:v>
      </x:c>
      <x:c r="N182" s="30" t="str">
        <x:v>correct</x:v>
      </x:c>
      <x:c r="O182" s="30" t="str">
        <x:v>The model answer 'JonesDavid' contains the same name components as the gold answer 'David Jones' (David Jones), just in a different order. The semantic content is identical - it refers to the same person. The reversed order does not change the meaning or introduce any false information.</x:v>
      </x:c>
      <x:c r="P182" s="30" t="str">
        <x:v>LongCat-2.0</x:v>
      </x:c>
      <x:c r="Q182" s="30" t="str">
        <x:v>LongCat-2.0</x:v>
      </x:c>
      <x:c r="R182" s="30" t="n">
        <x:v>4596.08</x:v>
      </x:c>
      <x:c r="S182" s="30" t="str">
        <x:v>{"completion_tokens": 68, "prompt_tokens": 140,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83">
      <x:c r="A183" s="30" t="str">
        <x:v>memos_long:1905</x:v>
      </x:c>
      <x:c r="B183" s="30" t="str">
        <x:v>long</x:v>
      </x:c>
      <x:c r="C183" s="30" t="str">
        <x:v>Basic Fact Recall</x:v>
      </x:c>
      <x:c r="D183" s="30" t="n">
        <x:v>2</x:v>
      </x:c>
      <x:c r="E183" s="30" t="str">
        <x:v>What is the name of Joseph Garcia's friend who shares his love for classic Hollywood?</x:v>
      </x:c>
      <x:c r="F183" s="30" t="str">
        <x:v>David Jones</x:v>
      </x:c>
      <x:c r="G183" s="30" t="str">
        <x:v>JonesDavid</x:v>
      </x:c>
      <x:c r="H183" s="30" t="str">
        <x:v>deepseek-v4-flash</x:v>
      </x:c>
      <x:c r="I183" s="30" t="str">
        <x:v>deepseek-v4-flash</x:v>
      </x:c>
      <x:c r="J183" s="30" t="str">
        <x:v>2bcfa51ff09e662d80b1f9c24fee5a70ecf95d85a25e84f4cce7976c45601066</x:v>
      </x:c>
      <x:c r="K183" s="30" t="str">
        <x:v>9016376e32124c445a368593115c3d5bedafa40c7ee3b245162dd1fb4a31036d</x:v>
      </x:c>
      <x:c r="L183" s="30" t="n">
        <x:v>690.44</x:v>
      </x:c>
      <x:c r="M183" s="30" t="str">
        <x:v>{"completion_tokens": 2, "prompt_tokens": 539, "total_tokens": 541, "completion_tokens_details": null, "prompt_tokens_details": {"audio_tokens": null, "cached_tokens": 512}, "prompt_cache_hit_tokens": 512, "prompt_cache_miss_tokens": 27}</x:v>
      </x:c>
      <x:c r="N183" s="30" t="str">
        <x:v>correct</x:v>
      </x:c>
      <x:c r="O183" s="30" t="str">
        <x:v>The model answer 'JonesDavid' contains both the first name 'David' and the last name 'Jones' from the gold answer 'David Jones', just in reversed order. The complete semantic content of the gold answer is present, so it is correct despite the word order difference.</x:v>
      </x:c>
      <x:c r="P183" s="30" t="str">
        <x:v>LongCat-2.0</x:v>
      </x:c>
      <x:c r="Q183" s="30" t="str">
        <x:v>LongCat-2.0</x:v>
      </x:c>
      <x:c r="R183" s="30" t="n">
        <x:v>3973.14</x:v>
      </x:c>
      <x:c r="S183" s="30" t="str">
        <x:v>{"completion_tokens": 67, "prompt_tokens": 140,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4">
      <x:c r="A184" s="30" t="str">
        <x:v>memos_long:1905</x:v>
      </x:c>
      <x:c r="B184" s="30" t="str">
        <x:v>long</x:v>
      </x:c>
      <x:c r="C184" s="30" t="str">
        <x:v>Basic Fact Recall</x:v>
      </x:c>
      <x:c r="D184" s="30" t="n">
        <x:v>3</x:v>
      </x:c>
      <x:c r="E184" s="30" t="str">
        <x:v>What is the name of Joseph Garcia's friend who shares his love for classic Hollywood?</x:v>
      </x:c>
      <x:c r="F184" s="30" t="str">
        <x:v>David Jones</x:v>
      </x:c>
      <x:c r="G184" s="30" t="str">
        <x:v>JonesDavid</x:v>
      </x:c>
      <x:c r="H184" s="30" t="str">
        <x:v>deepseek-v4-flash</x:v>
      </x:c>
      <x:c r="I184" s="30" t="str">
        <x:v>deepseek-v4-flash</x:v>
      </x:c>
      <x:c r="J184" s="30" t="str">
        <x:v>2bcfa51ff09e662d80b1f9c24fee5a70ecf95d85a25e84f4cce7976c45601066</x:v>
      </x:c>
      <x:c r="K184" s="30" t="str">
        <x:v>9016376e32124c445a368593115c3d5bedafa40c7ee3b245162dd1fb4a31036d</x:v>
      </x:c>
      <x:c r="L184" s="30" t="n">
        <x:v>688.39</x:v>
      </x:c>
      <x:c r="M184" s="30" t="str">
        <x:v>{"completion_tokens": 2, "prompt_tokens": 539, "total_tokens": 541, "completion_tokens_details": null, "prompt_tokens_details": {"audio_tokens": null, "cached_tokens": 512}, "prompt_cache_hit_tokens": 512, "prompt_cache_miss_tokens": 27}</x:v>
      </x:c>
      <x:c r="N184" s="30" t="str">
        <x:v>correct</x:v>
      </x:c>
      <x:c r="O184" s="30" t="str">
        <x:v>The model answer 'JonesDavid' contains the same name components as the gold answer 'David Jones', just in a different order. The semantic content is identical - both refer to the same person named David Jones. The reversed word order does not change the meaning or introduce any false information.</x:v>
      </x:c>
      <x:c r="P184" s="30" t="str">
        <x:v>LongCat-2.0</x:v>
      </x:c>
      <x:c r="Q184" s="30" t="str">
        <x:v>LongCat-2.0</x:v>
      </x:c>
      <x:c r="R184" s="30" t="n">
        <x:v>6258.25</x:v>
      </x:c>
      <x:c r="S184" s="30" t="str">
        <x:v>{"completion_tokens": 68, "prompt_tokens": 140,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5">
      <x:c r="A185" s="30" t="str">
        <x:v>memos_long:1922</x:v>
      </x:c>
      <x:c r="B185" s="30" t="str">
        <x:v>long</x:v>
      </x:c>
      <x:c r="C185" s="30" t="str">
        <x:v>Memory Conflict</x:v>
      </x:c>
      <x:c r="D185" s="30" t="n">
        <x:v>1</x:v>
      </x:c>
      <x:c r="E185" s="30" t="str">
        <x:v>Did Joseph Garcia's friend recommend a mobile game that made him dislike ads on May 13, 2026?</x:v>
      </x:c>
      <x:c r="F185" s="30" t="str">
        <x:v>Joseph's friend recommended a game that made him appreciate ads for rewards.</x:v>
      </x:c>
      <x:c r="G185" s="30" t="str">
        <x:v>No</x:v>
      </x:c>
      <x:c r="H185" s="30" t="str">
        <x:v>deepseek-v4-flash</x:v>
      </x:c>
      <x:c r="I185" s="30" t="str">
        <x:v>deepseek-v4-flash</x:v>
      </x:c>
      <x:c r="J185" s="30" t="str">
        <x:v>2c1977a9b33920c42403a711a9e5cd9f7a226747a6106dc8759090673bc951ec</x:v>
      </x:c>
      <x:c r="K185" s="30" t="str">
        <x:v>6b2d2e8da645147d4832baf26524cdefb9823f247968e7186d40e3458854c5da</x:v>
      </x:c>
      <x:c r="L185" s="30" t="n">
        <x:v>534.44</x:v>
      </x:c>
      <x:c r="M185" s="30" t="str">
        <x:v>{"completion_tokens": 1, "prompt_tokens": 571, "total_tokens": 572, "completion_tokens_details": null, "prompt_tokens_details": {"audio_tokens": null, "cached_tokens": 512}, "prompt_cache_hit_tokens": 512, "prompt_cache_miss_tokens": 59}</x:v>
      </x:c>
      <x:c r="N185" s="30" t="str">
        <x:v>hallucination</x:v>
      </x:c>
      <x:c r="O185" s="30" t="str">
        <x:v>The gold answer states that Joseph's friend recommended a game that made him appreciate ads for rewards, while the model answer says 'No', which contradicts the gold answer by denying the event occurred. This is a concrete false claim, making it a hallucination.</x:v>
      </x:c>
      <x:c r="P185" s="30" t="str">
        <x:v>LongCat-2.0</x:v>
      </x:c>
      <x:c r="Q185" s="30" t="str">
        <x:v>LongCat-2.0</x:v>
      </x:c>
      <x:c r="R185" s="30" t="n">
        <x:v>3575.55</x:v>
      </x:c>
      <x:c r="S185"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6">
      <x:c r="A186" s="30" t="str">
        <x:v>memos_long:1922</x:v>
      </x:c>
      <x:c r="B186" s="30" t="str">
        <x:v>long</x:v>
      </x:c>
      <x:c r="C186" s="30" t="str">
        <x:v>Memory Conflict</x:v>
      </x:c>
      <x:c r="D186" s="30" t="n">
        <x:v>2</x:v>
      </x:c>
      <x:c r="E186" s="30" t="str">
        <x:v>Did Joseph Garcia's friend recommend a mobile game that made him dislike ads on May 13, 2026?</x:v>
      </x:c>
      <x:c r="F186" s="30" t="str">
        <x:v>Joseph's friend recommended a game that made him appreciate ads for rewards.</x:v>
      </x:c>
      <x:c r="G186" s="30" t="str">
        <x:v>No</x:v>
      </x:c>
      <x:c r="H186" s="30" t="str">
        <x:v>deepseek-v4-flash</x:v>
      </x:c>
      <x:c r="I186" s="30" t="str">
        <x:v>deepseek-v4-flash</x:v>
      </x:c>
      <x:c r="J186" s="30" t="str">
        <x:v>2c1977a9b33920c42403a711a9e5cd9f7a226747a6106dc8759090673bc951ec</x:v>
      </x:c>
      <x:c r="K186" s="30" t="str">
        <x:v>6b2d2e8da645147d4832baf26524cdefb9823f247968e7186d40e3458854c5da</x:v>
      </x:c>
      <x:c r="L186" s="30" t="n">
        <x:v>660.71</x:v>
      </x:c>
      <x:c r="M186" s="30" t="str">
        <x:v>{"completion_tokens": 1, "prompt_tokens": 571, "total_tokens": 572, "completion_tokens_details": null, "prompt_tokens_details": {"audio_tokens": null, "cached_tokens": 512}, "prompt_cache_hit_tokens": 512, "prompt_cache_miss_tokens": 59}</x:v>
      </x:c>
      <x:c r="N186" s="30" t="str">
        <x:v>hallucination</x:v>
      </x:c>
      <x:c r="O186" s="30" t="str">
        <x:v>The gold answer states that Joseph's friend recommended a game that made him appreciate ads for rewards, while the model answer 'No' contradicts this by denying the event occurred, making it a concrete false claim.</x:v>
      </x:c>
      <x:c r="P186" s="30" t="str">
        <x:v>LongCat-2.0</x:v>
      </x:c>
      <x:c r="Q186" s="30" t="str">
        <x:v>LongCat-2.0</x:v>
      </x:c>
      <x:c r="R186" s="30" t="n">
        <x:v>3117.32</x:v>
      </x:c>
      <x:c r="S186" s="30" t="str">
        <x:v>{"completion_tokens": 54, "prompt_tokens": 159,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87">
      <x:c r="A187" s="30" t="str">
        <x:v>memos_long:1922</x:v>
      </x:c>
      <x:c r="B187" s="30" t="str">
        <x:v>long</x:v>
      </x:c>
      <x:c r="C187" s="30" t="str">
        <x:v>Memory Conflict</x:v>
      </x:c>
      <x:c r="D187" s="30" t="n">
        <x:v>3</x:v>
      </x:c>
      <x:c r="E187" s="30" t="str">
        <x:v>Did Joseph Garcia's friend recommend a mobile game that made him dislike ads on May 13, 2026?</x:v>
      </x:c>
      <x:c r="F187" s="30" t="str">
        <x:v>Joseph's friend recommended a game that made him appreciate ads for rewards.</x:v>
      </x:c>
      <x:c r="G187" s="30" t="str">
        <x:v>No</x:v>
      </x:c>
      <x:c r="H187" s="30" t="str">
        <x:v>deepseek-v4-flash</x:v>
      </x:c>
      <x:c r="I187" s="30" t="str">
        <x:v>deepseek-v4-flash</x:v>
      </x:c>
      <x:c r="J187" s="30" t="str">
        <x:v>2c1977a9b33920c42403a711a9e5cd9f7a226747a6106dc8759090673bc951ec</x:v>
      </x:c>
      <x:c r="K187" s="30" t="str">
        <x:v>6b2d2e8da645147d4832baf26524cdefb9823f247968e7186d40e3458854c5da</x:v>
      </x:c>
      <x:c r="L187" s="30" t="n">
        <x:v>660.71</x:v>
      </x:c>
      <x:c r="M187" s="30" t="str">
        <x:v>{"completion_tokens": 1, "prompt_tokens": 571, "total_tokens": 572, "completion_tokens_details": null, "prompt_tokens_details": {"audio_tokens": null, "cached_tokens": 512}, "prompt_cache_hit_tokens": 512, "prompt_cache_miss_tokens": 59}</x:v>
      </x:c>
      <x:c r="N187" s="30" t="str">
        <x:v>hallucination</x:v>
      </x:c>
      <x:c r="O187" s="30" t="str">
        <x:v>The gold answer states that Joseph's friend recommended a game that made him appreciate ads for rewards, while the model answer says 'No', which contradicts the gold answer by denying the event occurred. This is a concrete false claim, making it a hallucination.</x:v>
      </x:c>
      <x:c r="P187" s="30" t="str">
        <x:v>LongCat-2.0</x:v>
      </x:c>
      <x:c r="Q187" s="30" t="str">
        <x:v>LongCat-2.0</x:v>
      </x:c>
      <x:c r="R187" s="30" t="n">
        <x:v>3530.7</x:v>
      </x:c>
      <x:c r="S187"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88">
      <x:c r="A188" s="30" t="str">
        <x:v>memos_long:1976</x:v>
      </x:c>
      <x:c r="B188" s="30" t="str">
        <x:v>long</x:v>
      </x:c>
      <x:c r="C188" s="30" t="str">
        <x:v>Basic Fact Recall</x:v>
      </x:c>
      <x:c r="D188" s="30" t="n">
        <x:v>1</x:v>
      </x:c>
      <x:c r="E188" s="30" t="str">
        <x:v>What type of music does Joseph Garcia appreciate as of January 14, 2033?</x:v>
      </x:c>
      <x:c r="F188" s="30" t="str">
        <x:v>Contemporary film scores.</x:v>
      </x:c>
      <x:c r="G188" s="30" t="str">
        <x:v>Contemporary film scores</x:v>
      </x:c>
      <x:c r="H188" s="30" t="str">
        <x:v>deepseek-v4-flash</x:v>
      </x:c>
      <x:c r="I188" s="30" t="str">
        <x:v>deepseek-v4-flash</x:v>
      </x:c>
      <x:c r="J188" s="30" t="str">
        <x:v>53d1cc4dbe1cbb4fe243b0f27fc40b7ee82d1bdf328f7bc6b6722b00e82b50c1</x:v>
      </x:c>
      <x:c r="K188" s="30" t="str">
        <x:v>f1df13b5511b383fa14c76b258a531d102b25295f9f71b84442175337d390a6d</x:v>
      </x:c>
      <x:c r="L188" s="30" t="n">
        <x:v>470.61</x:v>
      </x:c>
      <x:c r="M188" s="30" t="str">
        <x:v>{"completion_tokens": 3, "prompt_tokens": 546, "total_tokens": 549, "completion_tokens_details": null, "prompt_tokens_details": {"audio_tokens": null, "cached_tokens": 512}, "prompt_cache_hit_tokens": 512, "prompt_cache_miss_tokens": 34}</x:v>
      </x:c>
      <x:c r="N188" s="30" t="str">
        <x:v>correct</x:v>
      </x:c>
      <x:c r="O188" s="30" t="str">
        <x:v>The model answer 'Contemporary film scores' is semantically identical to the benchmark gold answer 'Contemporary film scores.' The only difference is the absence of a period, which is a trivial punctuation variation that does not affect the meaning or completeness of the answer.</x:v>
      </x:c>
      <x:c r="P188" s="30" t="str">
        <x:v>LongCat-2.0</x:v>
      </x:c>
      <x:c r="Q188" s="30" t="str">
        <x:v>LongCat-2.0</x:v>
      </x:c>
      <x:c r="R188" s="30" t="n">
        <x:v>2832.05</x:v>
      </x:c>
      <x:c r="S188" s="30" t="str">
        <x:v>{"completion_tokens": 63, "prompt_tokens": 148,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89">
      <x:c r="A189" s="30" t="str">
        <x:v>memos_long:1976</x:v>
      </x:c>
      <x:c r="B189" s="30" t="str">
        <x:v>long</x:v>
      </x:c>
      <x:c r="C189" s="30" t="str">
        <x:v>Basic Fact Recall</x:v>
      </x:c>
      <x:c r="D189" s="30" t="n">
        <x:v>2</x:v>
      </x:c>
      <x:c r="E189" s="30" t="str">
        <x:v>What type of music does Joseph Garcia appreciate as of January 14, 2033?</x:v>
      </x:c>
      <x:c r="F189" s="30" t="str">
        <x:v>Contemporary film scores.</x:v>
      </x:c>
      <x:c r="G189" s="30" t="str">
        <x:v>Contemporary film scores</x:v>
      </x:c>
      <x:c r="H189" s="30" t="str">
        <x:v>deepseek-v4-flash</x:v>
      </x:c>
      <x:c r="I189" s="30" t="str">
        <x:v>deepseek-v4-flash</x:v>
      </x:c>
      <x:c r="J189" s="30" t="str">
        <x:v>53d1cc4dbe1cbb4fe243b0f27fc40b7ee82d1bdf328f7bc6b6722b00e82b50c1</x:v>
      </x:c>
      <x:c r="K189" s="30" t="str">
        <x:v>f1df13b5511b383fa14c76b258a531d102b25295f9f71b84442175337d390a6d</x:v>
      </x:c>
      <x:c r="L189" s="30" t="n">
        <x:v>594.01</x:v>
      </x:c>
      <x:c r="M189" s="30" t="str">
        <x:v>{"completion_tokens": 3, "prompt_tokens": 546, "total_tokens": 549, "completion_tokens_details": null, "prompt_tokens_details": {"audio_tokens": null, "cached_tokens": 512}, "prompt_cache_hit_tokens": 512, "prompt_cache_miss_tokens": 34}</x:v>
      </x:c>
      <x:c r="N189" s="30" t="str">
        <x:v>correct</x:v>
      </x:c>
      <x:c r="O189" s="30" t="str">
        <x:v>The model answer 'Contemporary film scores' is semantically identical to the benchmark gold answer 'Contemporary film scores.' and provides the complete answer without any contradiction or unsupported material.</x:v>
      </x:c>
      <x:c r="P189" s="30" t="str">
        <x:v>LongCat-2.0</x:v>
      </x:c>
      <x:c r="Q189" s="30" t="str">
        <x:v>LongCat-2.0</x:v>
      </x:c>
      <x:c r="R189" s="30" t="n">
        <x:v>2849.2</x:v>
      </x:c>
      <x:c r="S189" s="30" t="str">
        <x:v>{"completion_tokens": 47, "prompt_tokens": 148,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0">
      <x:c r="A190" s="30" t="str">
        <x:v>memos_long:1976</x:v>
      </x:c>
      <x:c r="B190" s="30" t="str">
        <x:v>long</x:v>
      </x:c>
      <x:c r="C190" s="30" t="str">
        <x:v>Basic Fact Recall</x:v>
      </x:c>
      <x:c r="D190" s="30" t="n">
        <x:v>3</x:v>
      </x:c>
      <x:c r="E190" s="30" t="str">
        <x:v>What type of music does Joseph Garcia appreciate as of January 14, 2033?</x:v>
      </x:c>
      <x:c r="F190" s="30" t="str">
        <x:v>Contemporary film scores.</x:v>
      </x:c>
      <x:c r="G190" s="30" t="str">
        <x:v>Contemporary film scores</x:v>
      </x:c>
      <x:c r="H190" s="30" t="str">
        <x:v>deepseek-v4-flash</x:v>
      </x:c>
      <x:c r="I190" s="30" t="str">
        <x:v>deepseek-v4-flash</x:v>
      </x:c>
      <x:c r="J190" s="30" t="str">
        <x:v>53d1cc4dbe1cbb4fe243b0f27fc40b7ee82d1bdf328f7bc6b6722b00e82b50c1</x:v>
      </x:c>
      <x:c r="K190" s="30" t="str">
        <x:v>f1df13b5511b383fa14c76b258a531d102b25295f9f71b84442175337d390a6d</x:v>
      </x:c>
      <x:c r="L190" s="30" t="n">
        <x:v>591.28</x:v>
      </x:c>
      <x:c r="M190" s="30" t="str">
        <x:v>{"completion_tokens": 3, "prompt_tokens": 546, "total_tokens": 549, "completion_tokens_details": null, "prompt_tokens_details": {"audio_tokens": null, "cached_tokens": 512}, "prompt_cache_hit_tokens": 512, "prompt_cache_miss_tokens": 34}</x:v>
      </x:c>
      <x:c r="N190" s="30" t="str">
        <x:v>correct</x:v>
      </x:c>
      <x:c r="O190" s="30" t="str">
        <x:v>The model answer 'Contemporary film scores' is semantically identical to the benchmark gold answer 'Contemporary film scores.' The only difference is the absence of a period, which is a trivial punctuation variation that does not affect meaning.</x:v>
      </x:c>
      <x:c r="P190" s="30" t="str">
        <x:v>LongCat-2.0</x:v>
      </x:c>
      <x:c r="Q190" s="30" t="str">
        <x:v>LongCat-2.0</x:v>
      </x:c>
      <x:c r="R190" s="30" t="n">
        <x:v>2909.25</x:v>
      </x:c>
      <x:c r="S190" s="30" t="str">
        <x:v>{"completion_tokens": 57, "prompt_tokens": 148,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1">
      <x:c r="A191" s="30" t="str">
        <x:v>memos_long:1997</x:v>
      </x:c>
      <x:c r="B191" s="30" t="str">
        <x:v>long</x:v>
      </x:c>
      <x:c r="C191" s="30" t="str">
        <x:v>Generalization &amp; Application</x:v>
      </x:c>
      <x:c r="D191" s="30" t="n">
        <x:v>1</x:v>
      </x:c>
      <x:c r="E191" s="30" t="str">
        <x:v>How might Joseph's shift to cinema history books influence his creative projects after June 20, 2035?</x:v>
      </x:c>
      <x:c r="F191" s="30" t="str">
        <x:v>It may integrate film insights into his projects.</x:v>
      </x:c>
      <x:c r="G191" s="30" t="str">
        <x:v>Influence his educational programs.</x:v>
      </x:c>
      <x:c r="H191" s="30" t="str">
        <x:v>deepseek-v4-flash</x:v>
      </x:c>
      <x:c r="I191" s="30" t="str">
        <x:v>deepseek-v4-flash</x:v>
      </x:c>
      <x:c r="J191" s="30" t="str">
        <x:v>755914687522d6bab1a339706995e83905b0be12e478e5fd169fb69e10047538</x:v>
      </x:c>
      <x:c r="K191" s="30" t="str">
        <x:v>272c1fed341fa2fd338fed28ff6ee0f8b078213df7c298b65f7fa443a0066871</x:v>
      </x:c>
      <x:c r="L191" s="30" t="n">
        <x:v>720.48</x:v>
      </x:c>
      <x:c r="M191" s="30" t="str">
        <x:v>{"completion_tokens": 6, "prompt_tokens": 602, "total_tokens": 608, "completion_tokens_details": null, "prompt_tokens_details": {"audio_tokens": null, "cached_tokens": 512}, "prompt_cache_hit_tokens": 512, "prompt_cache_miss_tokens": 90}</x:v>
      </x:c>
      <x:c r="N191" s="30" t="str">
        <x:v>hallucination</x:v>
      </x:c>
      <x:c r="O191"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P191" s="30" t="str">
        <x:v>LongCat-2.0</x:v>
      </x:c>
      <x:c r="Q191" s="30" t="str">
        <x:v>LongCat-2.0</x:v>
      </x:c>
      <x:c r="R191" s="30" t="n">
        <x:v>3020.8</x:v>
      </x:c>
      <x:c r="S191" s="30" t="str">
        <x:v>{"completion_tokens": 79, "prompt_tokens": 156,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2">
      <x:c r="A192" s="30" t="str">
        <x:v>memos_long:1997</x:v>
      </x:c>
      <x:c r="B192" s="30" t="str">
        <x:v>long</x:v>
      </x:c>
      <x:c r="C192" s="30" t="str">
        <x:v>Generalization &amp; Application</x:v>
      </x:c>
      <x:c r="D192" s="30" t="n">
        <x:v>2</x:v>
      </x:c>
      <x:c r="E192" s="30" t="str">
        <x:v>How might Joseph's shift to cinema history books influence his creative projects after June 20, 2035?</x:v>
      </x:c>
      <x:c r="F192" s="30" t="str">
        <x:v>It may integrate film insights into his projects.</x:v>
      </x:c>
      <x:c r="G192" s="30" t="str">
        <x:v>Influence his educational programs.</x:v>
      </x:c>
      <x:c r="H192" s="30" t="str">
        <x:v>deepseek-v4-flash</x:v>
      </x:c>
      <x:c r="I192" s="30" t="str">
        <x:v>deepseek-v4-flash</x:v>
      </x:c>
      <x:c r="J192" s="30" t="str">
        <x:v>755914687522d6bab1a339706995e83905b0be12e478e5fd169fb69e10047538</x:v>
      </x:c>
      <x:c r="K192" s="30" t="str">
        <x:v>272c1fed341fa2fd338fed28ff6ee0f8b078213df7c298b65f7fa443a0066871</x:v>
      </x:c>
      <x:c r="L192" s="30" t="n">
        <x:v>579.97</x:v>
      </x:c>
      <x:c r="M192" s="30" t="str">
        <x:v>{"completion_tokens": 6, "prompt_tokens": 602, "total_tokens": 608, "completion_tokens_details": null, "prompt_tokens_details": {"audio_tokens": null, "cached_tokens": 512}, "prompt_cache_hit_tokens": 512, "prompt_cache_miss_tokens": 90}</x:v>
      </x:c>
      <x:c r="N192" s="30" t="str">
        <x:v>omission</x:v>
      </x:c>
      <x:c r="O192" s="30" t="str">
        <x:v>The model answer 'Influence his educational programs' does not address the gold answer's focus on integrating film insights into creative projects. It provides a different, incomplete direction without capturing the core meaning of the gold answer, and does not add a concrete false claim that directly contradicts it.</x:v>
      </x:c>
      <x:c r="P192" s="30" t="str">
        <x:v>LongCat-2.0</x:v>
      </x:c>
      <x:c r="Q192" s="30" t="str">
        <x:v>LongCat-2.0</x:v>
      </x:c>
      <x:c r="R192" s="30" t="n">
        <x:v>3122.96</x:v>
      </x:c>
      <x:c r="S192" s="30" t="str">
        <x:v>{"completion_tokens": 67, "prompt_tokens": 156,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93">
      <x:c r="A193" s="30" t="str">
        <x:v>memos_long:1997</x:v>
      </x:c>
      <x:c r="B193" s="30" t="str">
        <x:v>long</x:v>
      </x:c>
      <x:c r="C193" s="30" t="str">
        <x:v>Generalization &amp; Application</x:v>
      </x:c>
      <x:c r="D193" s="30" t="n">
        <x:v>3</x:v>
      </x:c>
      <x:c r="E193" s="30" t="str">
        <x:v>How might Joseph's shift to cinema history books influence his creative projects after June 20, 2035?</x:v>
      </x:c>
      <x:c r="F193" s="30" t="str">
        <x:v>It may integrate film insights into his projects.</x:v>
      </x:c>
      <x:c r="G193" s="30" t="str">
        <x:v>Influence his educational programs.</x:v>
      </x:c>
      <x:c r="H193" s="30" t="str">
        <x:v>deepseek-v4-flash</x:v>
      </x:c>
      <x:c r="I193" s="30" t="str">
        <x:v>deepseek-v4-flash</x:v>
      </x:c>
      <x:c r="J193" s="30" t="str">
        <x:v>755914687522d6bab1a339706995e83905b0be12e478e5fd169fb69e10047538</x:v>
      </x:c>
      <x:c r="K193" s="30" t="str">
        <x:v>272c1fed341fa2fd338fed28ff6ee0f8b078213df7c298b65f7fa443a0066871</x:v>
      </x:c>
      <x:c r="L193" s="30" t="n">
        <x:v>681.62</x:v>
      </x:c>
      <x:c r="M193" s="30" t="str">
        <x:v>{"completion_tokens": 6, "prompt_tokens": 602, "total_tokens": 608, "completion_tokens_details": null, "prompt_tokens_details": {"audio_tokens": null, "cached_tokens": 512}, "prompt_cache_hit_tokens": 512, "prompt_cache_miss_tokens": 90}</x:v>
      </x:c>
      <x:c r="N193" s="30" t="str">
        <x:v>hallucination</x:v>
      </x:c>
      <x:c r="O193" s="30" t="str">
        <x:v>The gold answer states that Joseph's shift to cinema history books may integrate film insights into his projects. The model answer claims it will 'influence his educational programs,' which introduces a specific, unsupported claim about educational programs that is not mentioned or implied in the gold answer. This constitutes a concrete answer that includes unsupported/incorrect material.</x:v>
      </x:c>
      <x:c r="P193" s="30" t="str">
        <x:v>LongCat-2.0</x:v>
      </x:c>
      <x:c r="Q193" s="30" t="str">
        <x:v>LongCat-2.0</x:v>
      </x:c>
      <x:c r="R193" s="30" t="n">
        <x:v>2636.88</x:v>
      </x:c>
      <x:c r="S193" s="30" t="str">
        <x:v>{"completion_tokens": 79, "prompt_tokens": 156,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4">
      <x:c r="A194" s="30" t="str">
        <x:v>memos_long:2054</x:v>
      </x:c>
      <x:c r="B194" s="30" t="str">
        <x:v>long</x:v>
      </x:c>
      <x:c r="C194" s="30" t="str">
        <x:v>Dynamic Update</x:v>
      </x:c>
      <x:c r="D194" s="30" t="n">
        <x:v>1</x:v>
      </x:c>
      <x:c r="E194" s="30" t="str">
        <x:v>What feedback did Joseph Garcia receive about his VR educational programs on Dec 20, 2041?</x:v>
      </x:c>
      <x:c r="F194" s="30" t="str">
        <x:v>Revitalized interest in classic films</x:v>
      </x:c>
      <x:c r="G194" s="30" t="str">
        <x:v>Revitalized interest in classic films.</x:v>
      </x:c>
      <x:c r="H194" s="30" t="str">
        <x:v>deepseek-v4-flash</x:v>
      </x:c>
      <x:c r="I194" s="30" t="str">
        <x:v>deepseek-v4-flash</x:v>
      </x:c>
      <x:c r="J194" s="30" t="str">
        <x:v>9c23a9b7e98f1f9a4bf87d6024866c686f34c240c55bb3a4b403f38b5a456b77</x:v>
      </x:c>
      <x:c r="K194" s="30" t="str">
        <x:v>1f75d63c6caaa8b3f9b3d11ecf5a8da01509b4355623bcceb33f556e6f19ea6c</x:v>
      </x:c>
      <x:c r="L194" s="30" t="n">
        <x:v>601.41</x:v>
      </x:c>
      <x:c r="M194" s="30" t="str">
        <x:v>{"completion_tokens": 8, "prompt_tokens": 568, "total_tokens": 576, "completion_tokens_details": null, "prompt_tokens_details": {"audio_tokens": null, "cached_tokens": 512}, "prompt_cache_hit_tokens": 512, "prompt_cache_miss_tokens": 56}</x:v>
      </x:c>
      <x:c r="N194" s="30" t="str">
        <x:v>correct</x:v>
      </x:c>
      <x:c r="O194" s="30" t="str">
        <x:v>The model answer 'Revitalized interest in classic films.' is semantically identical to the gold answer 'Revitalized interest in classic films', with only a minor punctuation difference (a period at the end). This constitutes a complete and accurate answer.</x:v>
      </x:c>
      <x:c r="P194" s="30" t="str">
        <x:v>LongCat-2.0</x:v>
      </x:c>
      <x:c r="Q194" s="30" t="str">
        <x:v>LongCat-2.0</x:v>
      </x:c>
      <x:c r="R194" s="30" t="n">
        <x:v>2612.65</x:v>
      </x:c>
      <x:c r="S194" s="30" t="str">
        <x:v>{"completion_tokens": 61, "prompt_tokens": 156,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95">
      <x:c r="A195" s="30" t="str">
        <x:v>memos_long:2054</x:v>
      </x:c>
      <x:c r="B195" s="30" t="str">
        <x:v>long</x:v>
      </x:c>
      <x:c r="C195" s="30" t="str">
        <x:v>Dynamic Update</x:v>
      </x:c>
      <x:c r="D195" s="30" t="n">
        <x:v>2</x:v>
      </x:c>
      <x:c r="E195" s="30" t="str">
        <x:v>What feedback did Joseph Garcia receive about his VR educational programs on Dec 20, 2041?</x:v>
      </x:c>
      <x:c r="F195" s="30" t="str">
        <x:v>Revitalized interest in classic films</x:v>
      </x:c>
      <x:c r="G195" s="30" t="str">
        <x:v>Revitalized interest in classic films.</x:v>
      </x:c>
      <x:c r="H195" s="30" t="str">
        <x:v>deepseek-v4-flash</x:v>
      </x:c>
      <x:c r="I195" s="30" t="str">
        <x:v>deepseek-v4-flash</x:v>
      </x:c>
      <x:c r="J195" s="30" t="str">
        <x:v>9c23a9b7e98f1f9a4bf87d6024866c686f34c240c55bb3a4b403f38b5a456b77</x:v>
      </x:c>
      <x:c r="K195" s="30" t="str">
        <x:v>1f75d63c6caaa8b3f9b3d11ecf5a8da01509b4355623bcceb33f556e6f19ea6c</x:v>
      </x:c>
      <x:c r="L195" s="30" t="n">
        <x:v>812.28</x:v>
      </x:c>
      <x:c r="M195" s="30" t="str">
        <x:v>{"completion_tokens": 8, "prompt_tokens": 568, "total_tokens": 576, "completion_tokens_details": null, "prompt_tokens_details": {"audio_tokens": null, "cached_tokens": 512}, "prompt_cache_hit_tokens": 512, "prompt_cache_miss_tokens": 56}</x:v>
      </x:c>
      <x:c r="N195" s="30" t="str">
        <x:v>correct</x:v>
      </x:c>
      <x:c r="O195" s="30" t="str">
        <x:v>The model answer 'Revitalized interest in classic films.' is semantically identical to the gold answer 'Revitalized interest in classic films', differing only by a trailing punctuation mark, which does not change the meaning.</x:v>
      </x:c>
      <x:c r="P195" s="30" t="str">
        <x:v>LongCat-2.0</x:v>
      </x:c>
      <x:c r="Q195" s="30" t="str">
        <x:v>LongCat-2.0</x:v>
      </x:c>
      <x:c r="R195" s="30" t="n">
        <x:v>2316.79</x:v>
      </x:c>
      <x:c r="S195" s="30" t="str">
        <x:v>{"completion_tokens": 55, "prompt_tokens": 156,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6">
      <x:c r="A196" s="30" t="str">
        <x:v>memos_long:2054</x:v>
      </x:c>
      <x:c r="B196" s="30" t="str">
        <x:v>long</x:v>
      </x:c>
      <x:c r="C196" s="30" t="str">
        <x:v>Dynamic Update</x:v>
      </x:c>
      <x:c r="D196" s="30" t="n">
        <x:v>3</x:v>
      </x:c>
      <x:c r="E196" s="30" t="str">
        <x:v>What feedback did Joseph Garcia receive about his VR educational programs on Dec 20, 2041?</x:v>
      </x:c>
      <x:c r="F196" s="30" t="str">
        <x:v>Revitalized interest in classic films</x:v>
      </x:c>
      <x:c r="G196" s="30" t="str">
        <x:v>Revitalized interest in classic films.</x:v>
      </x:c>
      <x:c r="H196" s="30" t="str">
        <x:v>deepseek-v4-flash</x:v>
      </x:c>
      <x:c r="I196" s="30" t="str">
        <x:v>deepseek-v4-flash</x:v>
      </x:c>
      <x:c r="J196" s="30" t="str">
        <x:v>9c23a9b7e98f1f9a4bf87d6024866c686f34c240c55bb3a4b403f38b5a456b77</x:v>
      </x:c>
      <x:c r="K196" s="30" t="str">
        <x:v>1f75d63c6caaa8b3f9b3d11ecf5a8da01509b4355623bcceb33f556e6f19ea6c</x:v>
      </x:c>
      <x:c r="L196" s="30" t="n">
        <x:v>601.19</x:v>
      </x:c>
      <x:c r="M196" s="30" t="str">
        <x:v>{"completion_tokens": 8, "prompt_tokens": 568, "total_tokens": 576, "completion_tokens_details": null, "prompt_tokens_details": {"audio_tokens": null, "cached_tokens": 512}, "prompt_cache_hit_tokens": 512, "prompt_cache_miss_tokens": 56}</x:v>
      </x:c>
      <x:c r="N196" s="30" t="str">
        <x:v>correct</x:v>
      </x:c>
      <x:c r="O196" s="30" t="str">
        <x:v>The model answer 'Revitalized interest in classic films.' is semantically identical to the gold answer 'Revitalized interest in classic films', with only a minor punctuation difference (a period at the end). This constitutes a complete and accurate answer.</x:v>
      </x:c>
      <x:c r="P196" s="30" t="str">
        <x:v>LongCat-2.0</x:v>
      </x:c>
      <x:c r="Q196" s="30" t="str">
        <x:v>LongCat-2.0</x:v>
      </x:c>
      <x:c r="R196" s="30" t="n">
        <x:v>3581.19</x:v>
      </x:c>
      <x:c r="S196" s="30" t="str">
        <x:v>{"completion_tokens": 61, "prompt_tokens": 156,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7">
      <x:c r="A197" s="30" t="str">
        <x:v>memos_long:208</x:v>
      </x:c>
      <x:c r="B197" s="30" t="str">
        <x:v>long</x:v>
      </x:c>
      <x:c r="C197" s="30" t="str">
        <x:v>Multi-hop Inference</x:v>
      </x:c>
      <x:c r="D197" s="30" t="n">
        <x:v>1</x:v>
      </x:c>
      <x:c r="E197" s="30" t="str">
        <x:v>How did Johnson's exploratory motivation influence his stress management strategies between Feb 15, 2029, and May 10, 2029?</x:v>
      </x:c>
      <x:c r="F197" s="30" t="str">
        <x:v>Testing new approaches and ideas for balance.</x:v>
      </x:c>
      <x:c r="G197" s="30" t="str">
        <x:v>Tested new approaches and ideas.</x:v>
      </x:c>
      <x:c r="H197" s="30" t="str">
        <x:v>deepseek-v4-flash</x:v>
      </x:c>
      <x:c r="I197" s="30" t="str">
        <x:v>deepseek-v4-flash</x:v>
      </x:c>
      <x:c r="J197" s="30" t="str">
        <x:v>967bb09f3bd10719dfda97ed4cafccf9e28e61d94712f3981c8b639b8f17d0a0</x:v>
      </x:c>
      <x:c r="K197" s="30" t="str">
        <x:v>cdedcb96ca3006ae0006c10c8df134dc4238d1a4e65d4665e75198a7044a25e6</x:v>
      </x:c>
      <x:c r="L197" s="30" t="n">
        <x:v>575</x:v>
      </x:c>
      <x:c r="M197" s="30" t="str">
        <x:v>{"completion_tokens": 7, "prompt_tokens": 612, "total_tokens": 619, "completion_tokens_details": null, "prompt_tokens_details": {"audio_tokens": null, "cached_tokens": 512}, "prompt_cache_hit_tokens": 512, "prompt_cache_miss_tokens": 100}</x:v>
      </x:c>
      <x:c r="N197" s="30" t="str">
        <x:v>correct</x:v>
      </x:c>
      <x:c r="O197" s="30" t="str">
        <x:v>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model's answer is not false or contradictory, and it conveys the essential information about Johnson's exploratory motivation influencing his stress management strategies.</x:v>
      </x:c>
      <x:c r="P197" s="30" t="str">
        <x:v>LongCat-2.0</x:v>
      </x:c>
      <x:c r="Q197" s="30" t="str">
        <x:v>LongCat-2.0</x:v>
      </x:c>
      <x:c r="R197" s="30" t="n">
        <x:v>3631.15</x:v>
      </x:c>
      <x:c r="S197" s="30" t="str">
        <x:v>{"completion_tokens": 92, "prompt_tokens": 167, "total_tokens": 259,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98">
      <x:c r="A198" s="30" t="str">
        <x:v>memos_long:208</x:v>
      </x:c>
      <x:c r="B198" s="30" t="str">
        <x:v>long</x:v>
      </x:c>
      <x:c r="C198" s="30" t="str">
        <x:v>Multi-hop Inference</x:v>
      </x:c>
      <x:c r="D198" s="30" t="n">
        <x:v>2</x:v>
      </x:c>
      <x:c r="E198" s="30" t="str">
        <x:v>How did Johnson's exploratory motivation influence his stress management strategies between Feb 15, 2029, and May 10, 2029?</x:v>
      </x:c>
      <x:c r="F198" s="30" t="str">
        <x:v>Testing new approaches and ideas for balance.</x:v>
      </x:c>
      <x:c r="G198" s="30" t="str">
        <x:v>Tested new approaches and ideas.</x:v>
      </x:c>
      <x:c r="H198" s="30" t="str">
        <x:v>deepseek-v4-flash</x:v>
      </x:c>
      <x:c r="I198" s="30" t="str">
        <x:v>deepseek-v4-flash</x:v>
      </x:c>
      <x:c r="J198" s="30" t="str">
        <x:v>967bb09f3bd10719dfda97ed4cafccf9e28e61d94712f3981c8b639b8f17d0a0</x:v>
      </x:c>
      <x:c r="K198" s="30" t="str">
        <x:v>cdedcb96ca3006ae0006c10c8df134dc4238d1a4e65d4665e75198a7044a25e6</x:v>
      </x:c>
      <x:c r="L198" s="30" t="n">
        <x:v>564.56</x:v>
      </x:c>
      <x:c r="M198" s="30" t="str">
        <x:v>{"completion_tokens": 7, "prompt_tokens": 612, "total_tokens": 619, "completion_tokens_details": null, "prompt_tokens_details": {"audio_tokens": null, "cached_tokens": 512}, "prompt_cache_hit_tokens": 512, "prompt_cache_miss_tokens": 100}</x:v>
      </x:c>
      <x:c r="N198" s="30" t="str">
        <x:v>correct</x:v>
      </x:c>
      <x:c r="O198" s="30" t="str">
        <x:v>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x:v>
      </x:c>
      <x:c r="P198" s="30" t="str">
        <x:v>LongCat-2.0</x:v>
      </x:c>
      <x:c r="Q198" s="30" t="str">
        <x:v>LongCat-2.0</x:v>
      </x:c>
      <x:c r="R198" s="30" t="n">
        <x:v>3479.49</x:v>
      </x:c>
      <x:c r="S198" s="30" t="str">
        <x:v>{"completion_tokens": 92, "prompt_tokens": 167, "total_tokens": 259,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99">
      <x:c r="A199" s="30" t="str">
        <x:v>memos_long:208</x:v>
      </x:c>
      <x:c r="B199" s="30" t="str">
        <x:v>long</x:v>
      </x:c>
      <x:c r="C199" s="30" t="str">
        <x:v>Multi-hop Inference</x:v>
      </x:c>
      <x:c r="D199" s="30" t="n">
        <x:v>3</x:v>
      </x:c>
      <x:c r="E199" s="30" t="str">
        <x:v>How did Johnson's exploratory motivation influence his stress management strategies between Feb 15, 2029, and May 10, 2029?</x:v>
      </x:c>
      <x:c r="F199" s="30" t="str">
        <x:v>Testing new approaches and ideas for balance.</x:v>
      </x:c>
      <x:c r="G199" s="30" t="str">
        <x:v>Tested new approaches and ideas.</x:v>
      </x:c>
      <x:c r="H199" s="30" t="str">
        <x:v>deepseek-v4-flash</x:v>
      </x:c>
      <x:c r="I199" s="30" t="str">
        <x:v>deepseek-v4-flash</x:v>
      </x:c>
      <x:c r="J199" s="30" t="str">
        <x:v>967bb09f3bd10719dfda97ed4cafccf9e28e61d94712f3981c8b639b8f17d0a0</x:v>
      </x:c>
      <x:c r="K199" s="30" t="str">
        <x:v>cdedcb96ca3006ae0006c10c8df134dc4238d1a4e65d4665e75198a7044a25e6</x:v>
      </x:c>
      <x:c r="L199" s="30" t="n">
        <x:v>735.75</x:v>
      </x:c>
      <x:c r="M199" s="30" t="str">
        <x:v>{"completion_tokens": 7, "prompt_tokens": 612, "total_tokens": 619, "completion_tokens_details": null, "prompt_tokens_details": {"audio_tokens": null, "cached_tokens": 512}, "prompt_cache_hit_tokens": 512, "prompt_cache_miss_tokens": 100}</x:v>
      </x:c>
      <x:c r="N199" s="30" t="str">
        <x:v>correct</x:v>
      </x:c>
      <x:c r="O199" s="30" t="str">
        <x:v>The model answer 'Tested new approaches and ideas' captures the complete semantic meaning of the gold answer 'Testing new approaches and ideas for balance.' The omission of 'for balance' is minor and does not change the core meaning, as the key concept of exploring new methods is fully preserved.</x:v>
      </x:c>
      <x:c r="P199" s="30" t="str">
        <x:v>LongCat-2.0</x:v>
      </x:c>
      <x:c r="Q199" s="30" t="str">
        <x:v>LongCat-2.0</x:v>
      </x:c>
      <x:c r="R199" s="30" t="n">
        <x:v>3120.32</x:v>
      </x:c>
      <x:c r="S199" s="30" t="str">
        <x:v>{"completion_tokens": 69, "prompt_tokens": 167,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0">
      <x:c r="A200" s="30" t="str">
        <x:v>memos_long:2093</x:v>
      </x:c>
      <x:c r="B200" s="30" t="str">
        <x:v>long</x:v>
      </x:c>
      <x:c r="C200" s="30" t="str">
        <x:v>Generalization &amp; Application</x:v>
      </x:c>
      <x:c r="D200" s="30" t="n">
        <x:v>1</x:v>
      </x:c>
      <x:c r="E200" s="30" t="str">
        <x:v>What community activity might Sharon pursue to align with her goals in 2026?</x:v>
      </x:c>
      <x:c r="F200" s="30" t="str">
        <x:v>Organizing charity sports events.</x:v>
      </x:c>
      <x:c r="G200" s="30" t="str">
        <x:v>Mentoring young athletes</x:v>
      </x:c>
      <x:c r="H200" s="30" t="str">
        <x:v>deepseek-v4-flash</x:v>
      </x:c>
      <x:c r="I200" s="30" t="str">
        <x:v>deepseek-v4-flash</x:v>
      </x:c>
      <x:c r="J200" s="30" t="str">
        <x:v>8c98e0addcdcbea2c5f11f0e08e83548187cc0e0fccad8131b6521733f0b0da0</x:v>
      </x:c>
      <x:c r="K200" s="30" t="str">
        <x:v>24d64f6af158515460b9b67e4d87072ed4c1b84bf6dca021845e040c5d865beb</x:v>
      </x:c>
      <x:c r="L200" s="30" t="n">
        <x:v>716.06</x:v>
      </x:c>
      <x:c r="M200" s="30" t="str">
        <x:v>{"completion_tokens": 5, "prompt_tokens": 539, "total_tokens": 544, "completion_tokens_details": null, "prompt_tokens_details": {"audio_tokens": null, "cached_tokens": 512}, "prompt_cache_hit_tokens": 512, "prompt_cache_miss_tokens": 27}</x:v>
      </x:c>
      <x:c r="N200" s="30" t="str">
        <x:v>hallucination</x:v>
      </x:c>
      <x:c r="O200" s="30" t="str">
        <x:v>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and community involvement, mentoring is a distinct activity from organizing events, making this a concrete but incorrect answer that contradicts the gold answer.</x:v>
      </x:c>
      <x:c r="P200" s="30" t="str">
        <x:v>LongCat-2.0</x:v>
      </x:c>
      <x:c r="Q200" s="30" t="str">
        <x:v>LongCat-2.0</x:v>
      </x:c>
      <x:c r="R200" s="30" t="n">
        <x:v>3722.42</x:v>
      </x:c>
      <x:c r="S200" s="30" t="str">
        <x:v>{"completion_tokens": 100, "prompt_tokens": 147, "total_tokens": 247,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1">
      <x:c r="A201" s="30" t="str">
        <x:v>memos_long:2093</x:v>
      </x:c>
      <x:c r="B201" s="30" t="str">
        <x:v>long</x:v>
      </x:c>
      <x:c r="C201" s="30" t="str">
        <x:v>Generalization &amp; Application</x:v>
      </x:c>
      <x:c r="D201" s="30" t="n">
        <x:v>2</x:v>
      </x:c>
      <x:c r="E201" s="30" t="str">
        <x:v>What community activity might Sharon pursue to align with her goals in 2026?</x:v>
      </x:c>
      <x:c r="F201" s="30" t="str">
        <x:v>Organizing charity sports events.</x:v>
      </x:c>
      <x:c r="G201" s="30" t="str">
        <x:v>Mentoring young athletes</x:v>
      </x:c>
      <x:c r="H201" s="30" t="str">
        <x:v>deepseek-v4-flash</x:v>
      </x:c>
      <x:c r="I201" s="30" t="str">
        <x:v>deepseek-v4-flash</x:v>
      </x:c>
      <x:c r="J201" s="30" t="str">
        <x:v>8c98e0addcdcbea2c5f11f0e08e83548187cc0e0fccad8131b6521733f0b0da0</x:v>
      </x:c>
      <x:c r="K201" s="30" t="str">
        <x:v>24d64f6af158515460b9b67e4d87072ed4c1b84bf6dca021845e040c5d865beb</x:v>
      </x:c>
      <x:c r="L201" s="30" t="n">
        <x:v>629.3</x:v>
      </x:c>
      <x:c r="M201" s="30" t="str">
        <x:v>{"completion_tokens": 5, "prompt_tokens": 539, "total_tokens": 544, "completion_tokens_details": null, "prompt_tokens_details": {"audio_tokens": null, "cached_tokens": 512}, "prompt_cache_hit_tokens": 512, "prompt_cache_miss_tokens": 27}</x:v>
      </x:c>
      <x:c r="N201" s="30" t="str">
        <x:v>hallucination</x:v>
      </x:c>
      <x:c r="O201" s="30" t="str">
        <x:v>The gold answer is 'Organizing charity sports events,' which refers to a specific community activity focused on event organization for charitable purposes. The model answer 'Mentoring young athletes' is a different concrete activity that does not match or encompass the gold answer, and there is no indication that mentoring is equivalent to or part of organizing charity sports events. This constitutes a concrete but incorrect answer.</x:v>
      </x:c>
      <x:c r="P201" s="30" t="str">
        <x:v>LongCat-2.0</x:v>
      </x:c>
      <x:c r="Q201" s="30" t="str">
        <x:v>LongCat-2.0</x:v>
      </x:c>
      <x:c r="R201" s="30" t="n">
        <x:v>3216.58</x:v>
      </x:c>
      <x:c r="S201" s="30" t="str">
        <x:v>{"completion_tokens": 90, "prompt_tokens": 147,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02">
      <x:c r="A202" s="30" t="str">
        <x:v>memos_long:2093</x:v>
      </x:c>
      <x:c r="B202" s="30" t="str">
        <x:v>long</x:v>
      </x:c>
      <x:c r="C202" s="30" t="str">
        <x:v>Generalization &amp; Application</x:v>
      </x:c>
      <x:c r="D202" s="30" t="n">
        <x:v>3</x:v>
      </x:c>
      <x:c r="E202" s="30" t="str">
        <x:v>What community activity might Sharon pursue to align with her goals in 2026?</x:v>
      </x:c>
      <x:c r="F202" s="30" t="str">
        <x:v>Organizing charity sports events.</x:v>
      </x:c>
      <x:c r="G202" s="30" t="str">
        <x:v>Mentoring young athletes</x:v>
      </x:c>
      <x:c r="H202" s="30" t="str">
        <x:v>deepseek-v4-flash</x:v>
      </x:c>
      <x:c r="I202" s="30" t="str">
        <x:v>deepseek-v4-flash</x:v>
      </x:c>
      <x:c r="J202" s="30" t="str">
        <x:v>8c98e0addcdcbea2c5f11f0e08e83548187cc0e0fccad8131b6521733f0b0da0</x:v>
      </x:c>
      <x:c r="K202" s="30" t="str">
        <x:v>24d64f6af158515460b9b67e4d87072ed4c1b84bf6dca021845e040c5d865beb</x:v>
      </x:c>
      <x:c r="L202" s="30" t="n">
        <x:v>578.07</x:v>
      </x:c>
      <x:c r="M202" s="30" t="str">
        <x:v>{"completion_tokens": 5, "prompt_tokens": 539, "total_tokens": 544, "completion_tokens_details": null, "prompt_tokens_details": {"audio_tokens": null, "cached_tokens": 512}, "prompt_cache_hit_tokens": 512, "prompt_cache_miss_tokens": 27}</x:v>
      </x:c>
      <x:c r="N202" s="30" t="str">
        <x:v>hallucination</x:v>
      </x:c>
      <x:c r="O202" s="30" t="str">
        <x:v>The gold answer is 'Organizing charity sports events,' which refers to a specific community activity focused on event organization for charitable purposes. The model answer 'Mentoring young athletes' describes a different activity (mentoring) that is not semantically equivalent to organizing charity sports events. While both relate to sports, they represent distinct community activities, making this a concrete answer that contradicts the gold answer.</x:v>
      </x:c>
      <x:c r="P202" s="30" t="str">
        <x:v>LongCat-2.0</x:v>
      </x:c>
      <x:c r="Q202" s="30" t="str">
        <x:v>LongCat-2.0</x:v>
      </x:c>
      <x:c r="R202" s="30" t="n">
        <x:v>3212.41</x:v>
      </x:c>
      <x:c r="S202" s="30" t="str">
        <x:v>{"completion_tokens": 92, "prompt_tokens": 147,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3">
      <x:c r="A203" s="30" t="str">
        <x:v>memos_long:2094</x:v>
      </x:c>
      <x:c r="B203" s="30" t="str">
        <x:v>long</x:v>
      </x:c>
      <x:c r="C203" s="30" t="str">
        <x:v>Memory Conflict</x:v>
      </x:c>
      <x:c r="D203" s="30" t="n">
        <x:v>1</x:v>
      </x:c>
      <x:c r="E203" s="30" t="str">
        <x:v>Did Sharon Brown retire to focus solely on her sports career?</x:v>
      </x:c>
      <x:c r="F203" s="30" t="str">
        <x:v>No, she retired to focus on health and a sports academy.</x:v>
      </x:c>
      <x:c r="G203" s="30" t="str">
        <x:v>No, she retired for health.</x:v>
      </x:c>
      <x:c r="H203" s="30" t="str">
        <x:v>deepseek-v4-flash</x:v>
      </x:c>
      <x:c r="I203" s="30" t="str">
        <x:v>deepseek-v4-flash</x:v>
      </x:c>
      <x:c r="J203" s="30" t="str">
        <x:v>79fc59c3e2eaad89def0fa4ef8bab1b4edd9e203c70052e57456bc46829536d0</x:v>
      </x:c>
      <x:c r="K203" s="30" t="str">
        <x:v>5b08a75f2175c6ac6b92b91f2afa4410bab1a7c64a526a3a2416ecb0234ab20d</x:v>
      </x:c>
      <x:c r="L203" s="30" t="n">
        <x:v>523.59</x:v>
      </x:c>
      <x:c r="M203" s="30" t="str">
        <x:v>{"completion_tokens": 7, "prompt_tokens": 575, "total_tokens": 582, "completion_tokens_details": null, "prompt_tokens_details": {"audio_tokens": null, "cached_tokens": 512}, "prompt_cache_hit_tokens": 512, "prompt_cache_miss_tokens": 63}</x:v>
      </x:c>
      <x:c r="N203" s="30" t="str">
        <x:v>omission</x:v>
      </x:c>
      <x:c r="O203"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P203" s="30" t="str">
        <x:v>LongCat-2.0</x:v>
      </x:c>
      <x:c r="Q203" s="30" t="str">
        <x:v>LongCat-2.0</x:v>
      </x:c>
      <x:c r="R203" s="30" t="n">
        <x:v>9457.94</x:v>
      </x:c>
      <x:c r="S203" s="30" t="str">
        <x:v>{"completion_tokens": 66, "prompt_tokens": 149,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04">
      <x:c r="A204" s="30" t="str">
        <x:v>memos_long:2094</x:v>
      </x:c>
      <x:c r="B204" s="30" t="str">
        <x:v>long</x:v>
      </x:c>
      <x:c r="C204" s="30" t="str">
        <x:v>Memory Conflict</x:v>
      </x:c>
      <x:c r="D204" s="30" t="n">
        <x:v>2</x:v>
      </x:c>
      <x:c r="E204" s="30" t="str">
        <x:v>Did Sharon Brown retire to focus solely on her sports career?</x:v>
      </x:c>
      <x:c r="F204" s="30" t="str">
        <x:v>No, she retired to focus on health and a sports academy.</x:v>
      </x:c>
      <x:c r="G204" s="30" t="str">
        <x:v>No, she retired for health.</x:v>
      </x:c>
      <x:c r="H204" s="30" t="str">
        <x:v>deepseek-v4-flash</x:v>
      </x:c>
      <x:c r="I204" s="30" t="str">
        <x:v>deepseek-v4-flash</x:v>
      </x:c>
      <x:c r="J204" s="30" t="str">
        <x:v>79fc59c3e2eaad89def0fa4ef8bab1b4edd9e203c70052e57456bc46829536d0</x:v>
      </x:c>
      <x:c r="K204" s="30" t="str">
        <x:v>5b08a75f2175c6ac6b92b91f2afa4410bab1a7c64a526a3a2416ecb0234ab20d</x:v>
      </x:c>
      <x:c r="L204" s="30" t="n">
        <x:v>612.42</x:v>
      </x:c>
      <x:c r="M204" s="30" t="str">
        <x:v>{"completion_tokens": 7, "prompt_tokens": 575, "total_tokens": 582, "completion_tokens_details": null, "prompt_tokens_details": {"audio_tokens": null, "cached_tokens": 512}, "prompt_cache_hit_tokens": 512, "prompt_cache_miss_tokens": 63}</x:v>
      </x:c>
      <x:c r="N204" s="30" t="str">
        <x:v>omission</x:v>
      </x:c>
      <x:c r="O204"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P204" s="30" t="str">
        <x:v>LongCat-2.0</x:v>
      </x:c>
      <x:c r="Q204" s="30" t="str">
        <x:v>LongCat-2.0</x:v>
      </x:c>
      <x:c r="R204" s="30" t="n">
        <x:v>9115.11</x:v>
      </x:c>
      <x:c r="S204" s="30" t="str">
        <x:v>{"completion_tokens": 66, "prompt_tokens": 149,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5">
      <x:c r="A205" s="30" t="str">
        <x:v>memos_long:2094</x:v>
      </x:c>
      <x:c r="B205" s="30" t="str">
        <x:v>long</x:v>
      </x:c>
      <x:c r="C205" s="30" t="str">
        <x:v>Memory Conflict</x:v>
      </x:c>
      <x:c r="D205" s="30" t="n">
        <x:v>3</x:v>
      </x:c>
      <x:c r="E205" s="30" t="str">
        <x:v>Did Sharon Brown retire to focus solely on her sports career?</x:v>
      </x:c>
      <x:c r="F205" s="30" t="str">
        <x:v>No, she retired to focus on health and a sports academy.</x:v>
      </x:c>
      <x:c r="G205" s="30" t="str">
        <x:v>No, she retired for health.</x:v>
      </x:c>
      <x:c r="H205" s="30" t="str">
        <x:v>deepseek-v4-flash</x:v>
      </x:c>
      <x:c r="I205" s="30" t="str">
        <x:v>deepseek-v4-flash</x:v>
      </x:c>
      <x:c r="J205" s="30" t="str">
        <x:v>79fc59c3e2eaad89def0fa4ef8bab1b4edd9e203c70052e57456bc46829536d0</x:v>
      </x:c>
      <x:c r="K205" s="30" t="str">
        <x:v>5b08a75f2175c6ac6b92b91f2afa4410bab1a7c64a526a3a2416ecb0234ab20d</x:v>
      </x:c>
      <x:c r="L205" s="30" t="n">
        <x:v>598.61</x:v>
      </x:c>
      <x:c r="M205" s="30" t="str">
        <x:v>{"completion_tokens": 7, "prompt_tokens": 575, "total_tokens": 582, "completion_tokens_details": null, "prompt_tokens_details": {"audio_tokens": null, "cached_tokens": 512}, "prompt_cache_hit_tokens": 512, "prompt_cache_miss_tokens": 63}</x:v>
      </x:c>
      <x:c r="N205" s="30" t="str">
        <x:v>omission</x:v>
      </x:c>
      <x:c r="O205" s="30" t="str">
        <x:v>The model answer correctly states that Sharon Brown retired for health, which is part of the gold answer, but it omits the additional reason about the sports academy. Since it provides only an incomplete subset of the gold answer without adding a false claim, it is an omission.</x:v>
      </x:c>
      <x:c r="P205" s="30" t="str">
        <x:v>LongCat-2.0</x:v>
      </x:c>
      <x:c r="Q205" s="30" t="str">
        <x:v>LongCat-2.0</x:v>
      </x:c>
      <x:c r="R205" s="30" t="n">
        <x:v>8896.2</x:v>
      </x:c>
      <x:c r="S205" s="30" t="str">
        <x:v>{"completion_tokens": 66, "prompt_tokens": 149,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06">
      <x:c r="A206" s="30" t="str">
        <x:v>memos_long:210</x:v>
      </x:c>
      <x:c r="B206" s="30" t="str">
        <x:v>long</x:v>
      </x:c>
      <x:c r="C206" s="30" t="str">
        <x:v>Generalization &amp; Application</x:v>
      </x:c>
      <x:c r="D206" s="30" t="n">
        <x:v>1</x:v>
      </x:c>
      <x:c r="E206" s="30" t="str">
        <x:v>What stress management techniques might Johnson Joseph find effective based on his experiences by August 20, 2029?</x:v>
      </x:c>
      <x:c r="F206" s="30" t="str">
        <x:v>Mindfulness practices and scheduled downtime.</x:v>
      </x:c>
      <x:c r="G206" s="30" t="str">
        <x:v>Mindfulness and scheduled downtime.</x:v>
      </x:c>
      <x:c r="H206" s="30" t="str">
        <x:v>deepseek-v4-flash</x:v>
      </x:c>
      <x:c r="I206" s="30" t="str">
        <x:v>deepseek-v4-flash</x:v>
      </x:c>
      <x:c r="J206" s="30" t="str">
        <x:v>61f2c11d4c5b5e12e4f9a47fc0058b03d1cece8ae6c8ae1d71b7b4c9385cd098</x:v>
      </x:c>
      <x:c r="K206" s="30" t="str">
        <x:v>f118e787b154d767a42037c3bc9368b631e1d92596d78e94d8f0fb5e42dc98fc</x:v>
      </x:c>
      <x:c r="L206" s="30" t="n">
        <x:v>756.86</x:v>
      </x:c>
      <x:c r="M206" s="30" t="str">
        <x:v>{"completion_tokens": 6, "prompt_tokens": 569, "total_tokens": 575, "completion_tokens_details": null, "prompt_tokens_details": {"audio_tokens": null, "cached_tokens": 512}, "prompt_cache_hit_tokens": 512, "prompt_cache_miss_tokens": 57}</x:v>
      </x:c>
      <x:c r="N206" s="30" t="str">
        <x:v>correct</x:v>
      </x:c>
      <x:c r="O206"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P206" s="30" t="str">
        <x:v>LongCat-2.0</x:v>
      </x:c>
      <x:c r="Q206" s="30" t="str">
        <x:v>LongCat-2.0</x:v>
      </x:c>
      <x:c r="R206" s="30" t="n">
        <x:v>4042.44</x:v>
      </x:c>
      <x:c r="S206" s="30" t="str">
        <x:v>{"completion_tokens": 76, "prompt_tokens": 157,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7">
      <x:c r="A207" s="30" t="str">
        <x:v>memos_long:210</x:v>
      </x:c>
      <x:c r="B207" s="30" t="str">
        <x:v>long</x:v>
      </x:c>
      <x:c r="C207" s="30" t="str">
        <x:v>Generalization &amp; Application</x:v>
      </x:c>
      <x:c r="D207" s="30" t="n">
        <x:v>2</x:v>
      </x:c>
      <x:c r="E207" s="30" t="str">
        <x:v>What stress management techniques might Johnson Joseph find effective based on his experiences by August 20, 2029?</x:v>
      </x:c>
      <x:c r="F207" s="30" t="str">
        <x:v>Mindfulness practices and scheduled downtime.</x:v>
      </x:c>
      <x:c r="G207" s="30" t="str">
        <x:v>Mindfulness and scheduled downtime.</x:v>
      </x:c>
      <x:c r="H207" s="30" t="str">
        <x:v>deepseek-v4-flash</x:v>
      </x:c>
      <x:c r="I207" s="30" t="str">
        <x:v>deepseek-v4-flash</x:v>
      </x:c>
      <x:c r="J207" s="30" t="str">
        <x:v>61f2c11d4c5b5e12e4f9a47fc0058b03d1cece8ae6c8ae1d71b7b4c9385cd098</x:v>
      </x:c>
      <x:c r="K207" s="30" t="str">
        <x:v>f118e787b154d767a42037c3bc9368b631e1d92596d78e94d8f0fb5e42dc98fc</x:v>
      </x:c>
      <x:c r="L207" s="30" t="n">
        <x:v>566.99</x:v>
      </x:c>
      <x:c r="M207" s="30" t="str">
        <x:v>{"completion_tokens": 6, "prompt_tokens": 569, "total_tokens": 575, "completion_tokens_details": null, "prompt_tokens_details": {"audio_tokens": null, "cached_tokens": 512}, "prompt_cache_hit_tokens": 512, "prompt_cache_miss_tokens": 57}</x:v>
      </x:c>
      <x:c r="N207" s="30" t="str">
        <x:v>correct</x:v>
      </x:c>
      <x:c r="O207"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P207" s="30" t="str">
        <x:v>LongCat-2.0</x:v>
      </x:c>
      <x:c r="Q207" s="30" t="str">
        <x:v>LongCat-2.0</x:v>
      </x:c>
      <x:c r="R207" s="30" t="n">
        <x:v>3019.64</x:v>
      </x:c>
      <x:c r="S207" s="30" t="str">
        <x:v>{"completion_tokens": 76, "prompt_tokens": 157,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08">
      <x:c r="A208" s="30" t="str">
        <x:v>memos_long:210</x:v>
      </x:c>
      <x:c r="B208" s="30" t="str">
        <x:v>long</x:v>
      </x:c>
      <x:c r="C208" s="30" t="str">
        <x:v>Generalization &amp; Application</x:v>
      </x:c>
      <x:c r="D208" s="30" t="n">
        <x:v>3</x:v>
      </x:c>
      <x:c r="E208" s="30" t="str">
        <x:v>What stress management techniques might Johnson Joseph find effective based on his experiences by August 20, 2029?</x:v>
      </x:c>
      <x:c r="F208" s="30" t="str">
        <x:v>Mindfulness practices and scheduled downtime.</x:v>
      </x:c>
      <x:c r="G208" s="30" t="str">
        <x:v>Mindfulness and scheduled downtime.</x:v>
      </x:c>
      <x:c r="H208" s="30" t="str">
        <x:v>deepseek-v4-flash</x:v>
      </x:c>
      <x:c r="I208" s="30" t="str">
        <x:v>deepseek-v4-flash</x:v>
      </x:c>
      <x:c r="J208" s="30" t="str">
        <x:v>61f2c11d4c5b5e12e4f9a47fc0058b03d1cece8ae6c8ae1d71b7b4c9385cd098</x:v>
      </x:c>
      <x:c r="K208" s="30" t="str">
        <x:v>f118e787b154d767a42037c3bc9368b631e1d92596d78e94d8f0fb5e42dc98fc</x:v>
      </x:c>
      <x:c r="L208" s="30" t="n">
        <x:v>486.12</x:v>
      </x:c>
      <x:c r="M208" s="30" t="str">
        <x:v>{"completion_tokens": 6, "prompt_tokens": 569, "total_tokens": 575, "completion_tokens_details": null, "prompt_tokens_details": {"audio_tokens": null, "cached_tokens": 512}, "prompt_cache_hit_tokens": 512, "prompt_cache_miss_tokens": 57}</x:v>
      </x:c>
      <x:c r="N208" s="30" t="str">
        <x:v>correct</x:v>
      </x:c>
      <x:c r="O208"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P208" s="30" t="str">
        <x:v>LongCat-2.0</x:v>
      </x:c>
      <x:c r="Q208" s="30" t="str">
        <x:v>LongCat-2.0</x:v>
      </x:c>
      <x:c r="R208" s="30" t="n">
        <x:v>4212.75</x:v>
      </x:c>
      <x:c r="S208" s="30" t="str">
        <x:v>{"completion_tokens": 76, "prompt_tokens": 157,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09">
      <x:c r="A209" s="30" t="str">
        <x:v>memos_long:2113</x:v>
      </x:c>
      <x:c r="B209" s="30" t="str">
        <x:v>long</x:v>
      </x:c>
      <x:c r="C209" s="30" t="str">
        <x:v>Basic Fact Recall</x:v>
      </x:c>
      <x:c r="D209" s="30" t="n">
        <x:v>1</x:v>
      </x:c>
      <x:c r="E209" s="30" t="str">
        <x:v>What role does Sharon Brown plan to enhance with puzzle games as of Aug 22, 2027?</x:v>
      </x:c>
      <x:c r="F209" s="30" t="str">
        <x:v>Mentoring role at the sports academy.</x:v>
      </x:c>
      <x:c r="G209" s="30" t="str">
        <x:v>Mentoring role at sports academy</x:v>
      </x:c>
      <x:c r="H209" s="30" t="str">
        <x:v>deepseek-v4-flash</x:v>
      </x:c>
      <x:c r="I209" s="30" t="str">
        <x:v>deepseek-v4-flash</x:v>
      </x:c>
      <x:c r="J209" s="30" t="str">
        <x:v>54593e6ab34295a2326ff98549374b617d07f48db062cca5a960e60e875a9d2f</x:v>
      </x:c>
      <x:c r="K209" s="30" t="str">
        <x:v>4d56ef6e42ebe5b5769c1069fd452f5617ffef37abb20eab82ffcaf4ecfebd12</x:v>
      </x:c>
      <x:c r="L209" s="30" t="n">
        <x:v>475.68</x:v>
      </x:c>
      <x:c r="M209" s="30" t="str">
        <x:v>{"completion_tokens": 7, "prompt_tokens": 550, "total_tokens": 557, "completion_tokens_details": null, "prompt_tokens_details": {"audio_tokens": null, "cached_tokens": 512}, "prompt_cache_hit_tokens": 512, "prompt_cache_miss_tokens": 38}</x:v>
      </x:c>
      <x:c r="N209" s="30" t="str">
        <x:v>correct</x:v>
      </x:c>
      <x:c r="O209" s="30" t="str">
        <x:v>The model answer 'Mentoring role at sports academy' is semantically identical to the gold answer 'Mentoring role at the sports academy.' The only difference is the omission of the article 'the,' which does not change the meaning or completeness of the answer.</x:v>
      </x:c>
      <x:c r="P209" s="30" t="str">
        <x:v>LongCat-2.0</x:v>
      </x:c>
      <x:c r="Q209" s="30" t="str">
        <x:v>LongCat-2.0</x:v>
      </x:c>
      <x:c r="R209" s="30" t="n">
        <x:v>4351.77</x:v>
      </x:c>
      <x:c r="S209" s="30" t="str">
        <x:v>{"completion_tokens": 65, "prompt_tokens": 158,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10">
      <x:c r="A210" s="30" t="str">
        <x:v>memos_long:2113</x:v>
      </x:c>
      <x:c r="B210" s="30" t="str">
        <x:v>long</x:v>
      </x:c>
      <x:c r="C210" s="30" t="str">
        <x:v>Basic Fact Recall</x:v>
      </x:c>
      <x:c r="D210" s="30" t="n">
        <x:v>2</x:v>
      </x:c>
      <x:c r="E210" s="30" t="str">
        <x:v>What role does Sharon Brown plan to enhance with puzzle games as of Aug 22, 2027?</x:v>
      </x:c>
      <x:c r="F210" s="30" t="str">
        <x:v>Mentoring role at the sports academy.</x:v>
      </x:c>
      <x:c r="G210" s="30" t="str">
        <x:v>Mentoring role at sports academy</x:v>
      </x:c>
      <x:c r="H210" s="30" t="str">
        <x:v>deepseek-v4-flash</x:v>
      </x:c>
      <x:c r="I210" s="30" t="str">
        <x:v>deepseek-v4-flash</x:v>
      </x:c>
      <x:c r="J210" s="30" t="str">
        <x:v>54593e6ab34295a2326ff98549374b617d07f48db062cca5a960e60e875a9d2f</x:v>
      </x:c>
      <x:c r="K210" s="30" t="str">
        <x:v>4d56ef6e42ebe5b5769c1069fd452f5617ffef37abb20eab82ffcaf4ecfebd12</x:v>
      </x:c>
      <x:c r="L210" s="30" t="n">
        <x:v>611.29</x:v>
      </x:c>
      <x:c r="M210" s="30" t="str">
        <x:v>{"completion_tokens": 7, "prompt_tokens": 550, "total_tokens": 557, "completion_tokens_details": null, "prompt_tokens_details": {"audio_tokens": null, "cached_tokens": 512}, "prompt_cache_hit_tokens": 512, "prompt_cache_miss_tokens": 38}</x:v>
      </x:c>
      <x:c r="N210" s="30" t="str">
        <x:v>correct</x:v>
      </x:c>
      <x:c r="O210" s="30" t="str">
        <x:v>The model answer 'Mentoring role at sports academy' is semantically identical to the gold answer 'Mentoring role at the sports academy.' The only difference is the omission of the article 'the,' which does not change the meaning or completeness of the answer.</x:v>
      </x:c>
      <x:c r="P210" s="30" t="str">
        <x:v>LongCat-2.0</x:v>
      </x:c>
      <x:c r="Q210" s="30" t="str">
        <x:v>LongCat-2.0</x:v>
      </x:c>
      <x:c r="R210" s="30" t="n">
        <x:v>2396.32</x:v>
      </x:c>
      <x:c r="S210" s="30" t="str">
        <x:v>{"completion_tokens": 65, "prompt_tokens": 158,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1">
      <x:c r="A211" s="30" t="str">
        <x:v>memos_long:2113</x:v>
      </x:c>
      <x:c r="B211" s="30" t="str">
        <x:v>long</x:v>
      </x:c>
      <x:c r="C211" s="30" t="str">
        <x:v>Basic Fact Recall</x:v>
      </x:c>
      <x:c r="D211" s="30" t="n">
        <x:v>3</x:v>
      </x:c>
      <x:c r="E211" s="30" t="str">
        <x:v>What role does Sharon Brown plan to enhance with puzzle games as of Aug 22, 2027?</x:v>
      </x:c>
      <x:c r="F211" s="30" t="str">
        <x:v>Mentoring role at the sports academy.</x:v>
      </x:c>
      <x:c r="G211" s="30" t="str">
        <x:v>Mentoring role at sports academy</x:v>
      </x:c>
      <x:c r="H211" s="30" t="str">
        <x:v>deepseek-v4-flash</x:v>
      </x:c>
      <x:c r="I211" s="30" t="str">
        <x:v>deepseek-v4-flash</x:v>
      </x:c>
      <x:c r="J211" s="30" t="str">
        <x:v>54593e6ab34295a2326ff98549374b617d07f48db062cca5a960e60e875a9d2f</x:v>
      </x:c>
      <x:c r="K211" s="30" t="str">
        <x:v>4d56ef6e42ebe5b5769c1069fd452f5617ffef37abb20eab82ffcaf4ecfebd12</x:v>
      </x:c>
      <x:c r="L211" s="30" t="n">
        <x:v>748.06</x:v>
      </x:c>
      <x:c r="M211" s="30" t="str">
        <x:v>{"completion_tokens": 7, "prompt_tokens": 550, "total_tokens": 557, "completion_tokens_details": null, "prompt_tokens_details": {"audio_tokens": null, "cached_tokens": 512}, "prompt_cache_hit_tokens": 512, "prompt_cache_miss_tokens": 38}</x:v>
      </x:c>
      <x:c r="N211" s="30" t="str">
        <x:v>correct</x:v>
      </x:c>
      <x:c r="O211" s="30" t="str">
        <x:v>The model answer 'Mentoring role at sports academy' is semantically equivalent to the gold answer 'Mentoring role at the sports academy.' The only difference is the omission of the article 'the,' which does not change the meaning or completeness of the answer.</x:v>
      </x:c>
      <x:c r="P211" s="30" t="str">
        <x:v>LongCat-2.0</x:v>
      </x:c>
      <x:c r="Q211" s="30" t="str">
        <x:v>LongCat-2.0</x:v>
      </x:c>
      <x:c r="R211" s="30" t="n">
        <x:v>2140.12</x:v>
      </x:c>
      <x:c r="S211" s="30" t="str">
        <x:v>{"completion_tokens": 65, "prompt_tokens": 158,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2">
      <x:c r="A212" s="30" t="str">
        <x:v>memos_long:2118</x:v>
      </x:c>
      <x:c r="B212" s="30" t="str">
        <x:v>long</x:v>
      </x:c>
      <x:c r="C212" s="30" t="str">
        <x:v>Generalization &amp; Application</x:v>
      </x:c>
      <x:c r="D212" s="30" t="n">
        <x:v>1</x:v>
      </x:c>
      <x:c r="E212" s="30" t="str">
        <x:v>What new wellness strategies might Sharon explore to further improve her health as of 2027-09-20?</x:v>
      </x:c>
      <x:c r="F212" s="30" t="str">
        <x:v>Sharon might explore mindfulness and balanced diet strategies.</x:v>
      </x:c>
      <x:c r="G212" s="30" t="str">
        <x:v>New philosophical approaches.</x:v>
      </x:c>
      <x:c r="H212" s="30" t="str">
        <x:v>deepseek-v4-flash</x:v>
      </x:c>
      <x:c r="I212" s="30" t="str">
        <x:v>deepseek-v4-flash</x:v>
      </x:c>
      <x:c r="J212" s="30" t="str">
        <x:v>552820209deece0f3050e5c73896f48f23ebda6a1f629f762807b83106dddc79</x:v>
      </x:c>
      <x:c r="K212" s="30" t="str">
        <x:v>4344697d4d2d66f42feef3ab4766fdd968601f9ffbcc08147d38fbcff68c2524</x:v>
      </x:c>
      <x:c r="L212" s="30" t="n">
        <x:v>819.75</x:v>
      </x:c>
      <x:c r="M212" s="30" t="str">
        <x:v>{"completion_tokens": 4, "prompt_tokens": 574, "total_tokens": 578, "completion_tokens_details": null, "prompt_tokens_details": {"audio_tokens": null, "cached_tokens": 512}, "prompt_cache_hit_tokens": 512, "prompt_cache_miss_tokens": 62}</x:v>
      </x:c>
      <x:c r="N212" s="30" t="str">
        <x:v>hallucination</x:v>
      </x:c>
      <x:c r="O212" s="30" t="str">
        <x:v>The model answer 'New philosophical approaches' is a concrete answer that does not match the gold answer's specific strategies of mindfulness and balanced diet, and introduces unsupported material not present in the gold answer.</x:v>
      </x:c>
      <x:c r="P212" s="30" t="str">
        <x:v>LongCat-2.0</x:v>
      </x:c>
      <x:c r="Q212" s="30" t="str">
        <x:v>LongCat-2.0</x:v>
      </x:c>
      <x:c r="R212" s="30" t="n">
        <x:v>3891.45</x:v>
      </x:c>
      <x:c r="S212" s="30" t="str">
        <x:v>{"completion_tokens": 52, "prompt_tokens": 157,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3">
      <x:c r="A213" s="30" t="str">
        <x:v>memos_long:2118</x:v>
      </x:c>
      <x:c r="B213" s="30" t="str">
        <x:v>long</x:v>
      </x:c>
      <x:c r="C213" s="30" t="str">
        <x:v>Generalization &amp; Application</x:v>
      </x:c>
      <x:c r="D213" s="30" t="n">
        <x:v>2</x:v>
      </x:c>
      <x:c r="E213" s="30" t="str">
        <x:v>What new wellness strategies might Sharon explore to further improve her health as of 2027-09-20?</x:v>
      </x:c>
      <x:c r="F213" s="30" t="str">
        <x:v>Sharon might explore mindfulness and balanced diet strategies.</x:v>
      </x:c>
      <x:c r="G213" s="30" t="str">
        <x:v>New philosophical approaches.</x:v>
      </x:c>
      <x:c r="H213" s="30" t="str">
        <x:v>deepseek-v4-flash</x:v>
      </x:c>
      <x:c r="I213" s="30" t="str">
        <x:v>deepseek-v4-flash</x:v>
      </x:c>
      <x:c r="J213" s="30" t="str">
        <x:v>552820209deece0f3050e5c73896f48f23ebda6a1f629f762807b83106dddc79</x:v>
      </x:c>
      <x:c r="K213" s="30" t="str">
        <x:v>4344697d4d2d66f42feef3ab4766fdd968601f9ffbcc08147d38fbcff68c2524</x:v>
      </x:c>
      <x:c r="L213" s="30" t="n">
        <x:v>612.32</x:v>
      </x:c>
      <x:c r="M213" s="30" t="str">
        <x:v>{"completion_tokens": 4, "prompt_tokens": 574, "total_tokens": 578, "completion_tokens_details": null, "prompt_tokens_details": {"audio_tokens": null, "cached_tokens": 512}, "prompt_cache_hit_tokens": 512, "prompt_cache_miss_tokens": 62}</x:v>
      </x:c>
      <x:c r="N213" s="30" t="str">
        <x:v>hallucination</x:v>
      </x:c>
      <x:c r="O213" s="30" t="str">
        <x:v>The model answer 'New philosophical approaches' is a concrete answer that does not match the gold answer's specific strategies of mindfulness and balanced diet, and introduces unsupported material not present in the benchmark.</x:v>
      </x:c>
      <x:c r="P213" s="30" t="str">
        <x:v>LongCat-2.0</x:v>
      </x:c>
      <x:c r="Q213" s="30" t="str">
        <x:v>LongCat-2.0</x:v>
      </x:c>
      <x:c r="R213" s="30" t="n">
        <x:v>3942.96</x:v>
      </x:c>
      <x:c r="S213" s="30" t="str">
        <x:v>{"completion_tokens": 51, "prompt_tokens": 157,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14">
      <x:c r="A214" s="30" t="str">
        <x:v>memos_long:2118</x:v>
      </x:c>
      <x:c r="B214" s="30" t="str">
        <x:v>long</x:v>
      </x:c>
      <x:c r="C214" s="30" t="str">
        <x:v>Generalization &amp; Application</x:v>
      </x:c>
      <x:c r="D214" s="30" t="n">
        <x:v>3</x:v>
      </x:c>
      <x:c r="E214" s="30" t="str">
        <x:v>What new wellness strategies might Sharon explore to further improve her health as of 2027-09-20?</x:v>
      </x:c>
      <x:c r="F214" s="30" t="str">
        <x:v>Sharon might explore mindfulness and balanced diet strategies.</x:v>
      </x:c>
      <x:c r="G214" s="30" t="str">
        <x:v>New philosophical approaches.</x:v>
      </x:c>
      <x:c r="H214" s="30" t="str">
        <x:v>deepseek-v4-flash</x:v>
      </x:c>
      <x:c r="I214" s="30" t="str">
        <x:v>deepseek-v4-flash</x:v>
      </x:c>
      <x:c r="J214" s="30" t="str">
        <x:v>552820209deece0f3050e5c73896f48f23ebda6a1f629f762807b83106dddc79</x:v>
      </x:c>
      <x:c r="K214" s="30" t="str">
        <x:v>4344697d4d2d66f42feef3ab4766fdd968601f9ffbcc08147d38fbcff68c2524</x:v>
      </x:c>
      <x:c r="L214" s="30" t="n">
        <x:v>802.29</x:v>
      </x:c>
      <x:c r="M214" s="30" t="str">
        <x:v>{"completion_tokens": 4, "prompt_tokens": 574, "total_tokens": 578, "completion_tokens_details": null, "prompt_tokens_details": {"audio_tokens": null, "cached_tokens": 512}, "prompt_cache_hit_tokens": 512, "prompt_cache_miss_tokens": 62}</x:v>
      </x:c>
      <x:c r="N214" s="30" t="str">
        <x:v>hallucination</x:v>
      </x:c>
      <x:c r="O214" s="30" t="str">
        <x:v>The gold answer specifies concrete wellness strategies (mindfulness and balanced diet), while the model answer provides 'New philosophical approaches,' which is a concrete but unsupported and incorrect claim that does not match the gold answer.</x:v>
      </x:c>
      <x:c r="P214" s="30" t="str">
        <x:v>LongCat-2.0</x:v>
      </x:c>
      <x:c r="Q214" s="30" t="str">
        <x:v>LongCat-2.0</x:v>
      </x:c>
      <x:c r="R214" s="30" t="n">
        <x:v>2564.32</x:v>
      </x:c>
      <x:c r="S214" s="30" t="str">
        <x:v>{"completion_tokens": 54, "prompt_tokens": 157,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5">
      <x:c r="A215" s="30" t="str">
        <x:v>memos_long:2133</x:v>
      </x:c>
      <x:c r="B215" s="30" t="str">
        <x:v>long</x:v>
      </x:c>
      <x:c r="C215" s="30" t="str">
        <x:v>Generalization &amp; Application</x:v>
      </x:c>
      <x:c r="D215" s="30" t="n">
        <x:v>1</x:v>
      </x:c>
      <x:c r="E215" s="30" t="str">
        <x:v>What type of movies might Sharon prefer to explore after July 29, 2028, given her evolving preferences?</x:v>
      </x:c>
      <x:c r="F215" s="30" t="str">
        <x:v>Movies with strong narratives and engaging plots.</x:v>
      </x:c>
      <x:c r="G215" s="30" t="str">
        <x:v>Horror films with strong narratives.</x:v>
      </x:c>
      <x:c r="H215" s="30" t="str">
        <x:v>deepseek-v4-flash</x:v>
      </x:c>
      <x:c r="I215" s="30" t="str">
        <x:v>deepseek-v4-flash</x:v>
      </x:c>
      <x:c r="J215" s="30" t="str">
        <x:v>1b1bf51eab797469fb9015cc0f27fb431446e7b24a00ce5ca4ac4aaac4cf1b51</x:v>
      </x:c>
      <x:c r="K215" s="30" t="str">
        <x:v>467c6571e2f0837c048a8dca074695fc94d23cf2c77f4d9a7c6a00823497d41e</x:v>
      </x:c>
      <x:c r="L215" s="30" t="n">
        <x:v>914.46</x:v>
      </x:c>
      <x:c r="M215" s="30" t="str">
        <x:v>{"completion_tokens": 7, "prompt_tokens": 575, "total_tokens": 582, "completion_tokens_details": null, "prompt_tokens_details": {"audio_tokens": null, "cached_tokens": 512}, "prompt_cache_hit_tokens": 512, "prompt_cache_miss_tokens": 63}</x:v>
      </x:c>
      <x:c r="N215" s="30" t="str">
        <x:v>hallucination</x:v>
      </x:c>
      <x:c r="O215" s="30" t="str">
        <x:v>The gold answer states that Sharon might prefer 'Movies with strong narratives and engaging plots,' which is a general category. The model answer narrows this to 'Horror films with strong narratives,' introducing the specific genre 'Horror' which is not supported by or present in the gold answer. This addition of an unsupported, concrete detail constitutes a hallucination.</x:v>
      </x:c>
      <x:c r="P215" s="30" t="str">
        <x:v>LongCat-2.0</x:v>
      </x:c>
      <x:c r="Q215" s="30" t="str">
        <x:v>LongCat-2.0</x:v>
      </x:c>
      <x:c r="R215" s="30" t="n">
        <x:v>3606.78</x:v>
      </x:c>
      <x:c r="S215" s="30" t="str">
        <x:v>{"completion_tokens": 85, "prompt_tokens": 159, "total_tokens": 244,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16">
      <x:c r="A216" s="30" t="str">
        <x:v>memos_long:2133</x:v>
      </x:c>
      <x:c r="B216" s="30" t="str">
        <x:v>long</x:v>
      </x:c>
      <x:c r="C216" s="30" t="str">
        <x:v>Generalization &amp; Application</x:v>
      </x:c>
      <x:c r="D216" s="30" t="n">
        <x:v>2</x:v>
      </x:c>
      <x:c r="E216" s="30" t="str">
        <x:v>What type of movies might Sharon prefer to explore after July 29, 2028, given her evolving preferences?</x:v>
      </x:c>
      <x:c r="F216" s="30" t="str">
        <x:v>Movies with strong narratives and engaging plots.</x:v>
      </x:c>
      <x:c r="G216" s="30" t="str">
        <x:v>Horror films</x:v>
      </x:c>
      <x:c r="H216" s="30" t="str">
        <x:v>deepseek-v4-flash</x:v>
      </x:c>
      <x:c r="I216" s="30" t="str">
        <x:v>deepseek-v4-flash</x:v>
      </x:c>
      <x:c r="J216" s="30" t="str">
        <x:v>1b1bf51eab797469fb9015cc0f27fb431446e7b24a00ce5ca4ac4aaac4cf1b51</x:v>
      </x:c>
      <x:c r="K216" s="30" t="str">
        <x:v>467c6571e2f0837c048a8dca074695fc94d23cf2c77f4d9a7c6a00823497d41e</x:v>
      </x:c>
      <x:c r="L216" s="30" t="n">
        <x:v>768.48</x:v>
      </x:c>
      <x:c r="M216" s="30" t="str">
        <x:v>{"completion_tokens": 3, "prompt_tokens": 575, "total_tokens": 578, "completion_tokens_details": null, "prompt_tokens_details": {"audio_tokens": null, "cached_tokens": 512}, "prompt_cache_hit_tokens": 512, "prompt_cache_miss_tokens": 63}</x:v>
      </x:c>
      <x:c r="N216" s="30" t="str">
        <x:v>hallucination</x:v>
      </x:c>
      <x:c r="O216"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P216" s="30" t="str">
        <x:v>LongCat-2.0</x:v>
      </x:c>
      <x:c r="Q216" s="30" t="str">
        <x:v>LongCat-2.0</x:v>
      </x:c>
      <x:c r="R216" s="30" t="n">
        <x:v>3277.12</x:v>
      </x:c>
      <x:c r="S216" s="30" t="str">
        <x:v>{"completion_tokens": 75, "prompt_tokens": 156, "total_tokens": 231,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17">
      <x:c r="A217" s="30" t="str">
        <x:v>memos_long:2133</x:v>
      </x:c>
      <x:c r="B217" s="30" t="str">
        <x:v>long</x:v>
      </x:c>
      <x:c r="C217" s="30" t="str">
        <x:v>Generalization &amp; Application</x:v>
      </x:c>
      <x:c r="D217" s="30" t="n">
        <x:v>3</x:v>
      </x:c>
      <x:c r="E217" s="30" t="str">
        <x:v>What type of movies might Sharon prefer to explore after July 29, 2028, given her evolving preferences?</x:v>
      </x:c>
      <x:c r="F217" s="30" t="str">
        <x:v>Movies with strong narratives and engaging plots.</x:v>
      </x:c>
      <x:c r="G217" s="30" t="str">
        <x:v>Horror films</x:v>
      </x:c>
      <x:c r="H217" s="30" t="str">
        <x:v>deepseek-v4-flash</x:v>
      </x:c>
      <x:c r="I217" s="30" t="str">
        <x:v>deepseek-v4-flash</x:v>
      </x:c>
      <x:c r="J217" s="30" t="str">
        <x:v>1b1bf51eab797469fb9015cc0f27fb431446e7b24a00ce5ca4ac4aaac4cf1b51</x:v>
      </x:c>
      <x:c r="K217" s="30" t="str">
        <x:v>467c6571e2f0837c048a8dca074695fc94d23cf2c77f4d9a7c6a00823497d41e</x:v>
      </x:c>
      <x:c r="L217" s="30" t="n">
        <x:v>840.28</x:v>
      </x:c>
      <x:c r="M217" s="30" t="str">
        <x:v>{"completion_tokens": 3, "prompt_tokens": 575, "total_tokens": 578, "completion_tokens_details": null, "prompt_tokens_details": {"audio_tokens": null, "cached_tokens": 512}, "prompt_cache_hit_tokens": 512, "prompt_cache_miss_tokens": 63}</x:v>
      </x:c>
      <x:c r="N217" s="30" t="str">
        <x:v>hallucination</x:v>
      </x:c>
      <x:c r="O217"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P217" s="30" t="str">
        <x:v>LongCat-2.0</x:v>
      </x:c>
      <x:c r="Q217" s="30" t="str">
        <x:v>LongCat-2.0</x:v>
      </x:c>
      <x:c r="R217" s="30" t="n">
        <x:v>3544.29</x:v>
      </x:c>
      <x:c r="S217" s="30" t="str">
        <x:v>{"completion_tokens": 75, "prompt_tokens": 156,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8">
      <x:c r="A218" s="30" t="str">
        <x:v>memos_long:2153</x:v>
      </x:c>
      <x:c r="B218" s="30" t="str">
        <x:v>long</x:v>
      </x:c>
      <x:c r="C218" s="30" t="str">
        <x:v>Generalization &amp; Application</x:v>
      </x:c>
      <x:c r="D218" s="30" t="n">
        <x:v>1</x:v>
      </x:c>
      <x:c r="E218" s="30" t="str">
        <x:v>What new opportunities might Sharon Brown explore in her role at Partnership Enterprise after February 24, 2030?</x:v>
      </x:c>
      <x:c r="F218" s="30" t="str">
        <x:v>Collaboration on strategic initiatives and mentoring young professionals.</x:v>
      </x:c>
      <x:c r="G218" s="30" t="str">
        <x:v>Collaboration and mentoring opportunities.</x:v>
      </x:c>
      <x:c r="H218" s="30" t="str">
        <x:v>deepseek-v4-flash</x:v>
      </x:c>
      <x:c r="I218" s="30" t="str">
        <x:v>deepseek-v4-flash</x:v>
      </x:c>
      <x:c r="J218" s="30" t="str">
        <x:v>bb5c331e1067bf941f094a48845a3a7aa2e98b41438f5a52b4aab5a89c8346d1</x:v>
      </x:c>
      <x:c r="K218" s="30" t="str">
        <x:v>a0a3870c61455833f157acfb0488f836a836a99bd4e179de1d614854127357da</x:v>
      </x:c>
      <x:c r="L218" s="30" t="n">
        <x:v>570.95</x:v>
      </x:c>
      <x:c r="M218" s="30" t="str">
        <x:v>{"completion_tokens": 6, "prompt_tokens": 605, "total_tokens": 611, "completion_tokens_details": null, "prompt_tokens_details": {"audio_tokens": null, "cached_tokens": 512}, "prompt_cache_hit_tokens": 512, "prompt_cache_miss_tokens": 93}</x:v>
      </x:c>
      <x:c r="N218" s="30" t="str">
        <x:v>omission</x:v>
      </x:c>
      <x:c r="O218" s="30" t="str">
        <x:v>The model answer 'Collaboration and mentoring opportunities' captures the general themes but omits the specific details present in the gold answer: 'strategic initiatives' (specifying the type of collaboration) and 'young professionals' (specifying the mentoring audience). This makes it an incomplete subset of the gold answer.</x:v>
      </x:c>
      <x:c r="P218" s="30" t="str">
        <x:v>LongCat-2.0</x:v>
      </x:c>
      <x:c r="Q218" s="30" t="str">
        <x:v>LongCat-2.0</x:v>
      </x:c>
      <x:c r="R218" s="30" t="n">
        <x:v>3946.07</x:v>
      </x:c>
      <x:c r="S218" s="30" t="str">
        <x:v>{"completion_tokens": 75, "prompt_tokens": 158,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19">
      <x:c r="A219" s="30" t="str">
        <x:v>memos_long:2153</x:v>
      </x:c>
      <x:c r="B219" s="30" t="str">
        <x:v>long</x:v>
      </x:c>
      <x:c r="C219" s="30" t="str">
        <x:v>Generalization &amp; Application</x:v>
      </x:c>
      <x:c r="D219" s="30" t="n">
        <x:v>2</x:v>
      </x:c>
      <x:c r="E219" s="30" t="str">
        <x:v>What new opportunities might Sharon Brown explore in her role at Partnership Enterprise after February 24, 2030?</x:v>
      </x:c>
      <x:c r="F219" s="30" t="str">
        <x:v>Collaboration on strategic initiatives and mentoring young professionals.</x:v>
      </x:c>
      <x:c r="G219" s="30" t="str">
        <x:v>Collaboration and mentoring opportunities.</x:v>
      </x:c>
      <x:c r="H219" s="30" t="str">
        <x:v>deepseek-v4-flash</x:v>
      </x:c>
      <x:c r="I219" s="30" t="str">
        <x:v>deepseek-v4-flash</x:v>
      </x:c>
      <x:c r="J219" s="30" t="str">
        <x:v>bb5c331e1067bf941f094a48845a3a7aa2e98b41438f5a52b4aab5a89c8346d1</x:v>
      </x:c>
      <x:c r="K219" s="30" t="str">
        <x:v>a0a3870c61455833f157acfb0488f836a836a99bd4e179de1d614854127357da</x:v>
      </x:c>
      <x:c r="L219" s="30" t="n">
        <x:v>565.92</x:v>
      </x:c>
      <x:c r="M219" s="30" t="str">
        <x:v>{"completion_tokens": 6, "prompt_tokens": 605, "total_tokens": 611, "completion_tokens_details": null, "prompt_tokens_details": {"audio_tokens": null, "cached_tokens": 512}, "prompt_cache_hit_tokens": 512, "prompt_cache_miss_tokens": 93}</x:v>
      </x:c>
      <x:c r="N219" s="30" t="str">
        <x:v>omission</x:v>
      </x:c>
      <x:c r="O219" s="30" t="str">
        <x:v>The model answer 'Collaboration and mentoring opportunities' captures the general themes of the gold answer but omits the specific details: 'strategic initiatives' (specifying the type of collaboration) and 'young professionals' (specifying who is being mentored). While not factually incorrect, it provides only an incomplete subset of the gold answer's content.</x:v>
      </x:c>
      <x:c r="P219" s="30" t="str">
        <x:v>LongCat-2.0</x:v>
      </x:c>
      <x:c r="Q219" s="30" t="str">
        <x:v>LongCat-2.0</x:v>
      </x:c>
      <x:c r="R219" s="30" t="n">
        <x:v>3482.41</x:v>
      </x:c>
      <x:c r="S219" s="30" t="str">
        <x:v>{"completion_tokens": 84, "prompt_tokens": 158, "total_tokens": 242,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20">
      <x:c r="A220" s="30" t="str">
        <x:v>memos_long:2153</x:v>
      </x:c>
      <x:c r="B220" s="30" t="str">
        <x:v>long</x:v>
      </x:c>
      <x:c r="C220" s="30" t="str">
        <x:v>Generalization &amp; Application</x:v>
      </x:c>
      <x:c r="D220" s="30" t="n">
        <x:v>3</x:v>
      </x:c>
      <x:c r="E220" s="30" t="str">
        <x:v>What new opportunities might Sharon Brown explore in her role at Partnership Enterprise after February 24, 2030?</x:v>
      </x:c>
      <x:c r="F220" s="30" t="str">
        <x:v>Collaboration on strategic initiatives and mentoring young professionals.</x:v>
      </x:c>
      <x:c r="G220" s="30" t="str">
        <x:v>Collaboration and mentoring opportunities.</x:v>
      </x:c>
      <x:c r="H220" s="30" t="str">
        <x:v>deepseek-v4-flash</x:v>
      </x:c>
      <x:c r="I220" s="30" t="str">
        <x:v>deepseek-v4-flash</x:v>
      </x:c>
      <x:c r="J220" s="30" t="str">
        <x:v>bb5c331e1067bf941f094a48845a3a7aa2e98b41438f5a52b4aab5a89c8346d1</x:v>
      </x:c>
      <x:c r="K220" s="30" t="str">
        <x:v>a0a3870c61455833f157acfb0488f836a836a99bd4e179de1d614854127357da</x:v>
      </x:c>
      <x:c r="L220" s="30" t="n">
        <x:v>557.36</x:v>
      </x:c>
      <x:c r="M220" s="30" t="str">
        <x:v>{"completion_tokens": 6, "prompt_tokens": 605, "total_tokens": 611, "completion_tokens_details": null, "prompt_tokens_details": {"audio_tokens": null, "cached_tokens": 512}, "prompt_cache_hit_tokens": 512, "prompt_cache_miss_tokens": 93}</x:v>
      </x:c>
      <x:c r="N220" s="30" t="str">
        <x:v>omission</x:v>
      </x:c>
      <x:c r="O220" s="30" t="str">
        <x:v>The model answer 'Collaboration and mentoring opportunities' captures the general themes but omits the specific details present in the gold answer: 'strategic initiatives' (specifying the type of collaboration) and 'young professionals' (specifying who is being mentored). While not factually incorrect, the answer is an incomplete subset of the gold answer.</x:v>
      </x:c>
      <x:c r="P220" s="30" t="str">
        <x:v>LongCat-2.0</x:v>
      </x:c>
      <x:c r="Q220" s="30" t="str">
        <x:v>LongCat-2.0</x:v>
      </x:c>
      <x:c r="R220" s="30" t="n">
        <x:v>4196.24</x:v>
      </x:c>
      <x:c r="S220" s="30" t="str">
        <x:v>{"completion_tokens": 83, "prompt_tokens": 158,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1">
      <x:c r="A221" s="30" t="str">
        <x:v>memos_long:2156</x:v>
      </x:c>
      <x:c r="B221" s="30" t="str">
        <x:v>long</x:v>
      </x:c>
      <x:c r="C221" s="30" t="str">
        <x:v>Basic Fact Recall</x:v>
      </x:c>
      <x:c r="D221" s="30" t="n">
        <x:v>1</x:v>
      </x:c>
      <x:c r="E221" s="30" t="str">
        <x:v>What is Sharon Brown's monthly income as of May 24, 2029?</x:v>
      </x:c>
      <x:c r="F221" s="30" t="str">
        <x:v>$15,000</x:v>
      </x:c>
      <x:c r="G221" s="30" t="str">
        <x:v>$15,000</x:v>
      </x:c>
      <x:c r="H221" s="30" t="str">
        <x:v>deepseek-v4-flash</x:v>
      </x:c>
      <x:c r="I221" s="30" t="str">
        <x:v>deepseek-v4-flash</x:v>
      </x:c>
      <x:c r="J221" s="30" t="str">
        <x:v>ad5cd04c3f8ae05007f165c1c0a416af1d962629bd81c6c51b2b69d0c7860e80</x:v>
      </x:c>
      <x:c r="K221" s="30" t="str">
        <x:v>b5aa8d3e8c118d1459c3cdd4b7d9bd359e5df46b85b100e824834cf66b7c9e3a</x:v>
      </x:c>
      <x:c r="L221" s="30" t="n">
        <x:v>561.33</x:v>
      </x:c>
      <x:c r="M221" s="30" t="str">
        <x:v>{"completion_tokens": 4, "prompt_tokens": 528, "total_tokens": 532, "completion_tokens_details": null, "prompt_tokens_details": {"audio_tokens": null, "cached_tokens": 512}, "prompt_cache_hit_tokens": 512, "prompt_cache_miss_tokens": 16}</x:v>
      </x:c>
      <x:c r="N221" s="30" t="str">
        <x:v>correct</x:v>
      </x:c>
      <x:c r="O221" s="30" t="str">
        <x:v>The model answer exactly matches the benchmark gold answer of $15,000, providing the complete and correct information.</x:v>
      </x:c>
      <x:c r="P221" s="30" t="str">
        <x:v>LongCat-2.0</x:v>
      </x:c>
      <x:c r="Q221" s="30" t="str">
        <x:v>LongCat-2.0</x:v>
      </x:c>
      <x:c r="R221" s="30" t="n">
        <x:v>2001.75</x:v>
      </x:c>
      <x:c r="S221" s="30" t="str">
        <x:v>{"completion_tokens": 36, "prompt_tokens": 153, "total_tokens": 189,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22">
      <x:c r="A222" s="30" t="str">
        <x:v>memos_long:2156</x:v>
      </x:c>
      <x:c r="B222" s="30" t="str">
        <x:v>long</x:v>
      </x:c>
      <x:c r="C222" s="30" t="str">
        <x:v>Basic Fact Recall</x:v>
      </x:c>
      <x:c r="D222" s="30" t="n">
        <x:v>2</x:v>
      </x:c>
      <x:c r="E222" s="30" t="str">
        <x:v>What is Sharon Brown's monthly income as of May 24, 2029?</x:v>
      </x:c>
      <x:c r="F222" s="30" t="str">
        <x:v>$15,000</x:v>
      </x:c>
      <x:c r="G222" s="30" t="str">
        <x:v>$15,000</x:v>
      </x:c>
      <x:c r="H222" s="30" t="str">
        <x:v>deepseek-v4-flash</x:v>
      </x:c>
      <x:c r="I222" s="30" t="str">
        <x:v>deepseek-v4-flash</x:v>
      </x:c>
      <x:c r="J222" s="30" t="str">
        <x:v>ad5cd04c3f8ae05007f165c1c0a416af1d962629bd81c6c51b2b69d0c7860e80</x:v>
      </x:c>
      <x:c r="K222" s="30" t="str">
        <x:v>b5aa8d3e8c118d1459c3cdd4b7d9bd359e5df46b85b100e824834cf66b7c9e3a</x:v>
      </x:c>
      <x:c r="L222" s="30" t="n">
        <x:v>652.25</x:v>
      </x:c>
      <x:c r="M222" s="30" t="str">
        <x:v>{"completion_tokens": 4, "prompt_tokens": 528, "total_tokens": 532, "completion_tokens_details": null, "prompt_tokens_details": {"audio_tokens": null, "cached_tokens": 512}, "prompt_cache_hit_tokens": 512, "prompt_cache_miss_tokens": 16}</x:v>
      </x:c>
      <x:c r="N222" s="30" t="str">
        <x:v>correct</x:v>
      </x:c>
      <x:c r="O222" s="30" t="str">
        <x:v>The model answer exactly matches the benchmark gold answer of $15,000, providing the complete and correct information.</x:v>
      </x:c>
      <x:c r="P222" s="30" t="str">
        <x:v>LongCat-2.0</x:v>
      </x:c>
      <x:c r="Q222" s="30" t="str">
        <x:v>LongCat-2.0</x:v>
      </x:c>
      <x:c r="R222" s="30" t="n">
        <x:v>1964.92</x:v>
      </x:c>
      <x:c r="S222" s="30" t="str">
        <x:v>{"completion_tokens": 36, "prompt_tokens": 153, "total_tokens": 189,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3">
      <x:c r="A223" s="30" t="str">
        <x:v>memos_long:2156</x:v>
      </x:c>
      <x:c r="B223" s="30" t="str">
        <x:v>long</x:v>
      </x:c>
      <x:c r="C223" s="30" t="str">
        <x:v>Basic Fact Recall</x:v>
      </x:c>
      <x:c r="D223" s="30" t="n">
        <x:v>3</x:v>
      </x:c>
      <x:c r="E223" s="30" t="str">
        <x:v>What is Sharon Brown's monthly income as of May 24, 2029?</x:v>
      </x:c>
      <x:c r="F223" s="30" t="str">
        <x:v>$15,000</x:v>
      </x:c>
      <x:c r="G223" s="30" t="str">
        <x:v>$15,000</x:v>
      </x:c>
      <x:c r="H223" s="30" t="str">
        <x:v>deepseek-v4-flash</x:v>
      </x:c>
      <x:c r="I223" s="30" t="str">
        <x:v>deepseek-v4-flash</x:v>
      </x:c>
      <x:c r="J223" s="30" t="str">
        <x:v>ad5cd04c3f8ae05007f165c1c0a416af1d962629bd81c6c51b2b69d0c7860e80</x:v>
      </x:c>
      <x:c r="K223" s="30" t="str">
        <x:v>b5aa8d3e8c118d1459c3cdd4b7d9bd359e5df46b85b100e824834cf66b7c9e3a</x:v>
      </x:c>
      <x:c r="L223" s="30" t="n">
        <x:v>609.16</x:v>
      </x:c>
      <x:c r="M223" s="30" t="str">
        <x:v>{"completion_tokens": 4, "prompt_tokens": 528, "total_tokens": 532, "completion_tokens_details": null, "prompt_tokens_details": {"audio_tokens": null, "cached_tokens": 512}, "prompt_cache_hit_tokens": 512, "prompt_cache_miss_tokens": 16}</x:v>
      </x:c>
      <x:c r="N223" s="30" t="str">
        <x:v>correct</x:v>
      </x:c>
      <x:c r="O223" s="30" t="str">
        <x:v>The model answer exactly matches the benchmark gold answer of $15,000, providing the complete and correct information.</x:v>
      </x:c>
      <x:c r="P223" s="30" t="str">
        <x:v>LongCat-2.0</x:v>
      </x:c>
      <x:c r="Q223" s="30" t="str">
        <x:v>LongCat-2.0</x:v>
      </x:c>
      <x:c r="R223" s="30" t="n">
        <x:v>2571.47</x:v>
      </x:c>
      <x:c r="S223" s="30" t="str">
        <x:v>{"completion_tokens": 36, "prompt_tokens": 153, "total_tokens": 189,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4">
      <x:c r="A224" s="30" t="str">
        <x:v>memos_long:2167</x:v>
      </x:c>
      <x:c r="B224" s="30" t="str">
        <x:v>long</x:v>
      </x:c>
      <x:c r="C224" s="30" t="str">
        <x:v>Generalization &amp; Application</x:v>
      </x:c>
      <x:c r="D224" s="30" t="n">
        <x:v>1</x:v>
      </x:c>
      <x:c r="E224" s="30" t="str">
        <x:v>What type of travel might Sharon Brown enjoy in 2032 based on her current preferences?</x:v>
      </x:c>
      <x:c r="F224" s="30" t="str">
        <x:v>Active adventure travel experiences.</x:v>
      </x:c>
      <x:c r="G224" s="30" t="str">
        <x:v>Adventure cruises.</x:v>
      </x:c>
      <x:c r="H224" s="30" t="str">
        <x:v>deepseek-v4-flash</x:v>
      </x:c>
      <x:c r="I224" s="30" t="str">
        <x:v>deepseek-v4-flash</x:v>
      </x:c>
      <x:c r="J224" s="30" t="str">
        <x:v>0a813755294fa88b46a856988239e49ec05eb24df2fa7d8bc82eee389cab0b20</x:v>
      </x:c>
      <x:c r="K224" s="30" t="str">
        <x:v>4d30649a91798caf0e96051ba35cffec195304f58c347fcfdcb32597c1e740c8</x:v>
      </x:c>
      <x:c r="L224" s="30" t="n">
        <x:v>617.48</x:v>
      </x:c>
      <x:c r="M224" s="30" t="str">
        <x:v>{"completion_tokens": 5, "prompt_tokens": 591, "total_tokens": 596, "completion_tokens_details": null, "prompt_tokens_details": {"audio_tokens": null, "cached_tokens": 512}, "prompt_cache_hit_tokens": 512, "prompt_cache_miss_tokens": 79}</x:v>
      </x:c>
      <x:c r="N224" s="30" t="str">
        <x:v>hallucination</x:v>
      </x:c>
      <x:c r="O224"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P224" s="30" t="str">
        <x:v>LongCat-2.0</x:v>
      </x:c>
      <x:c r="Q224" s="30" t="str">
        <x:v>LongCat-2.0</x:v>
      </x:c>
      <x:c r="R224" s="30" t="n">
        <x:v>2987.46</x:v>
      </x:c>
      <x:c r="S224" s="30" t="str">
        <x:v>{"completion_tokens": 69, "prompt_tokens": 147,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25">
      <x:c r="A225" s="30" t="str">
        <x:v>memos_long:2167</x:v>
      </x:c>
      <x:c r="B225" s="30" t="str">
        <x:v>long</x:v>
      </x:c>
      <x:c r="C225" s="30" t="str">
        <x:v>Generalization &amp; Application</x:v>
      </x:c>
      <x:c r="D225" s="30" t="n">
        <x:v>2</x:v>
      </x:c>
      <x:c r="E225" s="30" t="str">
        <x:v>What type of travel might Sharon Brown enjoy in 2032 based on her current preferences?</x:v>
      </x:c>
      <x:c r="F225" s="30" t="str">
        <x:v>Active adventure travel experiences.</x:v>
      </x:c>
      <x:c r="G225" s="30" t="str">
        <x:v>Adventure cruises.</x:v>
      </x:c>
      <x:c r="H225" s="30" t="str">
        <x:v>deepseek-v4-flash</x:v>
      </x:c>
      <x:c r="I225" s="30" t="str">
        <x:v>deepseek-v4-flash</x:v>
      </x:c>
      <x:c r="J225" s="30" t="str">
        <x:v>0a813755294fa88b46a856988239e49ec05eb24df2fa7d8bc82eee389cab0b20</x:v>
      </x:c>
      <x:c r="K225" s="30" t="str">
        <x:v>4d30649a91798caf0e96051ba35cffec195304f58c347fcfdcb32597c1e740c8</x:v>
      </x:c>
      <x:c r="L225" s="30" t="n">
        <x:v>771.4</x:v>
      </x:c>
      <x:c r="M225" s="30" t="str">
        <x:v>{"completion_tokens": 5, "prompt_tokens": 591, "total_tokens": 596, "completion_tokens_details": null, "prompt_tokens_details": {"audio_tokens": null, "cached_tokens": 512}, "prompt_cache_hit_tokens": 512, "prompt_cache_miss_tokens": 79}</x:v>
      </x:c>
      <x:c r="N225" s="30" t="str">
        <x:v>hallucination</x:v>
      </x:c>
      <x:c r="O225"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P225" s="30" t="str">
        <x:v>LongCat-2.0</x:v>
      </x:c>
      <x:c r="Q225" s="30" t="str">
        <x:v>LongCat-2.0</x:v>
      </x:c>
      <x:c r="R225" s="30" t="n">
        <x:v>2801.93</x:v>
      </x:c>
      <x:c r="S225" s="30" t="str">
        <x:v>{"completion_tokens": 69, "prompt_tokens": 147,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6">
      <x:c r="A226" s="30" t="str">
        <x:v>memos_long:2167</x:v>
      </x:c>
      <x:c r="B226" s="30" t="str">
        <x:v>long</x:v>
      </x:c>
      <x:c r="C226" s="30" t="str">
        <x:v>Generalization &amp; Application</x:v>
      </x:c>
      <x:c r="D226" s="30" t="n">
        <x:v>3</x:v>
      </x:c>
      <x:c r="E226" s="30" t="str">
        <x:v>What type of travel might Sharon Brown enjoy in 2032 based on her current preferences?</x:v>
      </x:c>
      <x:c r="F226" s="30" t="str">
        <x:v>Active adventure travel experiences.</x:v>
      </x:c>
      <x:c r="G226" s="30" t="str">
        <x:v>Adventure cruises.</x:v>
      </x:c>
      <x:c r="H226" s="30" t="str">
        <x:v>deepseek-v4-flash</x:v>
      </x:c>
      <x:c r="I226" s="30" t="str">
        <x:v>deepseek-v4-flash</x:v>
      </x:c>
      <x:c r="J226" s="30" t="str">
        <x:v>0a813755294fa88b46a856988239e49ec05eb24df2fa7d8bc82eee389cab0b20</x:v>
      </x:c>
      <x:c r="K226" s="30" t="str">
        <x:v>4d30649a91798caf0e96051ba35cffec195304f58c347fcfdcb32597c1e740c8</x:v>
      </x:c>
      <x:c r="L226" s="30" t="n">
        <x:v>776.93</x:v>
      </x:c>
      <x:c r="M226" s="30" t="str">
        <x:v>{"completion_tokens": 5, "prompt_tokens": 591, "total_tokens": 596, "completion_tokens_details": null, "prompt_tokens_details": {"audio_tokens": null, "cached_tokens": 512}, "prompt_cache_hit_tokens": 512, "prompt_cache_miss_tokens": 79}</x:v>
      </x:c>
      <x:c r="N226" s="30" t="str">
        <x:v>omission</x:v>
      </x:c>
      <x:c r="O226" s="30" t="str">
        <x:v>The gold answer is 'Active adventure travel experiences,' which is a broad category. The model answer 'Adventure cruises' is a specific subset of adventure travel but does not fully capture the complete scope of the gold answer. It does not add a concrete false claim, so it is not a hallucination, but it is an incomplete subset, making it an omission.</x:v>
      </x:c>
      <x:c r="P226" s="30" t="str">
        <x:v>LongCat-2.0</x:v>
      </x:c>
      <x:c r="Q226" s="30" t="str">
        <x:v>LongCat-2.0</x:v>
      </x:c>
      <x:c r="R226" s="30" t="n">
        <x:v>3101.66</x:v>
      </x:c>
      <x:c r="S226" s="30" t="str">
        <x:v>{"completion_tokens": 86, "prompt_tokens": 147,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7">
      <x:c r="A227" s="30" t="str">
        <x:v>memos_long:2169</x:v>
      </x:c>
      <x:c r="B227" s="30" t="str">
        <x:v>long</x:v>
      </x:c>
      <x:c r="C227" s="30" t="str">
        <x:v>Generalization &amp; Application</x:v>
      </x:c>
      <x:c r="D227" s="30" t="n">
        <x:v>1</x:v>
      </x:c>
      <x:c r="E227" s="30" t="str">
        <x:v>What new recipe might Sharon Brown enjoy trying based on her preferences as of Sep 16, 2031?</x:v>
      </x:c>
      <x:c r="F227" s="30" t="str">
        <x:v>A honey-glazed salmon recipe.</x:v>
      </x:c>
      <x:c r="G227" s="30" t="str">
        <x:v>Maple-glazed salmon recipe</x:v>
      </x:c>
      <x:c r="H227" s="30" t="str">
        <x:v>deepseek-v4-flash</x:v>
      </x:c>
      <x:c r="I227" s="30" t="str">
        <x:v>deepseek-v4-flash</x:v>
      </x:c>
      <x:c r="J227" s="30" t="str">
        <x:v>3ae25a20e95a51781dbd7ac3cd9aa00576db486fddce156b1361db82a4856747</x:v>
      </x:c>
      <x:c r="K227" s="30" t="str">
        <x:v>dbad52e22425febaf2736d9be5212a6efd87f1f9b3ca746cdbc5ef4c493f2d7a</x:v>
      </x:c>
      <x:c r="L227" s="30" t="n">
        <x:v>717.22</x:v>
      </x:c>
      <x:c r="M227" s="30" t="str">
        <x:v>{"completion_tokens": 6, "prompt_tokens": 600, "total_tokens": 606, "completion_tokens_details": null, "prompt_tokens_details": {"audio_tokens": null, "cached_tokens": 512}, "prompt_cache_hit_tokens": 512, "prompt_cache_miss_tokens": 88}</x:v>
      </x:c>
      <x:c r="N227" s="30" t="str">
        <x:v>hallucination</x:v>
      </x:c>
      <x:c r="O227"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P227" s="30" t="str">
        <x:v>LongCat-2.0</x:v>
      </x:c>
      <x:c r="Q227" s="30" t="str">
        <x:v>LongCat-2.0</x:v>
      </x:c>
      <x:c r="R227" s="30" t="n">
        <x:v>2793.19</x:v>
      </x:c>
      <x:c r="S227"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8">
      <x:c r="A228" s="30" t="str">
        <x:v>memos_long:2169</x:v>
      </x:c>
      <x:c r="B228" s="30" t="str">
        <x:v>long</x:v>
      </x:c>
      <x:c r="C228" s="30" t="str">
        <x:v>Generalization &amp; Application</x:v>
      </x:c>
      <x:c r="D228" s="30" t="n">
        <x:v>2</x:v>
      </x:c>
      <x:c r="E228" s="30" t="str">
        <x:v>What new recipe might Sharon Brown enjoy trying based on her preferences as of Sep 16, 2031?</x:v>
      </x:c>
      <x:c r="F228" s="30" t="str">
        <x:v>A honey-glazed salmon recipe.</x:v>
      </x:c>
      <x:c r="G228" s="30" t="str">
        <x:v>Maple-glazed salmon recipe</x:v>
      </x:c>
      <x:c r="H228" s="30" t="str">
        <x:v>deepseek-v4-flash</x:v>
      </x:c>
      <x:c r="I228" s="30" t="str">
        <x:v>deepseek-v4-flash</x:v>
      </x:c>
      <x:c r="J228" s="30" t="str">
        <x:v>3ae25a20e95a51781dbd7ac3cd9aa00576db486fddce156b1361db82a4856747</x:v>
      </x:c>
      <x:c r="K228" s="30" t="str">
        <x:v>dbad52e22425febaf2736d9be5212a6efd87f1f9b3ca746cdbc5ef4c493f2d7a</x:v>
      </x:c>
      <x:c r="L228" s="30" t="n">
        <x:v>710.12</x:v>
      </x:c>
      <x:c r="M228" s="30" t="str">
        <x:v>{"completion_tokens": 6, "prompt_tokens": 600, "total_tokens": 606, "completion_tokens_details": null, "prompt_tokens_details": {"audio_tokens": null, "cached_tokens": 512}, "prompt_cache_hit_tokens": 512, "prompt_cache_miss_tokens": 88}</x:v>
      </x:c>
      <x:c r="N228" s="30" t="str">
        <x:v>hallucination</x:v>
      </x:c>
      <x:c r="O228"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P228" s="30" t="str">
        <x:v>LongCat-2.0</x:v>
      </x:c>
      <x:c r="Q228" s="30" t="str">
        <x:v>LongCat-2.0</x:v>
      </x:c>
      <x:c r="R228" s="30" t="n">
        <x:v>2917.98</x:v>
      </x:c>
      <x:c r="S228"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29">
      <x:c r="A229" s="30" t="str">
        <x:v>memos_long:2169</x:v>
      </x:c>
      <x:c r="B229" s="30" t="str">
        <x:v>long</x:v>
      </x:c>
      <x:c r="C229" s="30" t="str">
        <x:v>Generalization &amp; Application</x:v>
      </x:c>
      <x:c r="D229" s="30" t="n">
        <x:v>3</x:v>
      </x:c>
      <x:c r="E229" s="30" t="str">
        <x:v>What new recipe might Sharon Brown enjoy trying based on her preferences as of Sep 16, 2031?</x:v>
      </x:c>
      <x:c r="F229" s="30" t="str">
        <x:v>A honey-glazed salmon recipe.</x:v>
      </x:c>
      <x:c r="G229" s="30" t="str">
        <x:v>Maple-glazed salmon recipe</x:v>
      </x:c>
      <x:c r="H229" s="30" t="str">
        <x:v>deepseek-v4-flash</x:v>
      </x:c>
      <x:c r="I229" s="30" t="str">
        <x:v>deepseek-v4-flash</x:v>
      </x:c>
      <x:c r="J229" s="30" t="str">
        <x:v>3ae25a20e95a51781dbd7ac3cd9aa00576db486fddce156b1361db82a4856747</x:v>
      </x:c>
      <x:c r="K229" s="30" t="str">
        <x:v>dbad52e22425febaf2736d9be5212a6efd87f1f9b3ca746cdbc5ef4c493f2d7a</x:v>
      </x:c>
      <x:c r="L229" s="30" t="n">
        <x:v>561.35</x:v>
      </x:c>
      <x:c r="M229" s="30" t="str">
        <x:v>{"completion_tokens": 6, "prompt_tokens": 600, "total_tokens": 606, "completion_tokens_details": null, "prompt_tokens_details": {"audio_tokens": null, "cached_tokens": 512}, "prompt_cache_hit_tokens": 512, "prompt_cache_miss_tokens": 88}</x:v>
      </x:c>
      <x:c r="N229" s="30" t="str">
        <x:v>hallucination</x:v>
      </x:c>
      <x:c r="O229"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P229" s="30" t="str">
        <x:v>LongCat-2.0</x:v>
      </x:c>
      <x:c r="Q229" s="30" t="str">
        <x:v>LongCat-2.0</x:v>
      </x:c>
      <x:c r="R229" s="30" t="n">
        <x:v>2823.41</x:v>
      </x:c>
      <x:c r="S229" s="30" t="str">
        <x:v>{"completion_tokens": 80, "prompt_tokens": 156, "total_tokens": 236,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0">
      <x:c r="A230" s="30" t="str">
        <x:v>memos_long:2183</x:v>
      </x:c>
      <x:c r="B230" s="30" t="str">
        <x:v>long</x:v>
      </x:c>
      <x:c r="C230" s="30" t="str">
        <x:v>Basic Fact Recall</x:v>
      </x:c>
      <x:c r="D230" s="30" t="n">
        <x:v>1</x:v>
      </x:c>
      <x:c r="E230" s="30" t="str">
        <x:v>When did Sharon Brown join a local board game club?</x:v>
      </x:c>
      <x:c r="F230" s="30" t="str">
        <x:v>January 9, 2032</x:v>
      </x:c>
      <x:c r="G230" s="30" t="str">
        <x:v>The provided evidence does not include a date.</x:v>
      </x:c>
      <x:c r="H230" s="30" t="str">
        <x:v>deepseek-v4-flash</x:v>
      </x:c>
      <x:c r="I230" s="30" t="str">
        <x:v>deepseek-v4-flash</x:v>
      </x:c>
      <x:c r="J230" s="30" t="str">
        <x:v>c3698a126307741e366ac3437f2a233d0925c49e7519d6e42205ae6b8b437938</x:v>
      </x:c>
      <x:c r="K230" s="30" t="str">
        <x:v>37540a47213ed36c25702ff9f33ee7d8d81feba20e827b0e8b51bf735b896cd7</x:v>
      </x:c>
      <x:c r="L230" s="30" t="n">
        <x:v>836.01</x:v>
      </x:c>
      <x:c r="M230" s="30" t="str">
        <x:v>{"completion_tokens": 9, "prompt_tokens": 525, "total_tokens": 534, "completion_tokens_details": null, "prompt_tokens_details": {"audio_tokens": null, "cached_tokens": 512}, "prompt_cache_hit_tokens": 512, "prompt_cache_miss_tokens": 13}</x:v>
      </x:c>
      <x:c r="N230" s="30" t="str">
        <x:v>omission</x:v>
      </x:c>
      <x:c r="O230" s="30" t="str">
        <x:v>The model answer states that the evidence does not include a date, which means it gives no answer to the question. This is an omission because it does not provide the complete gold answer (January 9, 2032) and instead indicates that the information is unknown or unavailable.</x:v>
      </x:c>
      <x:c r="P230" s="30" t="str">
        <x:v>LongCat-2.0</x:v>
      </x:c>
      <x:c r="Q230" s="30" t="str">
        <x:v>LongCat-2.0</x:v>
      </x:c>
      <x:c r="R230" s="30" t="n">
        <x:v>2271.89</x:v>
      </x:c>
      <x:c r="S230" s="30" t="str">
        <x:v>{"completion_tokens": 70, "prompt_tokens": 147,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31">
      <x:c r="A231" s="30" t="str">
        <x:v>memos_long:2183</x:v>
      </x:c>
      <x:c r="B231" s="30" t="str">
        <x:v>long</x:v>
      </x:c>
      <x:c r="C231" s="30" t="str">
        <x:v>Basic Fact Recall</x:v>
      </x:c>
      <x:c r="D231" s="30" t="n">
        <x:v>2</x:v>
      </x:c>
      <x:c r="E231" s="30" t="str">
        <x:v>When did Sharon Brown join a local board game club?</x:v>
      </x:c>
      <x:c r="F231" s="30" t="str">
        <x:v>January 9, 2032</x:v>
      </x:c>
      <x:c r="G231" s="30" t="str">
        <x:v>The provided evidence does not include a date.</x:v>
      </x:c>
      <x:c r="H231" s="30" t="str">
        <x:v>deepseek-v4-flash</x:v>
      </x:c>
      <x:c r="I231" s="30" t="str">
        <x:v>deepseek-v4-flash</x:v>
      </x:c>
      <x:c r="J231" s="30" t="str">
        <x:v>c3698a126307741e366ac3437f2a233d0925c49e7519d6e42205ae6b8b437938</x:v>
      </x:c>
      <x:c r="K231" s="30" t="str">
        <x:v>37540a47213ed36c25702ff9f33ee7d8d81feba20e827b0e8b51bf735b896cd7</x:v>
      </x:c>
      <x:c r="L231" s="30" t="n">
        <x:v>578.36</x:v>
      </x:c>
      <x:c r="M231" s="30" t="str">
        <x:v>{"completion_tokens": 9, "prompt_tokens": 525, "total_tokens": 534, "completion_tokens_details": null, "prompt_tokens_details": {"audio_tokens": null, "cached_tokens": 512}, "prompt_cache_hit_tokens": 512, "prompt_cache_miss_tokens": 13}</x:v>
      </x:c>
      <x:c r="N231" s="30" t="str">
        <x:v>omission</x:v>
      </x:c>
      <x:c r="O231" s="30" t="str">
        <x:v>The model answer states that the evidence does not include a date, which means it does not provide the gold answer (January 9, 2032) and instead indicates the information is unknown or unavailable. This is an incomplete response that fails to supply the concrete answer, fitting the definition of omission.</x:v>
      </x:c>
      <x:c r="P231" s="30" t="str">
        <x:v>LongCat-2.0</x:v>
      </x:c>
      <x:c r="Q231" s="30" t="str">
        <x:v>LongCat-2.0</x:v>
      </x:c>
      <x:c r="R231" s="30" t="n">
        <x:v>3149.26</x:v>
      </x:c>
      <x:c r="S231" s="30" t="str">
        <x:v>{"completion_tokens": 74, "prompt_tokens": 147,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32">
      <x:c r="A232" s="30" t="str">
        <x:v>memos_long:2183</x:v>
      </x:c>
      <x:c r="B232" s="30" t="str">
        <x:v>long</x:v>
      </x:c>
      <x:c r="C232" s="30" t="str">
        <x:v>Basic Fact Recall</x:v>
      </x:c>
      <x:c r="D232" s="30" t="n">
        <x:v>3</x:v>
      </x:c>
      <x:c r="E232" s="30" t="str">
        <x:v>When did Sharon Brown join a local board game club?</x:v>
      </x:c>
      <x:c r="F232" s="30" t="str">
        <x:v>January 9, 2032</x:v>
      </x:c>
      <x:c r="G232" s="30" t="str">
        <x:v>The provided evidence does not include a date.</x:v>
      </x:c>
      <x:c r="H232" s="30" t="str">
        <x:v>deepseek-v4-flash</x:v>
      </x:c>
      <x:c r="I232" s="30" t="str">
        <x:v>deepseek-v4-flash</x:v>
      </x:c>
      <x:c r="J232" s="30" t="str">
        <x:v>c3698a126307741e366ac3437f2a233d0925c49e7519d6e42205ae6b8b437938</x:v>
      </x:c>
      <x:c r="K232" s="30" t="str">
        <x:v>37540a47213ed36c25702ff9f33ee7d8d81feba20e827b0e8b51bf735b896cd7</x:v>
      </x:c>
      <x:c r="L232" s="30" t="n">
        <x:v>549.21</x:v>
      </x:c>
      <x:c r="M232" s="30" t="str">
        <x:v>{"completion_tokens": 9, "prompt_tokens": 525, "total_tokens": 534, "completion_tokens_details": null, "prompt_tokens_details": {"audio_tokens": null, "cached_tokens": 512}, "prompt_cache_hit_tokens": 512, "prompt_cache_miss_tokens": 13}</x:v>
      </x:c>
      <x:c r="N232" s="30" t="str">
        <x:v>omission</x:v>
      </x:c>
      <x:c r="O232" s="30" t="str">
        <x:v>The model answer states that the evidence does not include a date, which means it gives no answer to the question. This is an omission because it does not provide the complete gold answer (January 9, 2032) and instead indicates that the information is unknown or unavailable.</x:v>
      </x:c>
      <x:c r="P232" s="30" t="str">
        <x:v>LongCat-2.0</x:v>
      </x:c>
      <x:c r="Q232" s="30" t="str">
        <x:v>LongCat-2.0</x:v>
      </x:c>
      <x:c r="R232" s="30" t="n">
        <x:v>3138.85</x:v>
      </x:c>
      <x:c r="S232" s="30" t="str">
        <x:v>{"completion_tokens": 70, "prompt_tokens": 147,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3">
      <x:c r="A233" s="30" t="str">
        <x:v>memos_long:2196</x:v>
      </x:c>
      <x:c r="B233" s="30" t="str">
        <x:v>long</x:v>
      </x:c>
      <x:c r="C233" s="30" t="str">
        <x:v>Generalization &amp; Application</x:v>
      </x:c>
      <x:c r="D233" s="30" t="n">
        <x:v>1</x:v>
      </x:c>
      <x:c r="E233" s="30" t="str">
        <x:v>What type of retreat should Sharon Brown consider for enhancing her mentoring goals in 2034?</x:v>
      </x:c>
      <x:c r="F233" s="30" t="str">
        <x:v>A wellness-focused nature retreat with meditation and yoga.</x:v>
      </x:c>
      <x:c r="G233" s="30" t="str">
        <x:v>Wellness nature retreats</x:v>
      </x:c>
      <x:c r="H233" s="30" t="str">
        <x:v>deepseek-v4-flash</x:v>
      </x:c>
      <x:c r="I233" s="30" t="str">
        <x:v>deepseek-v4-flash</x:v>
      </x:c>
      <x:c r="J233" s="30" t="str">
        <x:v>1be262f8a21f9a4a35df970fcbcca69dc1fcd0d8d722f9677bc4673d29a9a716</x:v>
      </x:c>
      <x:c r="K233" s="30" t="str">
        <x:v>09dc0f3024cda5124a2fa44f1c31e5692dbdd839bcdc221bf4f901bc9efd754f</x:v>
      </x:c>
      <x:c r="L233" s="30" t="n">
        <x:v>496.44</x:v>
      </x:c>
      <x:c r="M233" s="30" t="str">
        <x:v>{"completion_tokens": 5, "prompt_tokens": 616, "total_tokens": 621, "completion_tokens_details": null, "prompt_tokens_details": {"audio_tokens": null, "cached_tokens": 512}, "prompt_cache_hit_tokens": 512, "prompt_cache_miss_tokens": 104}</x:v>
      </x:c>
      <x:c r="N233" s="30" t="str">
        <x:v>omission</x:v>
      </x:c>
      <x:c r="O233" s="30" t="str">
        <x:v>The model answer 'Wellness nature retreats' captures part of the gold answer but omits the specific components 'with meditation and yoga' that are essential to the complete answer. It does not add any false information, so it is not a hallucination, but it is incomplete.</x:v>
      </x:c>
      <x:c r="P233" s="30" t="str">
        <x:v>LongCat-2.0</x:v>
      </x:c>
      <x:c r="Q233" s="30" t="str">
        <x:v>LongCat-2.0</x:v>
      </x:c>
      <x:c r="R233" s="30" t="n">
        <x:v>2766.73</x:v>
      </x:c>
      <x:c r="S233" s="30" t="str">
        <x:v>{"completion_tokens": 69, "prompt_tokens": 153,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4">
      <x:c r="A234" s="30" t="str">
        <x:v>memos_long:2196</x:v>
      </x:c>
      <x:c r="B234" s="30" t="str">
        <x:v>long</x:v>
      </x:c>
      <x:c r="C234" s="30" t="str">
        <x:v>Generalization &amp; Application</x:v>
      </x:c>
      <x:c r="D234" s="30" t="n">
        <x:v>2</x:v>
      </x:c>
      <x:c r="E234" s="30" t="str">
        <x:v>What type of retreat should Sharon Brown consider for enhancing her mentoring goals in 2034?</x:v>
      </x:c>
      <x:c r="F234" s="30" t="str">
        <x:v>A wellness-focused nature retreat with meditation and yoga.</x:v>
      </x:c>
      <x:c r="G234" s="30" t="str">
        <x:v>Wellness nature retreats</x:v>
      </x:c>
      <x:c r="H234" s="30" t="str">
        <x:v>deepseek-v4-flash</x:v>
      </x:c>
      <x:c r="I234" s="30" t="str">
        <x:v>deepseek-v4-flash</x:v>
      </x:c>
      <x:c r="J234" s="30" t="str">
        <x:v>1be262f8a21f9a4a35df970fcbcca69dc1fcd0d8d722f9677bc4673d29a9a716</x:v>
      </x:c>
      <x:c r="K234" s="30" t="str">
        <x:v>09dc0f3024cda5124a2fa44f1c31e5692dbdd839bcdc221bf4f901bc9efd754f</x:v>
      </x:c>
      <x:c r="L234" s="30" t="n">
        <x:v>894.87</x:v>
      </x:c>
      <x:c r="M234" s="30" t="str">
        <x:v>{"completion_tokens": 5, "prompt_tokens": 616, "total_tokens": 621, "completion_tokens_details": null, "prompt_tokens_details": {"audio_tokens": null, "cached_tokens": 512}, "prompt_cache_hit_tokens": 512, "prompt_cache_miss_tokens": 104}</x:v>
      </x:c>
      <x:c r="N234" s="30" t="str">
        <x:v>omission</x:v>
      </x:c>
      <x:c r="O234" s="30" t="str">
        <x:v>The model answer 'Wellness nature retreats' captures part of the gold answer but omits the specific components 'with meditation and yoga' that are essential to the complete answer. It does not add any false information, so it is not a hallucination, but it is an incomplete subset of the gold answer.</x:v>
      </x:c>
      <x:c r="P234" s="30" t="str">
        <x:v>LongCat-2.0</x:v>
      </x:c>
      <x:c r="Q234" s="30" t="str">
        <x:v>LongCat-2.0</x:v>
      </x:c>
      <x:c r="R234" s="30" t="n">
        <x:v>2968.82</x:v>
      </x:c>
      <x:c r="S234" s="30" t="str">
        <x:v>{"completion_tokens": 75, "prompt_tokens": 153,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35">
      <x:c r="A235" s="30" t="str">
        <x:v>memos_long:2196</x:v>
      </x:c>
      <x:c r="B235" s="30" t="str">
        <x:v>long</x:v>
      </x:c>
      <x:c r="C235" s="30" t="str">
        <x:v>Generalization &amp; Application</x:v>
      </x:c>
      <x:c r="D235" s="30" t="n">
        <x:v>3</x:v>
      </x:c>
      <x:c r="E235" s="30" t="str">
        <x:v>What type of retreat should Sharon Brown consider for enhancing her mentoring goals in 2034?</x:v>
      </x:c>
      <x:c r="F235" s="30" t="str">
        <x:v>A wellness-focused nature retreat with meditation and yoga.</x:v>
      </x:c>
      <x:c r="G235" s="30" t="str">
        <x:v>Wellness nature retreats</x:v>
      </x:c>
      <x:c r="H235" s="30" t="str">
        <x:v>deepseek-v4-flash</x:v>
      </x:c>
      <x:c r="I235" s="30" t="str">
        <x:v>deepseek-v4-flash</x:v>
      </x:c>
      <x:c r="J235" s="30" t="str">
        <x:v>1be262f8a21f9a4a35df970fcbcca69dc1fcd0d8d722f9677bc4673d29a9a716</x:v>
      </x:c>
      <x:c r="K235" s="30" t="str">
        <x:v>09dc0f3024cda5124a2fa44f1c31e5692dbdd839bcdc221bf4f901bc9efd754f</x:v>
      </x:c>
      <x:c r="L235" s="30" t="n">
        <x:v>550.41</x:v>
      </x:c>
      <x:c r="M235" s="30" t="str">
        <x:v>{"completion_tokens": 5, "prompt_tokens": 616, "total_tokens": 621, "completion_tokens_details": null, "prompt_tokens_details": {"audio_tokens": null, "cached_tokens": 512}, "prompt_cache_hit_tokens": 512, "prompt_cache_miss_tokens": 104}</x:v>
      </x:c>
      <x:c r="N235" s="30" t="str">
        <x:v>omission</x:v>
      </x:c>
      <x:c r="O235" s="30" t="str">
        <x:v>The model answer 'Wellness nature retreats' captures part of the gold answer but omits the specific components 'with meditation and yoga' that are essential to the complete answer. It does not add any false information, so it is not a hallucination, but it is incomplete.</x:v>
      </x:c>
      <x:c r="P235" s="30" t="str">
        <x:v>LongCat-2.0</x:v>
      </x:c>
      <x:c r="Q235" s="30" t="str">
        <x:v>LongCat-2.0</x:v>
      </x:c>
      <x:c r="R235" s="30" t="n">
        <x:v>2864.5</x:v>
      </x:c>
      <x:c r="S235" s="30" t="str">
        <x:v>{"completion_tokens": 69, "prompt_tokens": 153,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36">
      <x:c r="A236" s="30" t="str">
        <x:v>memos_long:2231</x:v>
      </x:c>
      <x:c r="B236" s="30" t="str">
        <x:v>long</x:v>
      </x:c>
      <x:c r="C236" s="30" t="str">
        <x:v>Memory Conflict</x:v>
      </x:c>
      <x:c r="D236" s="30" t="n">
        <x:v>1</x:v>
      </x:c>
      <x:c r="E236" s="30" t="str">
        <x:v>Did Sharon Brown express a lack of interest in joining a bowling league on Feb 04, 2036?</x:v>
      </x:c>
      <x:c r="F236" s="30" t="str">
        <x:v>No, she expressed excitement about joining a competitive bowling league.</x:v>
      </x:c>
      <x:c r="G236" s="30" t="str">
        <x:v>No.</x:v>
      </x:c>
      <x:c r="H236" s="30" t="str">
        <x:v>deepseek-v4-flash</x:v>
      </x:c>
      <x:c r="I236" s="30" t="str">
        <x:v>deepseek-v4-flash</x:v>
      </x:c>
      <x:c r="J236" s="30" t="str">
        <x:v>f9d9452b1f6eb443d35bf6759928b9778450a47c9441bc80d18b9a4b18d27e2b</x:v>
      </x:c>
      <x:c r="K236" s="30" t="str">
        <x:v>4e6a2e2241931d43325c242525ffbc612efc928c5348114d5a8656925440b09f</x:v>
      </x:c>
      <x:c r="L236" s="30" t="n">
        <x:v>630.89</x:v>
      </x:c>
      <x:c r="M236" s="30" t="str">
        <x:v>{"completion_tokens": 2, "prompt_tokens": 538, "total_tokens": 540, "completion_tokens_details": null, "prompt_tokens_details": {"audio_tokens": null, "cached_tokens": 512}, "prompt_cache_hit_tokens": 512, "prompt_cache_miss_tokens": 26}</x:v>
      </x:c>
      <x:c r="N236" s="30" t="str">
        <x:v>omission</x:v>
      </x:c>
      <x:c r="O236"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P236" s="30" t="str">
        <x:v>LongCat-2.0</x:v>
      </x:c>
      <x:c r="Q236" s="30" t="str">
        <x:v>LongCat-2.0</x:v>
      </x:c>
      <x:c r="R236" s="30" t="n">
        <x:v>4509.47</x:v>
      </x:c>
      <x:c r="S236" s="30" t="str">
        <x:v>{"completion_tokens": 64, "prompt_tokens": 156,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7">
      <x:c r="A237" s="30" t="str">
        <x:v>memos_long:2231</x:v>
      </x:c>
      <x:c r="B237" s="30" t="str">
        <x:v>long</x:v>
      </x:c>
      <x:c r="C237" s="30" t="str">
        <x:v>Memory Conflict</x:v>
      </x:c>
      <x:c r="D237" s="30" t="n">
        <x:v>2</x:v>
      </x:c>
      <x:c r="E237" s="30" t="str">
        <x:v>Did Sharon Brown express a lack of interest in joining a bowling league on Feb 04, 2036?</x:v>
      </x:c>
      <x:c r="F237" s="30" t="str">
        <x:v>No, she expressed excitement about joining a competitive bowling league.</x:v>
      </x:c>
      <x:c r="G237" s="30" t="str">
        <x:v>No.</x:v>
      </x:c>
      <x:c r="H237" s="30" t="str">
        <x:v>deepseek-v4-flash</x:v>
      </x:c>
      <x:c r="I237" s="30" t="str">
        <x:v>deepseek-v4-flash</x:v>
      </x:c>
      <x:c r="J237" s="30" t="str">
        <x:v>f9d9452b1f6eb443d35bf6759928b9778450a47c9441bc80d18b9a4b18d27e2b</x:v>
      </x:c>
      <x:c r="K237" s="30" t="str">
        <x:v>4e6a2e2241931d43325c242525ffbc612efc928c5348114d5a8656925440b09f</x:v>
      </x:c>
      <x:c r="L237" s="30" t="n">
        <x:v>564.52</x:v>
      </x:c>
      <x:c r="M237" s="30" t="str">
        <x:v>{"completion_tokens": 2, "prompt_tokens": 538, "total_tokens": 540, "completion_tokens_details": null, "prompt_tokens_details": {"audio_tokens": null, "cached_tokens": 512}, "prompt_cache_hit_tokens": 512, "prompt_cache_miss_tokens": 26}</x:v>
      </x:c>
      <x:c r="N237" s="30" t="str">
        <x:v>omission</x:v>
      </x:c>
      <x:c r="O237" s="30" t="str">
        <x:v>The model answer 'No' correctly indicates that Sharon Brown did not express a lack of interest, but it omits the key detail from the gold answer that she expressed excitement about joining a competitive bowling league. This makes the answer incomplete, falling under omission rather than correct.</x:v>
      </x:c>
      <x:c r="P237" s="30" t="str">
        <x:v>LongCat-2.0</x:v>
      </x:c>
      <x:c r="Q237" s="30" t="str">
        <x:v>LongCat-2.0</x:v>
      </x:c>
      <x:c r="R237" s="30" t="n">
        <x:v>4635.55</x:v>
      </x:c>
      <x:c r="S237" s="30" t="str">
        <x:v>{"completion_tokens": 66, "prompt_tokens": 156,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8">
      <x:c r="A238" s="30" t="str">
        <x:v>memos_long:2231</x:v>
      </x:c>
      <x:c r="B238" s="30" t="str">
        <x:v>long</x:v>
      </x:c>
      <x:c r="C238" s="30" t="str">
        <x:v>Memory Conflict</x:v>
      </x:c>
      <x:c r="D238" s="30" t="n">
        <x:v>3</x:v>
      </x:c>
      <x:c r="E238" s="30" t="str">
        <x:v>Did Sharon Brown express a lack of interest in joining a bowling league on Feb 04, 2036?</x:v>
      </x:c>
      <x:c r="F238" s="30" t="str">
        <x:v>No, she expressed excitement about joining a competitive bowling league.</x:v>
      </x:c>
      <x:c r="G238" s="30" t="str">
        <x:v>No</x:v>
      </x:c>
      <x:c r="H238" s="30" t="str">
        <x:v>deepseek-v4-flash</x:v>
      </x:c>
      <x:c r="I238" s="30" t="str">
        <x:v>deepseek-v4-flash</x:v>
      </x:c>
      <x:c r="J238" s="30" t="str">
        <x:v>f9d9452b1f6eb443d35bf6759928b9778450a47c9441bc80d18b9a4b18d27e2b</x:v>
      </x:c>
      <x:c r="K238" s="30" t="str">
        <x:v>4e6a2e2241931d43325c242525ffbc612efc928c5348114d5a8656925440b09f</x:v>
      </x:c>
      <x:c r="L238" s="30" t="n">
        <x:v>723.67</x:v>
      </x:c>
      <x:c r="M238" s="30" t="str">
        <x:v>{"completion_tokens": 1, "prompt_tokens": 538, "total_tokens": 539, "completion_tokens_details": null, "prompt_tokens_details": {"audio_tokens": null, "cached_tokens": 512}, "prompt_cache_hit_tokens": 512, "prompt_cache_miss_tokens": 26}</x:v>
      </x:c>
      <x:c r="N238" s="30" t="str">
        <x:v>omission</x:v>
      </x:c>
      <x:c r="O238" s="30" t="str">
        <x:v>The model answer 'No' correctly denies that Sharon Brown expressed a lack of interest, but it omits the key positive detail from the gold answer — that she expressed excitement about joining a competitive bowling league. Since it provides only an incomplete subset of the gold answer without adding a false claim, it qualifies as an omission.</x:v>
      </x:c>
      <x:c r="P238" s="30" t="str">
        <x:v>LongCat-2.0</x:v>
      </x:c>
      <x:c r="Q238" s="30" t="str">
        <x:v>LongCat-2.0</x:v>
      </x:c>
      <x:c r="R238" s="30" t="n">
        <x:v>5225.3</x:v>
      </x:c>
      <x:c r="S238" s="30" t="str">
        <x:v>{"completion_tokens": 77, "prompt_tokens": 156,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39">
      <x:c r="A239" s="30" t="str">
        <x:v>memos_long:2235</x:v>
      </x:c>
      <x:c r="B239" s="30" t="str">
        <x:v>long</x:v>
      </x:c>
      <x:c r="C239" s="30" t="str">
        <x:v>Dynamic Update</x:v>
      </x:c>
      <x:c r="D239" s="30" t="n">
        <x:v>1</x:v>
      </x:c>
      <x:c r="E239" s="30" t="str">
        <x:v>How has Sharon Brown's focus on personal activities changed from Sep 20, 2035 to Sep 01, 2036?</x:v>
      </x:c>
      <x:c r="F239" s="30" t="str">
        <x:v>From health and family to family, hobbies, and new experiences.</x:v>
      </x:c>
      <x:c r="G239" s="30" t="str">
        <x:v>No change in focus.</x:v>
      </x:c>
      <x:c r="H239" s="30" t="str">
        <x:v>deepseek-v4-flash</x:v>
      </x:c>
      <x:c r="I239" s="30" t="str">
        <x:v>deepseek-v4-flash</x:v>
      </x:c>
      <x:c r="J239" s="30" t="str">
        <x:v>f72337aad9b026749442b94fb7ad6bf8dee2b5d29b492db56df673f0f7f44bc1</x:v>
      </x:c>
      <x:c r="K239" s="30" t="str">
        <x:v>7d90fe4f2bd79ef74ac8ceb7bafc3c25d8f2a5abaaf5632b54bb1730e7ffee99</x:v>
      </x:c>
      <x:c r="L239" s="30" t="n">
        <x:v>918.02</x:v>
      </x:c>
      <x:c r="M239" s="30" t="str">
        <x:v>{"completion_tokens": 5, "prompt_tokens": 586, "total_tokens": 591, "completion_tokens_details": null, "prompt_tokens_details": {"audio_tokens": null, "cached_tokens": 512}, "prompt_cache_hit_tokens": 512, "prompt_cache_miss_tokens": 74}</x:v>
      </x:c>
      <x:c r="N239" s="30" t="str">
        <x:v>hallucination</x:v>
      </x:c>
      <x:c r="O239" s="30" t="str">
        <x:v>The gold answer states that Sharon Brown's focus changed from health and family to family, hobbies, and new experiences, indicating a clear shift in personal activities. The model answer claims 'No change in focus,' which directly contradicts the gold answer and is therefore a concrete false claim.</x:v>
      </x:c>
      <x:c r="P239" s="30" t="str">
        <x:v>LongCat-2.0</x:v>
      </x:c>
      <x:c r="Q239" s="30" t="str">
        <x:v>LongCat-2.0</x:v>
      </x:c>
      <x:c r="R239" s="30" t="n">
        <x:v>4684.72</x:v>
      </x:c>
      <x:c r="S239" s="30" t="str">
        <x:v>{"completion_tokens": 69, "prompt_tokens": 169,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0">
      <x:c r="A240" s="30" t="str">
        <x:v>memos_long:2235</x:v>
      </x:c>
      <x:c r="B240" s="30" t="str">
        <x:v>long</x:v>
      </x:c>
      <x:c r="C240" s="30" t="str">
        <x:v>Dynamic Update</x:v>
      </x:c>
      <x:c r="D240" s="30" t="n">
        <x:v>2</x:v>
      </x:c>
      <x:c r="E240" s="30" t="str">
        <x:v>How has Sharon Brown's focus on personal activities changed from Sep 20, 2035 to Sep 01, 2036?</x:v>
      </x:c>
      <x:c r="F240" s="30" t="str">
        <x:v>From health and family to family, hobbies, and new experiences.</x:v>
      </x:c>
      <x:c r="G240" s="30" t="str">
        <x:v>No change in focus.</x:v>
      </x:c>
      <x:c r="H240" s="30" t="str">
        <x:v>deepseek-v4-flash</x:v>
      </x:c>
      <x:c r="I240" s="30" t="str">
        <x:v>deepseek-v4-flash</x:v>
      </x:c>
      <x:c r="J240" s="30" t="str">
        <x:v>f72337aad9b026749442b94fb7ad6bf8dee2b5d29b492db56df673f0f7f44bc1</x:v>
      </x:c>
      <x:c r="K240" s="30" t="str">
        <x:v>7d90fe4f2bd79ef74ac8ceb7bafc3c25d8f2a5abaaf5632b54bb1730e7ffee99</x:v>
      </x:c>
      <x:c r="L240" s="30" t="n">
        <x:v>762.78</x:v>
      </x:c>
      <x:c r="M240" s="30" t="str">
        <x:v>{"completion_tokens": 5, "prompt_tokens": 586, "total_tokens": 591, "completion_tokens_details": null, "prompt_tokens_details": {"audio_tokens": null, "cached_tokens": 512}, "prompt_cache_hit_tokens": 512, "prompt_cache_miss_tokens": 74}</x:v>
      </x:c>
      <x:c r="N240" s="30" t="str">
        <x:v>hallucination</x:v>
      </x:c>
      <x:c r="O240"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P240" s="30" t="str">
        <x:v>LongCat-2.0</x:v>
      </x:c>
      <x:c r="Q240" s="30" t="str">
        <x:v>LongCat-2.0</x:v>
      </x:c>
      <x:c r="R240" s="30" t="n">
        <x:v>2702.42</x:v>
      </x:c>
      <x:c r="S240" s="30" t="str">
        <x:v>{"completion_tokens": 68, "prompt_tokens": 169,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41">
      <x:c r="A241" s="30" t="str">
        <x:v>memos_long:2235</x:v>
      </x:c>
      <x:c r="B241" s="30" t="str">
        <x:v>long</x:v>
      </x:c>
      <x:c r="C241" s="30" t="str">
        <x:v>Dynamic Update</x:v>
      </x:c>
      <x:c r="D241" s="30" t="n">
        <x:v>3</x:v>
      </x:c>
      <x:c r="E241" s="30" t="str">
        <x:v>How has Sharon Brown's focus on personal activities changed from Sep 20, 2035 to Sep 01, 2036?</x:v>
      </x:c>
      <x:c r="F241" s="30" t="str">
        <x:v>From health and family to family, hobbies, and new experiences.</x:v>
      </x:c>
      <x:c r="G241" s="30" t="str">
        <x:v>No change in focus.</x:v>
      </x:c>
      <x:c r="H241" s="30" t="str">
        <x:v>deepseek-v4-flash</x:v>
      </x:c>
      <x:c r="I241" s="30" t="str">
        <x:v>deepseek-v4-flash</x:v>
      </x:c>
      <x:c r="J241" s="30" t="str">
        <x:v>f72337aad9b026749442b94fb7ad6bf8dee2b5d29b492db56df673f0f7f44bc1</x:v>
      </x:c>
      <x:c r="K241" s="30" t="str">
        <x:v>7d90fe4f2bd79ef74ac8ceb7bafc3c25d8f2a5abaaf5632b54bb1730e7ffee99</x:v>
      </x:c>
      <x:c r="L241" s="30" t="n">
        <x:v>762.66</x:v>
      </x:c>
      <x:c r="M241" s="30" t="str">
        <x:v>{"completion_tokens": 5, "prompt_tokens": 586, "total_tokens": 591, "completion_tokens_details": null, "prompt_tokens_details": {"audio_tokens": null, "cached_tokens": 512}, "prompt_cache_hit_tokens": 512, "prompt_cache_miss_tokens": 74}</x:v>
      </x:c>
      <x:c r="N241" s="30" t="str">
        <x:v>hallucination</x:v>
      </x:c>
      <x:c r="O241"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P241" s="30" t="str">
        <x:v>LongCat-2.0</x:v>
      </x:c>
      <x:c r="Q241" s="30" t="str">
        <x:v>LongCat-2.0</x:v>
      </x:c>
      <x:c r="R241" s="30" t="n">
        <x:v>2508.66</x:v>
      </x:c>
      <x:c r="S241" s="30" t="str">
        <x:v>{"completion_tokens": 68, "prompt_tokens": 169,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2">
      <x:c r="A242" s="30" t="str">
        <x:v>memos_long:2254</x:v>
      </x:c>
      <x:c r="B242" s="30" t="str">
        <x:v>long</x:v>
      </x:c>
      <x:c r="C242" s="30" t="str">
        <x:v>Memory Conflict</x:v>
      </x:c>
      <x:c r="D242" s="30" t="n">
        <x:v>1</x:v>
      </x:c>
      <x:c r="E242" s="30" t="str">
        <x:v>Did Williams express no interest in the historical significance of Persian cats on April 10, 2026?</x:v>
      </x:c>
      <x:c r="F242" s="30" t="str">
        <x:v>Williams expressed a deepened admiration for their historical significance.</x:v>
      </x:c>
      <x:c r="G242" s="30" t="str">
        <x:v>No</x:v>
      </x:c>
      <x:c r="H242" s="30" t="str">
        <x:v>deepseek-v4-flash</x:v>
      </x:c>
      <x:c r="I242" s="30" t="str">
        <x:v>deepseek-v4-flash</x:v>
      </x:c>
      <x:c r="J242" s="30" t="str">
        <x:v>3dd1bb15c683d46fd6943727b86820d01dc78312c798be5269f570dff7f71888</x:v>
      </x:c>
      <x:c r="K242" s="30" t="str">
        <x:v>723e7a6c307c9898565d19831e60dfdccfc469875dc3c509017047c965b21d83</x:v>
      </x:c>
      <x:c r="L242" s="30" t="n">
        <x:v>815.13</x:v>
      </x:c>
      <x:c r="M242" s="30" t="str">
        <x:v>{"completion_tokens": 1, "prompt_tokens": 582, "total_tokens": 583, "completion_tokens_details": null, "prompt_tokens_details": {"audio_tokens": null, "cached_tokens": 512}, "prompt_cache_hit_tokens": 512, "prompt_cache_miss_tokens": 70}</x:v>
      </x:c>
      <x:c r="N242" s="30" t="str">
        <x:v>hallucination</x:v>
      </x:c>
      <x:c r="O242" s="30" t="str">
        <x:v>The gold answer states that Williams expressed a deepened admiration for the historical significance of Persian cats, which directly contradicts the model's answer of 'No' (implying no interest). The model's response is a concrete claim that contradicts the gold answer.</x:v>
      </x:c>
      <x:c r="P242" s="30" t="str">
        <x:v>LongCat-2.0</x:v>
      </x:c>
      <x:c r="Q242" s="30" t="str">
        <x:v>LongCat-2.0</x:v>
      </x:c>
      <x:c r="R242" s="30" t="n">
        <x:v>2560.17</x:v>
      </x:c>
      <x:c r="S242" s="30" t="str">
        <x:v>{"completion_tokens": 64, "prompt_tokens": 154,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3">
      <x:c r="A243" s="30" t="str">
        <x:v>memos_long:2254</x:v>
      </x:c>
      <x:c r="B243" s="30" t="str">
        <x:v>long</x:v>
      </x:c>
      <x:c r="C243" s="30" t="str">
        <x:v>Memory Conflict</x:v>
      </x:c>
      <x:c r="D243" s="30" t="n">
        <x:v>2</x:v>
      </x:c>
      <x:c r="E243" s="30" t="str">
        <x:v>Did Williams express no interest in the historical significance of Persian cats on April 10, 2026?</x:v>
      </x:c>
      <x:c r="F243" s="30" t="str">
        <x:v>Williams expressed a deepened admiration for their historical significance.</x:v>
      </x:c>
      <x:c r="G243" s="30" t="str">
        <x:v>No</x:v>
      </x:c>
      <x:c r="H243" s="30" t="str">
        <x:v>deepseek-v4-flash</x:v>
      </x:c>
      <x:c r="I243" s="30" t="str">
        <x:v>deepseek-v4-flash</x:v>
      </x:c>
      <x:c r="J243" s="30" t="str">
        <x:v>3dd1bb15c683d46fd6943727b86820d01dc78312c798be5269f570dff7f71888</x:v>
      </x:c>
      <x:c r="K243" s="30" t="str">
        <x:v>723e7a6c307c9898565d19831e60dfdccfc469875dc3c509017047c965b21d83</x:v>
      </x:c>
      <x:c r="L243" s="30" t="n">
        <x:v>660.53</x:v>
      </x:c>
      <x:c r="M243" s="30" t="str">
        <x:v>{"completion_tokens": 1, "prompt_tokens": 582, "total_tokens": 583, "completion_tokens_details": null, "prompt_tokens_details": {"audio_tokens": null, "cached_tokens": 512}, "prompt_cache_hit_tokens": 512, "prompt_cache_miss_tokens": 70}</x:v>
      </x:c>
      <x:c r="N243" s="30" t="str">
        <x:v>hallucination</x:v>
      </x:c>
      <x:c r="O243" s="30" t="str">
        <x:v>The gold answer states that Williams expressed a deepened admiration for the historical significance of Persian cats, which directly contradicts the model's answer of 'No' (which implies Williams did not express interest). The model's concrete claim is false and unsupported by the gold answer.</x:v>
      </x:c>
      <x:c r="P243" s="30" t="str">
        <x:v>LongCat-2.0</x:v>
      </x:c>
      <x:c r="Q243" s="30" t="str">
        <x:v>LongCat-2.0</x:v>
      </x:c>
      <x:c r="R243" s="30" t="n">
        <x:v>3386.55</x:v>
      </x:c>
      <x:c r="S243" s="30" t="str">
        <x:v>{"completion_tokens": 66, "prompt_tokens": 154,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4">
      <x:c r="A244" s="30" t="str">
        <x:v>memos_long:2254</x:v>
      </x:c>
      <x:c r="B244" s="30" t="str">
        <x:v>long</x:v>
      </x:c>
      <x:c r="C244" s="30" t="str">
        <x:v>Memory Conflict</x:v>
      </x:c>
      <x:c r="D244" s="30" t="n">
        <x:v>3</x:v>
      </x:c>
      <x:c r="E244" s="30" t="str">
        <x:v>Did Williams express no interest in the historical significance of Persian cats on April 10, 2026?</x:v>
      </x:c>
      <x:c r="F244" s="30" t="str">
        <x:v>Williams expressed a deepened admiration for their historical significance.</x:v>
      </x:c>
      <x:c r="G244" s="30" t="str">
        <x:v>No</x:v>
      </x:c>
      <x:c r="H244" s="30" t="str">
        <x:v>deepseek-v4-flash</x:v>
      </x:c>
      <x:c r="I244" s="30" t="str">
        <x:v>deepseek-v4-flash</x:v>
      </x:c>
      <x:c r="J244" s="30" t="str">
        <x:v>3dd1bb15c683d46fd6943727b86820d01dc78312c798be5269f570dff7f71888</x:v>
      </x:c>
      <x:c r="K244" s="30" t="str">
        <x:v>723e7a6c307c9898565d19831e60dfdccfc469875dc3c509017047c965b21d83</x:v>
      </x:c>
      <x:c r="L244" s="30" t="n">
        <x:v>449.94</x:v>
      </x:c>
      <x:c r="M244" s="30" t="str">
        <x:v>{"completion_tokens": 1, "prompt_tokens": 582, "total_tokens": 583, "completion_tokens_details": null, "prompt_tokens_details": {"audio_tokens": null, "cached_tokens": 512}, "prompt_cache_hit_tokens": 512, "prompt_cache_miss_tokens": 70}</x:v>
      </x:c>
      <x:c r="N244" s="30" t="str">
        <x:v>hallucination</x:v>
      </x:c>
      <x:c r="O244" s="30" t="str">
        <x:v>The gold answer states that Williams expressed a deepened admiration for the historical significance of Persian cats, meaning they did express interest. The model answer 'No' directly contradicts this by claiming Williams expressed no interest, which is a concrete false claim.</x:v>
      </x:c>
      <x:c r="P244" s="30" t="str">
        <x:v>LongCat-2.0</x:v>
      </x:c>
      <x:c r="Q244" s="30" t="str">
        <x:v>LongCat-2.0</x:v>
      </x:c>
      <x:c r="R244" s="30" t="n">
        <x:v>3638.27</x:v>
      </x:c>
      <x:c r="S244" s="30" t="str">
        <x:v>{"completion_tokens": 61, "prompt_tokens": 154,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45">
      <x:c r="A245" s="30" t="str">
        <x:v>memos_long:2277</x:v>
      </x:c>
      <x:c r="B245" s="30" t="str">
        <x:v>long</x:v>
      </x:c>
      <x:c r="C245" s="30" t="str">
        <x:v>Generalization &amp; Application</x:v>
      </x:c>
      <x:c r="D245" s="30" t="n">
        <x:v>1</x:v>
      </x:c>
      <x:c r="E245" s="30" t="str">
        <x:v>How might Williams Daniel manage his research and creative tasks for upcoming projects in 2027?</x:v>
      </x:c>
      <x:c r="F245" s="30" t="str">
        <x:v>Seek efficient management advice.</x:v>
      </x:c>
      <x:c r="G245" s="30" t="str">
        <x:v>Seek advice on task management.</x:v>
      </x:c>
      <x:c r="H245" s="30" t="str">
        <x:v>deepseek-v4-flash</x:v>
      </x:c>
      <x:c r="I245" s="30" t="str">
        <x:v>deepseek-v4-flash</x:v>
      </x:c>
      <x:c r="J245" s="30" t="str">
        <x:v>4ac9b53cfac50659d0fda8589b4739a447e5758f45668400872a5a765f60254d</x:v>
      </x:c>
      <x:c r="K245" s="30" t="str">
        <x:v>e85d2675d933f420529e1a6ef27946efff0d364e9b01a3f729c2762792d83521</x:v>
      </x:c>
      <x:c r="L245" s="30" t="n">
        <x:v>940.48</x:v>
      </x:c>
      <x:c r="M245" s="30" t="str">
        <x:v>{"completion_tokens": 7, "prompt_tokens": 557, "total_tokens": 564, "completion_tokens_details": null, "prompt_tokens_details": {"audio_tokens": null, "cached_tokens": 512}, "prompt_cache_hit_tokens": 512, "prompt_cache_miss_tokens": 45}</x:v>
      </x:c>
      <x:c r="N245" s="30" t="str">
        <x:v>correct</x:v>
      </x:c>
      <x:c r="O245" s="30" t="str">
        <x:v>The model answer 'Seek advice on task management' is semantically equivalent to the gold answer 'Seek efficient management advice.' Both convey the same core idea of seeking guidance on managing tasks, with only minor wording differences.</x:v>
      </x:c>
      <x:c r="P245" s="30" t="str">
        <x:v>LongCat-2.0</x:v>
      </x:c>
      <x:c r="Q245" s="30" t="str">
        <x:v>LongCat-2.0</x:v>
      </x:c>
      <x:c r="R245" s="30" t="n">
        <x:v>2306.7</x:v>
      </x:c>
      <x:c r="S245" s="30" t="str">
        <x:v>{"completion_tokens": 54, "prompt_tokens": 148,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46">
      <x:c r="A246" s="30" t="str">
        <x:v>memos_long:2277</x:v>
      </x:c>
      <x:c r="B246" s="30" t="str">
        <x:v>long</x:v>
      </x:c>
      <x:c r="C246" s="30" t="str">
        <x:v>Generalization &amp; Application</x:v>
      </x:c>
      <x:c r="D246" s="30" t="n">
        <x:v>2</x:v>
      </x:c>
      <x:c r="E246" s="30" t="str">
        <x:v>How might Williams Daniel manage his research and creative tasks for upcoming projects in 2027?</x:v>
      </x:c>
      <x:c r="F246" s="30" t="str">
        <x:v>Seek efficient management advice.</x:v>
      </x:c>
      <x:c r="G246" s="30" t="str">
        <x:v>Seek advice on task management.</x:v>
      </x:c>
      <x:c r="H246" s="30" t="str">
        <x:v>deepseek-v4-flash</x:v>
      </x:c>
      <x:c r="I246" s="30" t="str">
        <x:v>deepseek-v4-flash</x:v>
      </x:c>
      <x:c r="J246" s="30" t="str">
        <x:v>4ac9b53cfac50659d0fda8589b4739a447e5758f45668400872a5a765f60254d</x:v>
      </x:c>
      <x:c r="K246" s="30" t="str">
        <x:v>e85d2675d933f420529e1a6ef27946efff0d364e9b01a3f729c2762792d83521</x:v>
      </x:c>
      <x:c r="L246" s="30" t="n">
        <x:v>718.45</x:v>
      </x:c>
      <x:c r="M246" s="30" t="str">
        <x:v>{"completion_tokens": 7, "prompt_tokens": 557, "total_tokens": 564, "completion_tokens_details": null, "prompt_tokens_details": {"audio_tokens": null, "cached_tokens": 512}, "prompt_cache_hit_tokens": 512, "prompt_cache_miss_tokens": 45}</x:v>
      </x:c>
      <x:c r="N246" s="30" t="str">
        <x:v>correct</x:v>
      </x:c>
      <x:c r="O246" s="30" t="str">
        <x:v>The model answer 'Seek advice on task management' is semantically equivalent to the gold answer 'Seek efficient management advice.' Both convey the same core idea of seeking guidance on managing tasks, with only minor wording differences.</x:v>
      </x:c>
      <x:c r="P246" s="30" t="str">
        <x:v>LongCat-2.0</x:v>
      </x:c>
      <x:c r="Q246" s="30" t="str">
        <x:v>LongCat-2.0</x:v>
      </x:c>
      <x:c r="R246" s="30" t="n">
        <x:v>2361.68</x:v>
      </x:c>
      <x:c r="S246" s="30" t="str">
        <x:v>{"completion_tokens": 54, "prompt_tokens": 148,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7">
      <x:c r="A247" s="30" t="str">
        <x:v>memos_long:2277</x:v>
      </x:c>
      <x:c r="B247" s="30" t="str">
        <x:v>long</x:v>
      </x:c>
      <x:c r="C247" s="30" t="str">
        <x:v>Generalization &amp; Application</x:v>
      </x:c>
      <x:c r="D247" s="30" t="n">
        <x:v>3</x:v>
      </x:c>
      <x:c r="E247" s="30" t="str">
        <x:v>How might Williams Daniel manage his research and creative tasks for upcoming projects in 2027?</x:v>
      </x:c>
      <x:c r="F247" s="30" t="str">
        <x:v>Seek efficient management advice.</x:v>
      </x:c>
      <x:c r="G247" s="30" t="str">
        <x:v>Seek advice on task management.</x:v>
      </x:c>
      <x:c r="H247" s="30" t="str">
        <x:v>deepseek-v4-flash</x:v>
      </x:c>
      <x:c r="I247" s="30" t="str">
        <x:v>deepseek-v4-flash</x:v>
      </x:c>
      <x:c r="J247" s="30" t="str">
        <x:v>4ac9b53cfac50659d0fda8589b4739a447e5758f45668400872a5a765f60254d</x:v>
      </x:c>
      <x:c r="K247" s="30" t="str">
        <x:v>e85d2675d933f420529e1a6ef27946efff0d364e9b01a3f729c2762792d83521</x:v>
      </x:c>
      <x:c r="L247" s="30" t="n">
        <x:v>1112.29</x:v>
      </x:c>
      <x:c r="M247" s="30" t="str">
        <x:v>{"completion_tokens": 7, "prompt_tokens": 557, "total_tokens": 564, "completion_tokens_details": null, "prompt_tokens_details": {"audio_tokens": null, "cached_tokens": 512}, "prompt_cache_hit_tokens": 512, "prompt_cache_miss_tokens": 45}</x:v>
      </x:c>
      <x:c r="N247" s="30" t="str">
        <x:v>correct</x:v>
      </x:c>
      <x:c r="O247" s="30" t="str">
        <x:v>The model answer 'Seek advice on task management' is semantically equivalent to the gold answer 'Seek efficient management advice.' Both convey the same core idea of seeking guidance on managing tasks, with only minor wording differences.</x:v>
      </x:c>
      <x:c r="P247" s="30" t="str">
        <x:v>LongCat-2.0</x:v>
      </x:c>
      <x:c r="Q247" s="30" t="str">
        <x:v>LongCat-2.0</x:v>
      </x:c>
      <x:c r="R247" s="30" t="n">
        <x:v>1905.41</x:v>
      </x:c>
      <x:c r="S247" s="30" t="str">
        <x:v>{"completion_tokens": 54, "prompt_tokens": 148,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48">
      <x:c r="A248" s="30" t="str">
        <x:v>memos_long:2346</x:v>
      </x:c>
      <x:c r="B248" s="30" t="str">
        <x:v>long</x:v>
      </x:c>
      <x:c r="C248" s="30" t="str">
        <x:v>Generalization &amp; Application</x:v>
      </x:c>
      <x:c r="D248" s="30" t="n">
        <x:v>1</x:v>
      </x:c>
      <x:c r="E248" s="30" t="str">
        <x:v>What type of storytelling techniques might Williams Daniel explore in his filmmaking projects after March 04, 2031?</x:v>
      </x:c>
      <x:c r="F248" s="30" t="str">
        <x:v>Historical fantasy elements with creative liberties.</x:v>
      </x:c>
      <x:c r="G248" s="30" t="str">
        <x:v>Historical fantasy integration.</x:v>
      </x:c>
      <x:c r="H248" s="30" t="str">
        <x:v>deepseek-v4-flash</x:v>
      </x:c>
      <x:c r="I248" s="30" t="str">
        <x:v>deepseek-v4-flash</x:v>
      </x:c>
      <x:c r="J248" s="30" t="str">
        <x:v>b2d20a1d83735805f938625cd1f22be9904d11e1faae4d31c499e634cd28616c</x:v>
      </x:c>
      <x:c r="K248" s="30" t="str">
        <x:v>97b2925b1bb553e685b542357d655d446431881d1a07df01f737672c8f487a0d</x:v>
      </x:c>
      <x:c r="L248" s="30" t="n">
        <x:v>769.32</x:v>
      </x:c>
      <x:c r="M248" s="30" t="str">
        <x:v>{"completion_tokens": 4, "prompt_tokens": 605, "total_tokens": 609, "completion_tokens_details": null, "prompt_tokens_details": {"audio_tokens": null, "cached_tokens": 512}, "prompt_cache_hit_tokens": 512, "prompt_cache_miss_tokens": 93}</x:v>
      </x:c>
      <x:c r="N248" s="30" t="str">
        <x:v>correct</x:v>
      </x:c>
      <x:c r="O248" s="30" t="str">
        <x:v>The model answer 'Historical fantasy integration' semantically captures the complete gold answer 'Historical fantasy elements with creative liberties,' as both refer to the blending of historical and fantasy storytelling techniques, with only minor wording differences.</x:v>
      </x:c>
      <x:c r="P248" s="30" t="str">
        <x:v>LongCat-2.0</x:v>
      </x:c>
      <x:c r="Q248" s="30" t="str">
        <x:v>LongCat-2.0</x:v>
      </x:c>
      <x:c r="R248" s="30" t="n">
        <x:v>2402.66</x:v>
      </x:c>
      <x:c r="S248" s="30" t="str">
        <x:v>{"completion_tokens": 53, "prompt_tokens": 154,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49">
      <x:c r="A249" s="30" t="str">
        <x:v>memos_long:2346</x:v>
      </x:c>
      <x:c r="B249" s="30" t="str">
        <x:v>long</x:v>
      </x:c>
      <x:c r="C249" s="30" t="str">
        <x:v>Generalization &amp; Application</x:v>
      </x:c>
      <x:c r="D249" s="30" t="n">
        <x:v>2</x:v>
      </x:c>
      <x:c r="E249" s="30" t="str">
        <x:v>What type of storytelling techniques might Williams Daniel explore in his filmmaking projects after March 04, 2031?</x:v>
      </x:c>
      <x:c r="F249" s="30" t="str">
        <x:v>Historical fantasy elements with creative liberties.</x:v>
      </x:c>
      <x:c r="G249" s="30" t="str">
        <x:v>Historical fantasy integration.</x:v>
      </x:c>
      <x:c r="H249" s="30" t="str">
        <x:v>deepseek-v4-flash</x:v>
      </x:c>
      <x:c r="I249" s="30" t="str">
        <x:v>deepseek-v4-flash</x:v>
      </x:c>
      <x:c r="J249" s="30" t="str">
        <x:v>b2d20a1d83735805f938625cd1f22be9904d11e1faae4d31c499e634cd28616c</x:v>
      </x:c>
      <x:c r="K249" s="30" t="str">
        <x:v>97b2925b1bb553e685b542357d655d446431881d1a07df01f737672c8f487a0d</x:v>
      </x:c>
      <x:c r="L249" s="30" t="n">
        <x:v>680.46</x:v>
      </x:c>
      <x:c r="M249" s="30" t="str">
        <x:v>{"completion_tokens": 4, "prompt_tokens": 605, "total_tokens": 609, "completion_tokens_details": null, "prompt_tokens_details": {"audio_tokens": null, "cached_tokens": 512}, "prompt_cache_hit_tokens": 512, "prompt_cache_miss_tokens": 93}</x:v>
      </x:c>
      <x:c r="N249" s="30" t="str">
        <x:v>correct</x:v>
      </x:c>
      <x:c r="O249" s="30" t="str">
        <x:v>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x:v>
      </x:c>
      <x:c r="P249" s="30" t="str">
        <x:v>LongCat-2.0</x:v>
      </x:c>
      <x:c r="Q249" s="30" t="str">
        <x:v>LongCat-2.0</x:v>
      </x:c>
      <x:c r="R249" s="30" t="n">
        <x:v>3230.33</x:v>
      </x:c>
      <x:c r="S249" s="30" t="str">
        <x:v>{"completion_tokens": 66, "prompt_tokens": 154,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0">
      <x:c r="A250" s="30" t="str">
        <x:v>memos_long:2346</x:v>
      </x:c>
      <x:c r="B250" s="30" t="str">
        <x:v>long</x:v>
      </x:c>
      <x:c r="C250" s="30" t="str">
        <x:v>Generalization &amp; Application</x:v>
      </x:c>
      <x:c r="D250" s="30" t="n">
        <x:v>3</x:v>
      </x:c>
      <x:c r="E250" s="30" t="str">
        <x:v>What type of storytelling techniques might Williams Daniel explore in his filmmaking projects after March 04, 2031?</x:v>
      </x:c>
      <x:c r="F250" s="30" t="str">
        <x:v>Historical fantasy elements with creative liberties.</x:v>
      </x:c>
      <x:c r="G250" s="30" t="str">
        <x:v>Historical fantasy integration.</x:v>
      </x:c>
      <x:c r="H250" s="30" t="str">
        <x:v>deepseek-v4-flash</x:v>
      </x:c>
      <x:c r="I250" s="30" t="str">
        <x:v>deepseek-v4-flash</x:v>
      </x:c>
      <x:c r="J250" s="30" t="str">
        <x:v>b2d20a1d83735805f938625cd1f22be9904d11e1faae4d31c499e634cd28616c</x:v>
      </x:c>
      <x:c r="K250" s="30" t="str">
        <x:v>97b2925b1bb553e685b542357d655d446431881d1a07df01f737672c8f487a0d</x:v>
      </x:c>
      <x:c r="L250" s="30" t="n">
        <x:v>815.89</x:v>
      </x:c>
      <x:c r="M250" s="30" t="str">
        <x:v>{"completion_tokens": 4, "prompt_tokens": 605, "total_tokens": 609, "completion_tokens_details": null, "prompt_tokens_details": {"audio_tokens": null, "cached_tokens": 512}, "prompt_cache_hit_tokens": 512, "prompt_cache_miss_tokens": 93}</x:v>
      </x:c>
      <x:c r="N250" s="30" t="str">
        <x:v>correct</x:v>
      </x:c>
      <x:c r="O250" s="30" t="str">
        <x:v>The model answer 'Historical fantasy integration' semantically captures the complete meaning of the gold answer 'Historical fantasy elements with creative liberties,' as both refer to the blending of historical and fantasy storytelling techniques. The wording differs but the core concept is fully preserved without contradiction or unsupported material.</x:v>
      </x:c>
      <x:c r="P250" s="30" t="str">
        <x:v>LongCat-2.0</x:v>
      </x:c>
      <x:c r="Q250" s="30" t="str">
        <x:v>LongCat-2.0</x:v>
      </x:c>
      <x:c r="R250" s="30" t="n">
        <x:v>3039.26</x:v>
      </x:c>
      <x:c r="S250" s="30" t="str">
        <x:v>{"completion_tokens": 66, "prompt_tokens": 154,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1">
      <x:c r="A251" s="30" t="str">
        <x:v>memos_long:2387</x:v>
      </x:c>
      <x:c r="B251" s="30" t="str">
        <x:v>long</x:v>
      </x:c>
      <x:c r="C251" s="30" t="str">
        <x:v>Generalization &amp; Application</x:v>
      </x:c>
      <x:c r="D251" s="30" t="n">
        <x:v>1</x:v>
      </x:c>
      <x:c r="E251" s="30" t="str">
        <x:v>How might Williams Daniel approach trying new culturally significant foods given his interest in historical authenticity?</x:v>
      </x:c>
      <x:c r="F251" s="30" t="str">
        <x:v>He would appreciate their cultural impact despite personal taste preferences.</x:v>
      </x:c>
      <x:c r="G251" s="30" t="str">
        <x:v>Explore cultural significance first.</x:v>
      </x:c>
      <x:c r="H251" s="30" t="str">
        <x:v>deepseek-v4-flash</x:v>
      </x:c>
      <x:c r="I251" s="30" t="str">
        <x:v>deepseek-v4-flash</x:v>
      </x:c>
      <x:c r="J251" s="30" t="str">
        <x:v>18dcb60d3e8d81709528afe00bb852c6ce6bb1d28683e7958208acb32bdef669</x:v>
      </x:c>
      <x:c r="K251" s="30" t="str">
        <x:v>203f628bee4e786e1ca966b6f792d4b099414070fe0b243e04358c5ea4d78c1b</x:v>
      </x:c>
      <x:c r="L251" s="30" t="n">
        <x:v>821.8</x:v>
      </x:c>
      <x:c r="M251" s="30" t="str">
        <x:v>{"completion_tokens": 5, "prompt_tokens": 602, "total_tokens": 607, "completion_tokens_details": null, "prompt_tokens_details": {"audio_tokens": null, "cached_tokens": 512}, "prompt_cache_hit_tokens": 512, "prompt_cache_miss_tokens": 90}</x:v>
      </x:c>
      <x:c r="N251" s="30" t="str">
        <x:v>omission</x:v>
      </x:c>
      <x:c r="O251" s="30" t="str">
        <x:v>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x:v>
      </x:c>
      <x:c r="P251" s="30" t="str">
        <x:v>LongCat-2.0</x:v>
      </x:c>
      <x:c r="Q251" s="30" t="str">
        <x:v>LongCat-2.0</x:v>
      </x:c>
      <x:c r="R251" s="30" t="n">
        <x:v>4859.86</x:v>
      </x:c>
      <x:c r="S251" s="30" t="str">
        <x:v>{"completion_tokens": 62, "prompt_tokens": 150,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2">
      <x:c r="A252" s="30" t="str">
        <x:v>memos_long:2387</x:v>
      </x:c>
      <x:c r="B252" s="30" t="str">
        <x:v>long</x:v>
      </x:c>
      <x:c r="C252" s="30" t="str">
        <x:v>Generalization &amp; Application</x:v>
      </x:c>
      <x:c r="D252" s="30" t="n">
        <x:v>2</x:v>
      </x:c>
      <x:c r="E252" s="30" t="str">
        <x:v>How might Williams Daniel approach trying new culturally significant foods given his interest in historical authenticity?</x:v>
      </x:c>
      <x:c r="F252" s="30" t="str">
        <x:v>He would appreciate their cultural impact despite personal taste preferences.</x:v>
      </x:c>
      <x:c r="G252" s="30" t="str">
        <x:v>Explore cultural significance first.</x:v>
      </x:c>
      <x:c r="H252" s="30" t="str">
        <x:v>deepseek-v4-flash</x:v>
      </x:c>
      <x:c r="I252" s="30" t="str">
        <x:v>deepseek-v4-flash</x:v>
      </x:c>
      <x:c r="J252" s="30" t="str">
        <x:v>18dcb60d3e8d81709528afe00bb852c6ce6bb1d28683e7958208acb32bdef669</x:v>
      </x:c>
      <x:c r="K252" s="30" t="str">
        <x:v>203f628bee4e786e1ca966b6f792d4b099414070fe0b243e04358c5ea4d78c1b</x:v>
      </x:c>
      <x:c r="L252" s="30" t="n">
        <x:v>869.59</x:v>
      </x:c>
      <x:c r="M252" s="30" t="str">
        <x:v>{"completion_tokens": 5, "prompt_tokens": 602, "total_tokens": 607, "completion_tokens_details": null, "prompt_tokens_details": {"audio_tokens": null, "cached_tokens": 512}, "prompt_cache_hit_tokens": 512, "prompt_cache_miss_tokens": 90}</x:v>
      </x:c>
      <x:c r="N252" s="30" t="str">
        <x:v>omission</x:v>
      </x:c>
      <x:c r="O252" s="30" t="str">
        <x:v>The model answer 'Explore cultural significance first' captures part of the gold answer's idea about cultural impact but omits the key element that he would appreciate the foods despite personal taste preferences. It provides only an incomplete subset of the gold answer.</x:v>
      </x:c>
      <x:c r="P252" s="30" t="str">
        <x:v>LongCat-2.0</x:v>
      </x:c>
      <x:c r="Q252" s="30" t="str">
        <x:v>LongCat-2.0</x:v>
      </x:c>
      <x:c r="R252" s="30" t="n">
        <x:v>4863.17</x:v>
      </x:c>
      <x:c r="S252" s="30" t="str">
        <x:v>{"completion_tokens": 60, "prompt_tokens": 150,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3">
      <x:c r="A253" s="30" t="str">
        <x:v>memos_long:2387</x:v>
      </x:c>
      <x:c r="B253" s="30" t="str">
        <x:v>long</x:v>
      </x:c>
      <x:c r="C253" s="30" t="str">
        <x:v>Generalization &amp; Application</x:v>
      </x:c>
      <x:c r="D253" s="30" t="n">
        <x:v>3</x:v>
      </x:c>
      <x:c r="E253" s="30" t="str">
        <x:v>How might Williams Daniel approach trying new culturally significant foods given his interest in historical authenticity?</x:v>
      </x:c>
      <x:c r="F253" s="30" t="str">
        <x:v>He would appreciate their cultural impact despite personal taste preferences.</x:v>
      </x:c>
      <x:c r="G253" s="30" t="str">
        <x:v>Explore cultural significance first.</x:v>
      </x:c>
      <x:c r="H253" s="30" t="str">
        <x:v>deepseek-v4-flash</x:v>
      </x:c>
      <x:c r="I253" s="30" t="str">
        <x:v>deepseek-v4-flash</x:v>
      </x:c>
      <x:c r="J253" s="30" t="str">
        <x:v>18dcb60d3e8d81709528afe00bb852c6ce6bb1d28683e7958208acb32bdef669</x:v>
      </x:c>
      <x:c r="K253" s="30" t="str">
        <x:v>203f628bee4e786e1ca966b6f792d4b099414070fe0b243e04358c5ea4d78c1b</x:v>
      </x:c>
      <x:c r="L253" s="30" t="n">
        <x:v>830.47</x:v>
      </x:c>
      <x:c r="M253" s="30" t="str">
        <x:v>{"completion_tokens": 5, "prompt_tokens": 602, "total_tokens": 607, "completion_tokens_details": null, "prompt_tokens_details": {"audio_tokens": null, "cached_tokens": 512}, "prompt_cache_hit_tokens": 512, "prompt_cache_miss_tokens": 90}</x:v>
      </x:c>
      <x:c r="N253" s="30" t="str">
        <x:v>omission</x:v>
      </x:c>
      <x:c r="O253" s="30" t="str">
        <x:v>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x:v>
      </x:c>
      <x:c r="P253" s="30" t="str">
        <x:v>LongCat-2.0</x:v>
      </x:c>
      <x:c r="Q253" s="30" t="str">
        <x:v>LongCat-2.0</x:v>
      </x:c>
      <x:c r="R253" s="30" t="n">
        <x:v>3020.09</x:v>
      </x:c>
      <x:c r="S253" s="30" t="str">
        <x:v>{"completion_tokens": 64, "prompt_tokens": 150,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54">
      <x:c r="A254" s="30" t="str">
        <x:v>memos_long:2410</x:v>
      </x:c>
      <x:c r="B254" s="30" t="str">
        <x:v>long</x:v>
      </x:c>
      <x:c r="C254" s="30" t="str">
        <x:v>Generalization &amp; Application</x:v>
      </x:c>
      <x:c r="D254" s="30" t="n">
        <x:v>1</x:v>
      </x:c>
      <x:c r="E254" s="30" t="str">
        <x:v>What type of traditional beverage might Williams Daniel explore next, given his interest in historical authenticity?</x:v>
      </x:c>
      <x:c r="F254" s="30" t="str">
        <x:v>Traditional tea with artisanal qualities.</x:v>
      </x:c>
      <x:c r="G254" s="30" t="str">
        <x:v>Traditional artisanal beverages</x:v>
      </x:c>
      <x:c r="H254" s="30" t="str">
        <x:v>deepseek-v4-flash</x:v>
      </x:c>
      <x:c r="I254" s="30" t="str">
        <x:v>deepseek-v4-flash</x:v>
      </x:c>
      <x:c r="J254" s="30" t="str">
        <x:v>da94d985b7f520fb302f4ac6324b7c347236d1e12ad03ff6fdb89b177539a0bc</x:v>
      </x:c>
      <x:c r="K254" s="30" t="str">
        <x:v>9fff0dda4aae352f075ebd502f3d274a6e8ff3ffa7f9d5f9aa2ed9d593532571</x:v>
      </x:c>
      <x:c r="L254" s="30" t="n">
        <x:v>568.31</x:v>
      </x:c>
      <x:c r="M254" s="30" t="str">
        <x:v>{"completion_tokens": 5, "prompt_tokens": 607, "total_tokens": 612, "completion_tokens_details": null, "prompt_tokens_details": {"audio_tokens": null, "cached_tokens": 512}, "prompt_cache_hit_tokens": 512, "prompt_cache_miss_tokens": 95}</x:v>
      </x:c>
      <x:c r="N254" s="30" t="str">
        <x:v>omission</x:v>
      </x:c>
      <x:c r="O254" s="30" t="str">
        <x:v>The model answer 'Traditional artisanal beverages' is broader and less specific than the gold answer 'Traditional tea with artisanal qualities.' While it captures the general theme, it omits the specific beverage type (tea) that is central to the gold answer, making it an incomplete subset.</x:v>
      </x:c>
      <x:c r="P254" s="30" t="str">
        <x:v>LongCat-2.0</x:v>
      </x:c>
      <x:c r="Q254" s="30" t="str">
        <x:v>LongCat-2.0</x:v>
      </x:c>
      <x:c r="R254" s="30" t="n">
        <x:v>3223.73</x:v>
      </x:c>
      <x:c r="S254" s="30" t="str">
        <x:v>{"completion_tokens": 71, "prompt_tokens": 149,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55">
      <x:c r="A255" s="30" t="str">
        <x:v>memos_long:2410</x:v>
      </x:c>
      <x:c r="B255" s="30" t="str">
        <x:v>long</x:v>
      </x:c>
      <x:c r="C255" s="30" t="str">
        <x:v>Generalization &amp; Application</x:v>
      </x:c>
      <x:c r="D255" s="30" t="n">
        <x:v>2</x:v>
      </x:c>
      <x:c r="E255" s="30" t="str">
        <x:v>What type of traditional beverage might Williams Daniel explore next, given his interest in historical authenticity?</x:v>
      </x:c>
      <x:c r="F255" s="30" t="str">
        <x:v>Traditional tea with artisanal qualities.</x:v>
      </x:c>
      <x:c r="G255" s="30" t="str">
        <x:v>Traditional artisanal beverages</x:v>
      </x:c>
      <x:c r="H255" s="30" t="str">
        <x:v>deepseek-v4-flash</x:v>
      </x:c>
      <x:c r="I255" s="30" t="str">
        <x:v>deepseek-v4-flash</x:v>
      </x:c>
      <x:c r="J255" s="30" t="str">
        <x:v>da94d985b7f520fb302f4ac6324b7c347236d1e12ad03ff6fdb89b177539a0bc</x:v>
      </x:c>
      <x:c r="K255" s="30" t="str">
        <x:v>9fff0dda4aae352f075ebd502f3d274a6e8ff3ffa7f9d5f9aa2ed9d593532571</x:v>
      </x:c>
      <x:c r="L255" s="30" t="n">
        <x:v>1281.25</x:v>
      </x:c>
      <x:c r="M255" s="30" t="str">
        <x:v>{"completion_tokens": 5, "prompt_tokens": 607, "total_tokens": 612, "completion_tokens_details": null, "prompt_tokens_details": {"audio_tokens": null, "cached_tokens": 512}, "prompt_cache_hit_tokens": 512, "prompt_cache_miss_tokens": 95}</x:v>
      </x:c>
      <x:c r="N255" s="30" t="str">
        <x:v>omission</x:v>
      </x:c>
      <x:c r="O255" s="30" t="str">
        <x:v>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x:v>
      </x:c>
      <x:c r="P255" s="30" t="str">
        <x:v>LongCat-2.0</x:v>
      </x:c>
      <x:c r="Q255" s="30" t="str">
        <x:v>LongCat-2.0</x:v>
      </x:c>
      <x:c r="R255" s="30" t="n">
        <x:v>4183.13</x:v>
      </x:c>
      <x:c r="S255" s="30" t="str">
        <x:v>{"completion_tokens": 94, "prompt_tokens": 149,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6">
      <x:c r="A256" s="30" t="str">
        <x:v>memos_long:2410</x:v>
      </x:c>
      <x:c r="B256" s="30" t="str">
        <x:v>long</x:v>
      </x:c>
      <x:c r="C256" s="30" t="str">
        <x:v>Generalization &amp; Application</x:v>
      </x:c>
      <x:c r="D256" s="30" t="n">
        <x:v>3</x:v>
      </x:c>
      <x:c r="E256" s="30" t="str">
        <x:v>What type of traditional beverage might Williams Daniel explore next, given his interest in historical authenticity?</x:v>
      </x:c>
      <x:c r="F256" s="30" t="str">
        <x:v>Traditional tea with artisanal qualities.</x:v>
      </x:c>
      <x:c r="G256" s="30" t="str">
        <x:v>Traditional artisanal beverages</x:v>
      </x:c>
      <x:c r="H256" s="30" t="str">
        <x:v>deepseek-v4-flash</x:v>
      </x:c>
      <x:c r="I256" s="30" t="str">
        <x:v>deepseek-v4-flash</x:v>
      </x:c>
      <x:c r="J256" s="30" t="str">
        <x:v>da94d985b7f520fb302f4ac6324b7c347236d1e12ad03ff6fdb89b177539a0bc</x:v>
      </x:c>
      <x:c r="K256" s="30" t="str">
        <x:v>9fff0dda4aae352f075ebd502f3d274a6e8ff3ffa7f9d5f9aa2ed9d593532571</x:v>
      </x:c>
      <x:c r="L256" s="30" t="n">
        <x:v>1229.5</x:v>
      </x:c>
      <x:c r="M256" s="30" t="str">
        <x:v>{"completion_tokens": 5, "prompt_tokens": 607, "total_tokens": 612, "completion_tokens_details": null, "prompt_tokens_details": {"audio_tokens": null, "cached_tokens": 512}, "prompt_cache_hit_tokens": 512, "prompt_cache_miss_tokens": 95}</x:v>
      </x:c>
      <x:c r="N256" s="30" t="str">
        <x:v>omission</x:v>
      </x:c>
      <x:c r="O256" s="30" t="str">
        <x:v>The model answer 'Traditional artisanal beverages' is broader and less specific than the gold answer 'Traditional tea with artisanal qualities.' While it captures the general concept of artisanal beverages, it omits the specific mention of 'tea' which is the key detail in the gold answer. It does not add any false information, but it fails to provide the complete semantic content of the gold answer.</x:v>
      </x:c>
      <x:c r="P256" s="30" t="str">
        <x:v>LongCat-2.0</x:v>
      </x:c>
      <x:c r="Q256" s="30" t="str">
        <x:v>LongCat-2.0</x:v>
      </x:c>
      <x:c r="R256" s="30" t="n">
        <x:v>3483.83</x:v>
      </x:c>
      <x:c r="S256" s="30" t="str">
        <x:v>{"completion_tokens": 94, "prompt_tokens": 149,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7">
      <x:c r="A257" s="30" t="str">
        <x:v>memos_long:2452</x:v>
      </x:c>
      <x:c r="B257" s="30" t="str">
        <x:v>long</x:v>
      </x:c>
      <x:c r="C257" s="30" t="str">
        <x:v>Generalization &amp; Application</x:v>
      </x:c>
      <x:c r="D257" s="30" t="n">
        <x:v>1</x:v>
      </x:c>
      <x:c r="E257" s="30" t="str">
        <x:v>What type of music might Steven prefer during a busy workday in 2027?</x:v>
      </x:c>
      <x:c r="F257" s="30" t="str">
        <x:v>Ambient music for concentration.</x:v>
      </x:c>
      <x:c r="G257" s="30" t="str">
        <x:v>Ambient music</x:v>
      </x:c>
      <x:c r="H257" s="30" t="str">
        <x:v>deepseek-v4-flash</x:v>
      </x:c>
      <x:c r="I257" s="30" t="str">
        <x:v>deepseek-v4-flash</x:v>
      </x:c>
      <x:c r="J257" s="30" t="str">
        <x:v>3185ee30db98469941cc802565c43368ceed2f5c4521935188512dfd8a645abb</x:v>
      </x:c>
      <x:c r="K257" s="30" t="str">
        <x:v>9f3138ab24616cd8644fb68e5dc111968ac2c0b2c4a68b76b1088d78dd4b5a61</x:v>
      </x:c>
      <x:c r="L257" s="30" t="n">
        <x:v>649.16</x:v>
      </x:c>
      <x:c r="M257" s="30" t="str">
        <x:v>{"completion_tokens": 3, "prompt_tokens": 601, "total_tokens": 604, "completion_tokens_details": null, "prompt_tokens_details": {"audio_tokens": null, "cached_tokens": 512}, "prompt_cache_hit_tokens": 512, "prompt_cache_miss_tokens": 89}</x:v>
      </x:c>
      <x:c r="N257" s="30" t="str">
        <x:v>correct</x:v>
      </x:c>
      <x:c r="O257" s="30" t="str">
        <x:v>The model answer 'Ambient music' is a semantically complete match to the gold answer 'Ambient music for concentration.' The omission of the purpose phrase 'for concentration' does not change the core answer or introduce any false claim, and the answer is not incomplete in a way that leaves the question unanswered.</x:v>
      </x:c>
      <x:c r="P257" s="30" t="str">
        <x:v>LongCat-2.0</x:v>
      </x:c>
      <x:c r="Q257" s="30" t="str">
        <x:v>LongCat-2.0</x:v>
      </x:c>
      <x:c r="R257" s="30" t="n">
        <x:v>2620.01</x:v>
      </x:c>
      <x:c r="S257" s="30" t="str">
        <x:v>{"completion_tokens": 71, "prompt_tokens": 144,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58">
      <x:c r="A258" s="30" t="str">
        <x:v>memos_long:2452</x:v>
      </x:c>
      <x:c r="B258" s="30" t="str">
        <x:v>long</x:v>
      </x:c>
      <x:c r="C258" s="30" t="str">
        <x:v>Generalization &amp; Application</x:v>
      </x:c>
      <x:c r="D258" s="30" t="n">
        <x:v>2</x:v>
      </x:c>
      <x:c r="E258" s="30" t="str">
        <x:v>What type of music might Steven prefer during a busy workday in 2027?</x:v>
      </x:c>
      <x:c r="F258" s="30" t="str">
        <x:v>Ambient music for concentration.</x:v>
      </x:c>
      <x:c r="G258" s="30" t="str">
        <x:v>Ambient music</x:v>
      </x:c>
      <x:c r="H258" s="30" t="str">
        <x:v>deepseek-v4-flash</x:v>
      </x:c>
      <x:c r="I258" s="30" t="str">
        <x:v>deepseek-v4-flash</x:v>
      </x:c>
      <x:c r="J258" s="30" t="str">
        <x:v>3185ee30db98469941cc802565c43368ceed2f5c4521935188512dfd8a645abb</x:v>
      </x:c>
      <x:c r="K258" s="30" t="str">
        <x:v>9f3138ab24616cd8644fb68e5dc111968ac2c0b2c4a68b76b1088d78dd4b5a61</x:v>
      </x:c>
      <x:c r="L258" s="30" t="n">
        <x:v>804.31</x:v>
      </x:c>
      <x:c r="M258" s="30" t="str">
        <x:v>{"completion_tokens": 3, "prompt_tokens": 601, "total_tokens": 604, "completion_tokens_details": null, "prompt_tokens_details": {"audio_tokens": null, "cached_tokens": 512}, "prompt_cache_hit_tokens": 512, "prompt_cache_miss_tokens": 89}</x:v>
      </x:c>
      <x:c r="N258" s="30" t="str">
        <x:v>correct</x:v>
      </x:c>
      <x:c r="O258" s="30" t="str">
        <x:v>The model answer 'Ambient music' is a semantically complete match to the gold answer 'Ambient music for concentration.' The omission of the purpose phrase 'for concentration' does not introduce a false claim or contradict the gold answer; it simply provides a shorter but equivalent response.</x:v>
      </x:c>
      <x:c r="P258" s="30" t="str">
        <x:v>LongCat-2.0</x:v>
      </x:c>
      <x:c r="Q258" s="30" t="str">
        <x:v>LongCat-2.0</x:v>
      </x:c>
      <x:c r="R258" s="30" t="n">
        <x:v>2544.96</x:v>
      </x:c>
      <x:c r="S258" s="30" t="str">
        <x:v>{"completion_tokens": 65, "prompt_tokens": 144,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59">
      <x:c r="A259" s="30" t="str">
        <x:v>memos_long:2452</x:v>
      </x:c>
      <x:c r="B259" s="30" t="str">
        <x:v>long</x:v>
      </x:c>
      <x:c r="C259" s="30" t="str">
        <x:v>Generalization &amp; Application</x:v>
      </x:c>
      <x:c r="D259" s="30" t="n">
        <x:v>3</x:v>
      </x:c>
      <x:c r="E259" s="30" t="str">
        <x:v>What type of music might Steven prefer during a busy workday in 2027?</x:v>
      </x:c>
      <x:c r="F259" s="30" t="str">
        <x:v>Ambient music for concentration.</x:v>
      </x:c>
      <x:c r="G259" s="30" t="str">
        <x:v>Ambient music</x:v>
      </x:c>
      <x:c r="H259" s="30" t="str">
        <x:v>deepseek-v4-flash</x:v>
      </x:c>
      <x:c r="I259" s="30" t="str">
        <x:v>deepseek-v4-flash</x:v>
      </x:c>
      <x:c r="J259" s="30" t="str">
        <x:v>3185ee30db98469941cc802565c43368ceed2f5c4521935188512dfd8a645abb</x:v>
      </x:c>
      <x:c r="K259" s="30" t="str">
        <x:v>9f3138ab24616cd8644fb68e5dc111968ac2c0b2c4a68b76b1088d78dd4b5a61</x:v>
      </x:c>
      <x:c r="L259" s="30" t="n">
        <x:v>851.24</x:v>
      </x:c>
      <x:c r="M259" s="30" t="str">
        <x:v>{"completion_tokens": 3, "prompt_tokens": 601, "total_tokens": 604, "completion_tokens_details": null, "prompt_tokens_details": {"audio_tokens": null, "cached_tokens": 512}, "prompt_cache_hit_tokens": 512, "prompt_cache_miss_tokens": 89}</x:v>
      </x:c>
      <x:c r="N259" s="30" t="str">
        <x:v>correct</x:v>
      </x:c>
      <x:c r="O259" s="30" t="str">
        <x:v>The model answer 'Ambient music' is a semantically complete match to the gold answer 'Ambient music for concentration,' as it captures the core answer without adding any false or unsupported information.</x:v>
      </x:c>
      <x:c r="P259" s="30" t="str">
        <x:v>LongCat-2.0</x:v>
      </x:c>
      <x:c r="Q259" s="30" t="str">
        <x:v>LongCat-2.0</x:v>
      </x:c>
      <x:c r="R259" s="30" t="n">
        <x:v>2545.95</x:v>
      </x:c>
      <x:c r="S259" s="30" t="str">
        <x:v>{"completion_tokens": 48, "prompt_tokens": 144,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0">
      <x:c r="A260" s="30" t="str">
        <x:v>memos_long:2459</x:v>
      </x:c>
      <x:c r="B260" s="30" t="str">
        <x:v>long</x:v>
      </x:c>
      <x:c r="C260" s="30" t="str">
        <x:v>Generalization &amp; Application</x:v>
      </x:c>
      <x:c r="D260" s="30" t="n">
        <x:v>1</x:v>
      </x:c>
      <x:c r="E260" s="30" t="str">
        <x:v>What new leisure activity might Steven explore after August 22, 2027, based on his evolving movie preferences?</x:v>
      </x:c>
      <x:c r="F260" s="30" t="str">
        <x:v>Steven might explore watching more romantic comedies.</x:v>
      </x:c>
      <x:c r="G260" s="30" t="str">
        <x:v>Exploring romantic comedies further.</x:v>
      </x:c>
      <x:c r="H260" s="30" t="str">
        <x:v>deepseek-v4-flash</x:v>
      </x:c>
      <x:c r="I260" s="30" t="str">
        <x:v>deepseek-v4-flash</x:v>
      </x:c>
      <x:c r="J260" s="30" t="str">
        <x:v>c81a451ff95ba1bbb802d97db45bb2617225ede76f52aca9b291f630811334ba</x:v>
      </x:c>
      <x:c r="K260" s="30" t="str">
        <x:v>5609ec04335a7dd28363bf9c52648ddeec49db7bfa9218d4903eb964f1ee5b8b</x:v>
      </x:c>
      <x:c r="L260" s="30" t="n">
        <x:v>769.48</x:v>
      </x:c>
      <x:c r="M260" s="30" t="str">
        <x:v>{"completion_tokens": 6, "prompt_tokens": 614, "total_tokens": 620, "completion_tokens_details": null, "prompt_tokens_details": {"audio_tokens": null, "cached_tokens": 512}, "prompt_cache_hit_tokens": 512, "prompt_cache_miss_tokens": 102}</x:v>
      </x:c>
      <x:c r="N260" s="30" t="str">
        <x:v>correct</x:v>
      </x:c>
      <x:c r="O260" s="30" t="str">
        <x:v>The model answer 'Exploring romantic comedies further' semantically conveys the same complete meaning as the gold answer 'Steven might explore watching more romantic comedies,' with only minor wording differences.</x:v>
      </x:c>
      <x:c r="P260" s="30" t="str">
        <x:v>LongCat-2.0</x:v>
      </x:c>
      <x:c r="Q260" s="30" t="str">
        <x:v>LongCat-2.0</x:v>
      </x:c>
      <x:c r="R260" s="30" t="n">
        <x:v>2202.91</x:v>
      </x:c>
      <x:c r="S260" s="30" t="str">
        <x:v>{"completion_tokens": 49, "prompt_tokens": 159,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1">
      <x:c r="A261" s="30" t="str">
        <x:v>memos_long:2459</x:v>
      </x:c>
      <x:c r="B261" s="30" t="str">
        <x:v>long</x:v>
      </x:c>
      <x:c r="C261" s="30" t="str">
        <x:v>Generalization &amp; Application</x:v>
      </x:c>
      <x:c r="D261" s="30" t="n">
        <x:v>2</x:v>
      </x:c>
      <x:c r="E261" s="30" t="str">
        <x:v>What new leisure activity might Steven explore after August 22, 2027, based on his evolving movie preferences?</x:v>
      </x:c>
      <x:c r="F261" s="30" t="str">
        <x:v>Steven might explore watching more romantic comedies.</x:v>
      </x:c>
      <x:c r="G261" s="30" t="str">
        <x:v>Exploring romantic comedies further.</x:v>
      </x:c>
      <x:c r="H261" s="30" t="str">
        <x:v>deepseek-v4-flash</x:v>
      </x:c>
      <x:c r="I261" s="30" t="str">
        <x:v>deepseek-v4-flash</x:v>
      </x:c>
      <x:c r="J261" s="30" t="str">
        <x:v>c81a451ff95ba1bbb802d97db45bb2617225ede76f52aca9b291f630811334ba</x:v>
      </x:c>
      <x:c r="K261" s="30" t="str">
        <x:v>5609ec04335a7dd28363bf9c52648ddeec49db7bfa9218d4903eb964f1ee5b8b</x:v>
      </x:c>
      <x:c r="L261" s="30" t="n">
        <x:v>645.17</x:v>
      </x:c>
      <x:c r="M261" s="30" t="str">
        <x:v>{"completion_tokens": 6, "prompt_tokens": 614, "total_tokens": 620, "completion_tokens_details": null, "prompt_tokens_details": {"audio_tokens": null, "cached_tokens": 512}, "prompt_cache_hit_tokens": 512, "prompt_cache_miss_tokens": 102}</x:v>
      </x:c>
      <x:c r="N261" s="30" t="str">
        <x:v>correct</x:v>
      </x:c>
      <x:c r="O261" s="30" t="str">
        <x:v>The model answer 'Exploring romantic comedies further' semantically conveys the same complete meaning as the gold answer 'Steven might explore watching more romantic comedies.' Both indicate that Steven may pursue romantic comedies as a new leisure activity, with only minor wording differences.</x:v>
      </x:c>
      <x:c r="P261" s="30" t="str">
        <x:v>LongCat-2.0</x:v>
      </x:c>
      <x:c r="Q261" s="30" t="str">
        <x:v>LongCat-2.0</x:v>
      </x:c>
      <x:c r="R261" s="30" t="n">
        <x:v>2524.47</x:v>
      </x:c>
      <x:c r="S261" s="30" t="str">
        <x:v>{"completion_tokens": 64, "prompt_tokens": 159,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62">
      <x:c r="A262" s="30" t="str">
        <x:v>memos_long:2459</x:v>
      </x:c>
      <x:c r="B262" s="30" t="str">
        <x:v>long</x:v>
      </x:c>
      <x:c r="C262" s="30" t="str">
        <x:v>Generalization &amp; Application</x:v>
      </x:c>
      <x:c r="D262" s="30" t="n">
        <x:v>3</x:v>
      </x:c>
      <x:c r="E262" s="30" t="str">
        <x:v>What new leisure activity might Steven explore after August 22, 2027, based on his evolving movie preferences?</x:v>
      </x:c>
      <x:c r="F262" s="30" t="str">
        <x:v>Steven might explore watching more romantic comedies.</x:v>
      </x:c>
      <x:c r="G262" s="30" t="str">
        <x:v>Exploring romantic comedies further.</x:v>
      </x:c>
      <x:c r="H262" s="30" t="str">
        <x:v>deepseek-v4-flash</x:v>
      </x:c>
      <x:c r="I262" s="30" t="str">
        <x:v>deepseek-v4-flash</x:v>
      </x:c>
      <x:c r="J262" s="30" t="str">
        <x:v>c81a451ff95ba1bbb802d97db45bb2617225ede76f52aca9b291f630811334ba</x:v>
      </x:c>
      <x:c r="K262" s="30" t="str">
        <x:v>5609ec04335a7dd28363bf9c52648ddeec49db7bfa9218d4903eb964f1ee5b8b</x:v>
      </x:c>
      <x:c r="L262" s="30" t="n">
        <x:v>664.02</x:v>
      </x:c>
      <x:c r="M262" s="30" t="str">
        <x:v>{"completion_tokens": 6, "prompt_tokens": 614, "total_tokens": 620, "completion_tokens_details": null, "prompt_tokens_details": {"audio_tokens": null, "cached_tokens": 512}, "prompt_cache_hit_tokens": 512, "prompt_cache_miss_tokens": 102}</x:v>
      </x:c>
      <x:c r="N262" s="30" t="str">
        <x:v>correct</x:v>
      </x:c>
      <x:c r="O262" s="30" t="str">
        <x:v>The model answer 'Exploring romantic comedies further' semantically conveys the same complete meaning as the gold answer 'Steven might explore watching more romantic comedies,' with only minor wording differences.</x:v>
      </x:c>
      <x:c r="P262" s="30" t="str">
        <x:v>LongCat-2.0</x:v>
      </x:c>
      <x:c r="Q262" s="30" t="str">
        <x:v>LongCat-2.0</x:v>
      </x:c>
      <x:c r="R262" s="30" t="n">
        <x:v>2736.73</x:v>
      </x:c>
      <x:c r="S262" s="30" t="str">
        <x:v>{"completion_tokens": 49, "prompt_tokens": 159,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3">
      <x:c r="A263" s="30" t="str">
        <x:v>memos_long:2479</x:v>
      </x:c>
      <x:c r="B263" s="30" t="str">
        <x:v>long</x:v>
      </x:c>
      <x:c r="C263" s="30" t="str">
        <x:v>Generalization &amp; Application</x:v>
      </x:c>
      <x:c r="D263" s="30" t="n">
        <x:v>1</x:v>
      </x:c>
      <x:c r="E263" s="30" t="str">
        <x:v>How might Steven Miller's shift in music preferences influence his leisure activities after February 22, 2029?</x:v>
      </x:c>
      <x:c r="F263" s="30" t="str">
        <x:v>He may explore more diverse music genres.</x:v>
      </x:c>
      <x:c r="G263" s="30" t="str">
        <x:v>Attend more country events.</x:v>
      </x:c>
      <x:c r="H263" s="30" t="str">
        <x:v>deepseek-v4-flash</x:v>
      </x:c>
      <x:c r="I263" s="30" t="str">
        <x:v>deepseek-v4-flash</x:v>
      </x:c>
      <x:c r="J263" s="30" t="str">
        <x:v>c0c51734c8eb147286fb489c2591bbcdadb19401d24ff42ed601f7653420ccd3</x:v>
      </x:c>
      <x:c r="K263" s="30" t="str">
        <x:v>c720dfb99069311a1cff52041a393a2a81fb4ab521c7a582bb61822590fea2d2</x:v>
      </x:c>
      <x:c r="L263" s="30" t="n">
        <x:v>612.03</x:v>
      </x:c>
      <x:c r="M263" s="30" t="str">
        <x:v>{"completion_tokens": 6, "prompt_tokens": 584, "total_tokens": 590, "completion_tokens_details": null, "prompt_tokens_details": {"audio_tokens": null, "cached_tokens": 512}, "prompt_cache_hit_tokens": 512, "prompt_cache_miss_tokens": 72}</x:v>
      </x:c>
      <x:c r="N263" s="30" t="str">
        <x:v>hallucination</x:v>
      </x:c>
      <x:c r="O263"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P263" s="30" t="str">
        <x:v>LongCat-2.0</x:v>
      </x:c>
      <x:c r="Q263" s="30" t="str">
        <x:v>LongCat-2.0</x:v>
      </x:c>
      <x:c r="R263" s="30" t="n">
        <x:v>4234.07</x:v>
      </x:c>
      <x:c r="S263" s="30" t="str">
        <x:v>{"completion_tokens": 107, "prompt_tokens": 156, "total_tokens": 263,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64">
      <x:c r="A264" s="30" t="str">
        <x:v>memos_long:2479</x:v>
      </x:c>
      <x:c r="B264" s="30" t="str">
        <x:v>long</x:v>
      </x:c>
      <x:c r="C264" s="30" t="str">
        <x:v>Generalization &amp; Application</x:v>
      </x:c>
      <x:c r="D264" s="30" t="n">
        <x:v>2</x:v>
      </x:c>
      <x:c r="E264" s="30" t="str">
        <x:v>How might Steven Miller's shift in music preferences influence his leisure activities after February 22, 2029?</x:v>
      </x:c>
      <x:c r="F264" s="30" t="str">
        <x:v>He may explore more diverse music genres.</x:v>
      </x:c>
      <x:c r="G264" s="30" t="str">
        <x:v>Attend more country events.</x:v>
      </x:c>
      <x:c r="H264" s="30" t="str">
        <x:v>deepseek-v4-flash</x:v>
      </x:c>
      <x:c r="I264" s="30" t="str">
        <x:v>deepseek-v4-flash</x:v>
      </x:c>
      <x:c r="J264" s="30" t="str">
        <x:v>c0c51734c8eb147286fb489c2591bbcdadb19401d24ff42ed601f7653420ccd3</x:v>
      </x:c>
      <x:c r="K264" s="30" t="str">
        <x:v>c720dfb99069311a1cff52041a393a2a81fb4ab521c7a582bb61822590fea2d2</x:v>
      </x:c>
      <x:c r="L264" s="30" t="n">
        <x:v>928.71</x:v>
      </x:c>
      <x:c r="M264" s="30" t="str">
        <x:v>{"completion_tokens": 6, "prompt_tokens": 584, "total_tokens": 590, "completion_tokens_details": null, "prompt_tokens_details": {"audio_tokens": null, "cached_tokens": 512}, "prompt_cache_hit_tokens": 512, "prompt_cache_miss_tokens": 72}</x:v>
      </x:c>
      <x:c r="N264" s="30" t="str">
        <x:v>hallucination</x:v>
      </x:c>
      <x:c r="O264"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P264" s="30" t="str">
        <x:v>LongCat-2.0</x:v>
      </x:c>
      <x:c r="Q264" s="30" t="str">
        <x:v>LongCat-2.0</x:v>
      </x:c>
      <x:c r="R264" s="30" t="n">
        <x:v>3740.31</x:v>
      </x:c>
      <x:c r="S264" s="30" t="str">
        <x:v>{"completion_tokens": 107, "prompt_tokens": 156, "total_tokens": 263,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5">
      <x:c r="A265" s="30" t="str">
        <x:v>memos_long:2479</x:v>
      </x:c>
      <x:c r="B265" s="30" t="str">
        <x:v>long</x:v>
      </x:c>
      <x:c r="C265" s="30" t="str">
        <x:v>Generalization &amp; Application</x:v>
      </x:c>
      <x:c r="D265" s="30" t="n">
        <x:v>3</x:v>
      </x:c>
      <x:c r="E265" s="30" t="str">
        <x:v>How might Steven Miller's shift in music preferences influence his leisure activities after February 22, 2029?</x:v>
      </x:c>
      <x:c r="F265" s="30" t="str">
        <x:v>He may explore more diverse music genres.</x:v>
      </x:c>
      <x:c r="G265" s="30" t="str">
        <x:v>Attend more country events.</x:v>
      </x:c>
      <x:c r="H265" s="30" t="str">
        <x:v>deepseek-v4-flash</x:v>
      </x:c>
      <x:c r="I265" s="30" t="str">
        <x:v>deepseek-v4-flash</x:v>
      </x:c>
      <x:c r="J265" s="30" t="str">
        <x:v>c0c51734c8eb147286fb489c2591bbcdadb19401d24ff42ed601f7653420ccd3</x:v>
      </x:c>
      <x:c r="K265" s="30" t="str">
        <x:v>c720dfb99069311a1cff52041a393a2a81fb4ab521c7a582bb61822590fea2d2</x:v>
      </x:c>
      <x:c r="L265" s="30" t="n">
        <x:v>769.54</x:v>
      </x:c>
      <x:c r="M265" s="30" t="str">
        <x:v>{"completion_tokens": 6, "prompt_tokens": 584, "total_tokens": 590, "completion_tokens_details": null, "prompt_tokens_details": {"audio_tokens": null, "cached_tokens": 512}, "prompt_cache_hit_tokens": 512, "prompt_cache_miss_tokens": 72}</x:v>
      </x:c>
      <x:c r="N265" s="30" t="str">
        <x:v>hallucination</x:v>
      </x:c>
      <x:c r="O265"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in the gold answer. This goes beyond the general statement and adds incorrect, unsupported material, making it a hallucination.</x:v>
      </x:c>
      <x:c r="P265" s="30" t="str">
        <x:v>LongCat-2.0</x:v>
      </x:c>
      <x:c r="Q265" s="30" t="str">
        <x:v>LongCat-2.0</x:v>
      </x:c>
      <x:c r="R265" s="30" t="n">
        <x:v>3597.47</x:v>
      </x:c>
      <x:c r="S265" s="30" t="str">
        <x:v>{"completion_tokens": 107, "prompt_tokens": 156, "total_tokens": 263,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6">
      <x:c r="A266" s="30" t="str">
        <x:v>memos_long:2506</x:v>
      </x:c>
      <x:c r="B266" s="30" t="str">
        <x:v>long</x:v>
      </x:c>
      <x:c r="C266" s="30" t="str">
        <x:v>Generalization &amp; Application</x:v>
      </x:c>
      <x:c r="D266" s="30" t="n">
        <x:v>1</x:v>
      </x:c>
      <x:c r="E266" s="30" t="str">
        <x:v>How might Steven Miller's productivity be affected by changing his beverage preferences on Jan 10, 2031?</x:v>
      </x:c>
      <x:c r="F266" s="30" t="str">
        <x:v>Switching to healthier options might improve his energy levels and productivity.</x:v>
      </x:c>
      <x:c r="G266" s="30" t="str">
        <x:v>Energy levels and productivity.</x:v>
      </x:c>
      <x:c r="H266" s="30" t="str">
        <x:v>deepseek-v4-flash</x:v>
      </x:c>
      <x:c r="I266" s="30" t="str">
        <x:v>deepseek-v4-flash</x:v>
      </x:c>
      <x:c r="J266" s="30" t="str">
        <x:v>5d30a44e3e5d7a7bfb78cc7239e64bac7adfb3721354dad47ec731f9bf0ad71e</x:v>
      </x:c>
      <x:c r="K266" s="30" t="str">
        <x:v>8dd5844f5683a65ac6d4fe472434b0578e947571ef0e8513ea67f90d5b2349b8</x:v>
      </x:c>
      <x:c r="L266" s="30" t="n">
        <x:v>808.04</x:v>
      </x:c>
      <x:c r="M266" s="30" t="str">
        <x:v>{"completion_tokens": 5, "prompt_tokens": 579, "total_tokens": 584, "completion_tokens_details": null, "prompt_tokens_details": {"audio_tokens": null, "cached_tokens": 512}, "prompt_cache_hit_tokens": 512, "prompt_cache_miss_tokens": 67}</x:v>
      </x:c>
      <x:c r="N266" s="30" t="str">
        <x:v>omission</x:v>
      </x:c>
      <x:c r="O266" s="30" t="str">
        <x:v>The model answer 'Energy levels and productivity' is an incomplete subset of the gold answer. It omits the key causal mechanism (switching to healthier options) and the directional effect (improve), providing only the topics without a concrete, complete answer.</x:v>
      </x:c>
      <x:c r="P266" s="30" t="str">
        <x:v>LongCat-2.0</x:v>
      </x:c>
      <x:c r="Q266" s="30" t="str">
        <x:v>LongCat-2.0</x:v>
      </x:c>
      <x:c r="R266" s="30" t="n">
        <x:v>3440.74</x:v>
      </x:c>
      <x:c r="S266" s="30" t="str">
        <x:v>{"completion_tokens": 63, "prompt_tokens": 160,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7">
      <x:c r="A267" s="30" t="str">
        <x:v>memos_long:2506</x:v>
      </x:c>
      <x:c r="B267" s="30" t="str">
        <x:v>long</x:v>
      </x:c>
      <x:c r="C267" s="30" t="str">
        <x:v>Generalization &amp; Application</x:v>
      </x:c>
      <x:c r="D267" s="30" t="n">
        <x:v>2</x:v>
      </x:c>
      <x:c r="E267" s="30" t="str">
        <x:v>How might Steven Miller's productivity be affected by changing his beverage preferences on Jan 10, 2031?</x:v>
      </x:c>
      <x:c r="F267" s="30" t="str">
        <x:v>Switching to healthier options might improve his energy levels and productivity.</x:v>
      </x:c>
      <x:c r="G267" s="30" t="str">
        <x:v>Energy levels and productivity.</x:v>
      </x:c>
      <x:c r="H267" s="30" t="str">
        <x:v>deepseek-v4-flash</x:v>
      </x:c>
      <x:c r="I267" s="30" t="str">
        <x:v>deepseek-v4-flash</x:v>
      </x:c>
      <x:c r="J267" s="30" t="str">
        <x:v>5d30a44e3e5d7a7bfb78cc7239e64bac7adfb3721354dad47ec731f9bf0ad71e</x:v>
      </x:c>
      <x:c r="K267" s="30" t="str">
        <x:v>8dd5844f5683a65ac6d4fe472434b0578e947571ef0e8513ea67f90d5b2349b8</x:v>
      </x:c>
      <x:c r="L267" s="30" t="n">
        <x:v>732.83</x:v>
      </x:c>
      <x:c r="M267" s="30" t="str">
        <x:v>{"completion_tokens": 5, "prompt_tokens": 579, "total_tokens": 584, "completion_tokens_details": null, "prompt_tokens_details": {"audio_tokens": null, "cached_tokens": 512}, "prompt_cache_hit_tokens": 512, "prompt_cache_miss_tokens": 67}</x:v>
      </x:c>
      <x:c r="N267" s="30" t="str">
        <x:v>omission</x:v>
      </x:c>
      <x:c r="O267" s="30" t="str">
        <x:v>The model answer 'Energy levels and productivity' is an incomplete subset of the gold answer. It omits the key causal mechanism (switching to healthier options) and the directional effect (improve), providing only the topics without a concrete claim about how productivity might be affected.</x:v>
      </x:c>
      <x:c r="P267" s="30" t="str">
        <x:v>LongCat-2.0</x:v>
      </x:c>
      <x:c r="Q267" s="30" t="str">
        <x:v>LongCat-2.0</x:v>
      </x:c>
      <x:c r="R267" s="30" t="n">
        <x:v>3751.97</x:v>
      </x:c>
      <x:c r="S267" s="30" t="str">
        <x:v>{"completion_tokens": 67, "prompt_tokens": 160,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68">
      <x:c r="A268" s="30" t="str">
        <x:v>memos_long:2506</x:v>
      </x:c>
      <x:c r="B268" s="30" t="str">
        <x:v>long</x:v>
      </x:c>
      <x:c r="C268" s="30" t="str">
        <x:v>Generalization &amp; Application</x:v>
      </x:c>
      <x:c r="D268" s="30" t="n">
        <x:v>3</x:v>
      </x:c>
      <x:c r="E268" s="30" t="str">
        <x:v>How might Steven Miller's productivity be affected by changing his beverage preferences on Jan 10, 2031?</x:v>
      </x:c>
      <x:c r="F268" s="30" t="str">
        <x:v>Switching to healthier options might improve his energy levels and productivity.</x:v>
      </x:c>
      <x:c r="G268" s="30" t="str">
        <x:v>Energy levels and productivity.</x:v>
      </x:c>
      <x:c r="H268" s="30" t="str">
        <x:v>deepseek-v4-flash</x:v>
      </x:c>
      <x:c r="I268" s="30" t="str">
        <x:v>deepseek-v4-flash</x:v>
      </x:c>
      <x:c r="J268" s="30" t="str">
        <x:v>5d30a44e3e5d7a7bfb78cc7239e64bac7adfb3721354dad47ec731f9bf0ad71e</x:v>
      </x:c>
      <x:c r="K268" s="30" t="str">
        <x:v>8dd5844f5683a65ac6d4fe472434b0578e947571ef0e8513ea67f90d5b2349b8</x:v>
      </x:c>
      <x:c r="L268" s="30" t="n">
        <x:v>715.61</x:v>
      </x:c>
      <x:c r="M268" s="30" t="str">
        <x:v>{"completion_tokens": 5, "prompt_tokens": 579, "total_tokens": 584, "completion_tokens_details": null, "prompt_tokens_details": {"audio_tokens": null, "cached_tokens": 512}, "prompt_cache_hit_tokens": 512, "prompt_cache_miss_tokens": 67}</x:v>
      </x:c>
      <x:c r="N268" s="30" t="str">
        <x:v>omission</x:v>
      </x:c>
      <x:c r="O268" s="30" t="str">
        <x:v>The model answer 'Energy levels and productivity' is an incomplete subset of the gold answer. It mentions the affected aspects but omits the causal mechanism (switching to healthier options might improve them) and the conditional framing, making it too vague to be considered a complete semantic match.</x:v>
      </x:c>
      <x:c r="P268" s="30" t="str">
        <x:v>LongCat-2.0</x:v>
      </x:c>
      <x:c r="Q268" s="30" t="str">
        <x:v>LongCat-2.0</x:v>
      </x:c>
      <x:c r="R268" s="30" t="n">
        <x:v>2819.11</x:v>
      </x:c>
      <x:c r="S268" s="30" t="str">
        <x:v>{"completion_tokens": 68, "prompt_tokens": 160,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69">
      <x:c r="A269" s="30" t="str">
        <x:v>memos_long:2537</x:v>
      </x:c>
      <x:c r="B269" s="30" t="str">
        <x:v>long</x:v>
      </x:c>
      <x:c r="C269" s="30" t="str">
        <x:v>Generalization &amp; Application</x:v>
      </x:c>
      <x:c r="D269" s="30" t="n">
        <x:v>1</x:v>
      </x:c>
      <x:c r="E269" s="30" t="str">
        <x:v>What strategies might Steven use to maintain work-life balance in 2034?</x:v>
      </x:c>
      <x:c r="F269" s="30" t="str">
        <x:v>AI and mindfulness.</x:v>
      </x:c>
      <x:c r="G269" s="30" t="str">
        <x:v>Mindfulness and regular exercise.</x:v>
      </x:c>
      <x:c r="H269" s="30" t="str">
        <x:v>deepseek-v4-flash</x:v>
      </x:c>
      <x:c r="I269" s="30" t="str">
        <x:v>deepseek-v4-flash</x:v>
      </x:c>
      <x:c r="J269" s="30" t="str">
        <x:v>c71371cd317339832b728a490634820d095b41f7a42cdaed84a33a965a94ccb9</x:v>
      </x:c>
      <x:c r="K269" s="30" t="str">
        <x:v>edee061918fa513659196afa358534c9ff8184b143414fd4bc1c84a008f1d099</x:v>
      </x:c>
      <x:c r="L269" s="30" t="n">
        <x:v>512.18</x:v>
      </x:c>
      <x:c r="M269" s="30" t="str">
        <x:v>{"completion_tokens": 6, "prompt_tokens": 597, "total_tokens": 603, "completion_tokens_details": null, "prompt_tokens_details": {"audio_tokens": null, "cached_tokens": 512}, "prompt_cache_hit_tokens": 512, "prompt_cache_miss_tokens": 85}</x:v>
      </x:c>
      <x:c r="N269" s="30" t="str">
        <x:v>omission</x:v>
      </x:c>
      <x:c r="O269" s="30" t="str">
        <x:v>The model answer includes 'mindfulness' which is part of the gold answer, but it omits 'AI' and instead adds 'regular exercise', which is not supported by the gold answer. Since it provides only an incomplete subset of the gold answer, it qualifies as an omission.</x:v>
      </x:c>
      <x:c r="P269" s="30" t="str">
        <x:v>LongCat-2.0</x:v>
      </x:c>
      <x:c r="Q269" s="30" t="str">
        <x:v>LongCat-2.0</x:v>
      </x:c>
      <x:c r="R269" s="30" t="n">
        <x:v>2663.3</x:v>
      </x:c>
      <x:c r="S269" s="30" t="str">
        <x:v>{"completion_tokens": 69, "prompt_tokens": 144,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0">
      <x:c r="A270" s="30" t="str">
        <x:v>memos_long:2537</x:v>
      </x:c>
      <x:c r="B270" s="30" t="str">
        <x:v>long</x:v>
      </x:c>
      <x:c r="C270" s="30" t="str">
        <x:v>Generalization &amp; Application</x:v>
      </x:c>
      <x:c r="D270" s="30" t="n">
        <x:v>2</x:v>
      </x:c>
      <x:c r="E270" s="30" t="str">
        <x:v>What strategies might Steven use to maintain work-life balance in 2034?</x:v>
      </x:c>
      <x:c r="F270" s="30" t="str">
        <x:v>AI and mindfulness.</x:v>
      </x:c>
      <x:c r="G270" s="30" t="str">
        <x:v>Mindfulness and regular exercise.</x:v>
      </x:c>
      <x:c r="H270" s="30" t="str">
        <x:v>deepseek-v4-flash</x:v>
      </x:c>
      <x:c r="I270" s="30" t="str">
        <x:v>deepseek-v4-flash</x:v>
      </x:c>
      <x:c r="J270" s="30" t="str">
        <x:v>c71371cd317339832b728a490634820d095b41f7a42cdaed84a33a965a94ccb9</x:v>
      </x:c>
      <x:c r="K270" s="30" t="str">
        <x:v>edee061918fa513659196afa358534c9ff8184b143414fd4bc1c84a008f1d099</x:v>
      </x:c>
      <x:c r="L270" s="30" t="n">
        <x:v>765.28</x:v>
      </x:c>
      <x:c r="M270" s="30" t="str">
        <x:v>{"completion_tokens": 6, "prompt_tokens": 597, "total_tokens": 603, "completion_tokens_details": null, "prompt_tokens_details": {"audio_tokens": null, "cached_tokens": 512}, "prompt_cache_hit_tokens": 512, "prompt_cache_miss_tokens": 85}</x:v>
      </x:c>
      <x:c r="N270" s="30" t="str">
        <x:v>omission</x:v>
      </x:c>
      <x:c r="O270" s="30" t="str">
        <x:v>The model answer includes 'mindfulness' which is part of the gold answer, but it omits 'AI' and instead adds 'regular exercise', which is not supported by the gold answer. Since it provides only an incomplete subset of the gold answer without fully covering it, it is classified as omission.</x:v>
      </x:c>
      <x:c r="P270" s="30" t="str">
        <x:v>LongCat-2.0</x:v>
      </x:c>
      <x:c r="Q270" s="30" t="str">
        <x:v>LongCat-2.0</x:v>
      </x:c>
      <x:c r="R270" s="30" t="n">
        <x:v>2686.15</x:v>
      </x:c>
      <x:c r="S270" s="30" t="str">
        <x:v>{"completion_tokens": 73, "prompt_tokens": 144,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71">
      <x:c r="A271" s="30" t="str">
        <x:v>memos_long:2537</x:v>
      </x:c>
      <x:c r="B271" s="30" t="str">
        <x:v>long</x:v>
      </x:c>
      <x:c r="C271" s="30" t="str">
        <x:v>Generalization &amp; Application</x:v>
      </x:c>
      <x:c r="D271" s="30" t="n">
        <x:v>3</x:v>
      </x:c>
      <x:c r="E271" s="30" t="str">
        <x:v>What strategies might Steven use to maintain work-life balance in 2034?</x:v>
      </x:c>
      <x:c r="F271" s="30" t="str">
        <x:v>AI and mindfulness.</x:v>
      </x:c>
      <x:c r="G271" s="30" t="str">
        <x:v>Mindfulness and regular exercise.</x:v>
      </x:c>
      <x:c r="H271" s="30" t="str">
        <x:v>deepseek-v4-flash</x:v>
      </x:c>
      <x:c r="I271" s="30" t="str">
        <x:v>deepseek-v4-flash</x:v>
      </x:c>
      <x:c r="J271" s="30" t="str">
        <x:v>c71371cd317339832b728a490634820d095b41f7a42cdaed84a33a965a94ccb9</x:v>
      </x:c>
      <x:c r="K271" s="30" t="str">
        <x:v>edee061918fa513659196afa358534c9ff8184b143414fd4bc1c84a008f1d099</x:v>
      </x:c>
      <x:c r="L271" s="30" t="n">
        <x:v>927.53</x:v>
      </x:c>
      <x:c r="M271" s="30" t="str">
        <x:v>{"completion_tokens": 6, "prompt_tokens": 597, "total_tokens": 603, "completion_tokens_details": null, "prompt_tokens_details": {"audio_tokens": null, "cached_tokens": 512}, "prompt_cache_hit_tokens": 512, "prompt_cache_miss_tokens": 85}</x:v>
      </x:c>
      <x:c r="N271" s="30" t="str">
        <x:v>omission</x:v>
      </x:c>
      <x:c r="O271" s="30" t="str">
        <x:v>The model answer includes 'mindfulness' which is part of the gold answer, but it omits 'AI' and instead adds 'regular exercise', which is not supported by the gold answer. Since it provides only an incomplete subset of the gold answer, it qualifies as an omission.</x:v>
      </x:c>
      <x:c r="P271" s="30" t="str">
        <x:v>LongCat-2.0</x:v>
      </x:c>
      <x:c r="Q271" s="30" t="str">
        <x:v>LongCat-2.0</x:v>
      </x:c>
      <x:c r="R271" s="30" t="n">
        <x:v>3589.23</x:v>
      </x:c>
      <x:c r="S271" s="30" t="str">
        <x:v>{"completion_tokens": 69, "prompt_tokens": 144,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2">
      <x:c r="A272" s="30" t="str">
        <x:v>memos_long:2540</x:v>
      </x:c>
      <x:c r="B272" s="30" t="str">
        <x:v>long</x:v>
      </x:c>
      <x:c r="C272" s="30" t="str">
        <x:v>Generalization &amp; Application</x:v>
      </x:c>
      <x:c r="D272" s="30" t="n">
        <x:v>1</x:v>
      </x:c>
      <x:c r="E272" s="30" t="str">
        <x:v>What might Steven focus on to enhance his social identity in 2034?</x:v>
      </x:c>
      <x:c r="F272" s="30" t="str">
        <x:v>Using AI-generated content.</x:v>
      </x:c>
      <x:c r="G272" s="30" t="str">
        <x:v>AI-generated content expression</x:v>
      </x:c>
      <x:c r="H272" s="30" t="str">
        <x:v>deepseek-v4-flash</x:v>
      </x:c>
      <x:c r="I272" s="30" t="str">
        <x:v>deepseek-v4-flash</x:v>
      </x:c>
      <x:c r="J272" s="30" t="str">
        <x:v>e0ce869ce81df9c019cddcf65d3feecb337517d5d356d078c1078cb5f9cfc7e9</x:v>
      </x:c>
      <x:c r="K272" s="30" t="str">
        <x:v>10be0f7fff9ee70c4c9b788ae05f40ff9d9a40b721484a6c99b2ae9090d7c169</x:v>
      </x:c>
      <x:c r="L272" s="30" t="n">
        <x:v>455.01</x:v>
      </x:c>
      <x:c r="M272" s="30" t="str">
        <x:v>{"completion_tokens": 4, "prompt_tokens": 611, "total_tokens": 615, "completion_tokens_details": null, "prompt_tokens_details": {"audio_tokens": null, "cached_tokens": 512}, "prompt_cache_hit_tokens": 512, "prompt_cache_miss_tokens": 99}</x:v>
      </x:c>
      <x:c r="N272" s="30" t="str">
        <x:v>correct</x:v>
      </x:c>
      <x:c r="O272" s="30" t="str">
        <x:v>The model answer 'AI-generated content expression' semantically captures the gold answer 'Using AI-generated content.' The wording differs slightly, but the core meaning is complete and equivalent.</x:v>
      </x:c>
      <x:c r="P272" s="30" t="str">
        <x:v>LongCat-2.0</x:v>
      </x:c>
      <x:c r="Q272" s="30" t="str">
        <x:v>LongCat-2.0</x:v>
      </x:c>
      <x:c r="R272" s="30" t="n">
        <x:v>3320.57</x:v>
      </x:c>
      <x:c r="S272" s="30" t="str">
        <x:v>{"completion_tokens": 46, "prompt_tokens": 144, "total_tokens": 190,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73">
      <x:c r="A273" s="30" t="str">
        <x:v>memos_long:2540</x:v>
      </x:c>
      <x:c r="B273" s="30" t="str">
        <x:v>long</x:v>
      </x:c>
      <x:c r="C273" s="30" t="str">
        <x:v>Generalization &amp; Application</x:v>
      </x:c>
      <x:c r="D273" s="30" t="n">
        <x:v>2</x:v>
      </x:c>
      <x:c r="E273" s="30" t="str">
        <x:v>What might Steven focus on to enhance his social identity in 2034?</x:v>
      </x:c>
      <x:c r="F273" s="30" t="str">
        <x:v>Using AI-generated content.</x:v>
      </x:c>
      <x:c r="G273" s="30" t="str">
        <x:v>AI-generated content expression</x:v>
      </x:c>
      <x:c r="H273" s="30" t="str">
        <x:v>deepseek-v4-flash</x:v>
      </x:c>
      <x:c r="I273" s="30" t="str">
        <x:v>deepseek-v4-flash</x:v>
      </x:c>
      <x:c r="J273" s="30" t="str">
        <x:v>e0ce869ce81df9c019cddcf65d3feecb337517d5d356d078c1078cb5f9cfc7e9</x:v>
      </x:c>
      <x:c r="K273" s="30" t="str">
        <x:v>10be0f7fff9ee70c4c9b788ae05f40ff9d9a40b721484a6c99b2ae9090d7c169</x:v>
      </x:c>
      <x:c r="L273" s="30" t="n">
        <x:v>685.23</x:v>
      </x:c>
      <x:c r="M273" s="30" t="str">
        <x:v>{"completion_tokens": 4, "prompt_tokens": 611, "total_tokens": 615, "completion_tokens_details": null, "prompt_tokens_details": {"audio_tokens": null, "cached_tokens": 512}, "prompt_cache_hit_tokens": 512, "prompt_cache_miss_tokens": 99}</x:v>
      </x:c>
      <x:c r="N273" s="30" t="str">
        <x:v>correct</x:v>
      </x:c>
      <x:c r="O273" s="30" t="str">
        <x:v>The model answer 'AI-generated content expression' semantically conveys the same meaning as the gold answer 'Using AI-generated content,' with only minor wording differences. It captures the complete intended answer without adding false or unsupported material.</x:v>
      </x:c>
      <x:c r="P273" s="30" t="str">
        <x:v>LongCat-2.0</x:v>
      </x:c>
      <x:c r="Q273" s="30" t="str">
        <x:v>LongCat-2.0</x:v>
      </x:c>
      <x:c r="R273" s="30" t="n">
        <x:v>2183.34</x:v>
      </x:c>
      <x:c r="S273" s="30" t="str">
        <x:v>{"completion_tokens": 55, "prompt_tokens": 144,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4">
      <x:c r="A274" s="30" t="str">
        <x:v>memos_long:2540</x:v>
      </x:c>
      <x:c r="B274" s="30" t="str">
        <x:v>long</x:v>
      </x:c>
      <x:c r="C274" s="30" t="str">
        <x:v>Generalization &amp; Application</x:v>
      </x:c>
      <x:c r="D274" s="30" t="n">
        <x:v>3</x:v>
      </x:c>
      <x:c r="E274" s="30" t="str">
        <x:v>What might Steven focus on to enhance his social identity in 2034?</x:v>
      </x:c>
      <x:c r="F274" s="30" t="str">
        <x:v>Using AI-generated content.</x:v>
      </x:c>
      <x:c r="G274" s="30" t="str">
        <x:v>AI-generated content expression</x:v>
      </x:c>
      <x:c r="H274" s="30" t="str">
        <x:v>deepseek-v4-flash</x:v>
      </x:c>
      <x:c r="I274" s="30" t="str">
        <x:v>deepseek-v4-flash</x:v>
      </x:c>
      <x:c r="J274" s="30" t="str">
        <x:v>e0ce869ce81df9c019cddcf65d3feecb337517d5d356d078c1078cb5f9cfc7e9</x:v>
      </x:c>
      <x:c r="K274" s="30" t="str">
        <x:v>10be0f7fff9ee70c4c9b788ae05f40ff9d9a40b721484a6c99b2ae9090d7c169</x:v>
      </x:c>
      <x:c r="L274" s="30" t="n">
        <x:v>715.22</x:v>
      </x:c>
      <x:c r="M274" s="30" t="str">
        <x:v>{"completion_tokens": 4, "prompt_tokens": 611, "total_tokens": 615, "completion_tokens_details": null, "prompt_tokens_details": {"audio_tokens": null, "cached_tokens": 512}, "prompt_cache_hit_tokens": 512, "prompt_cache_miss_tokens": 99}</x:v>
      </x:c>
      <x:c r="N274" s="30" t="str">
        <x:v>correct</x:v>
      </x:c>
      <x:c r="O274" s="30" t="str">
        <x:v>The model answer 'AI-generated content expression' semantically captures the gold answer 'Using AI-generated content.' The wording differs slightly but conveys the same complete meaning without adding false or unsupported material.</x:v>
      </x:c>
      <x:c r="P274" s="30" t="str">
        <x:v>LongCat-2.0</x:v>
      </x:c>
      <x:c r="Q274" s="30" t="str">
        <x:v>LongCat-2.0</x:v>
      </x:c>
      <x:c r="R274" s="30" t="n">
        <x:v>2294.64</x:v>
      </x:c>
      <x:c r="S274" s="30" t="str">
        <x:v>{"completion_tokens": 49, "prompt_tokens": 144, "total_tokens": 193,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5">
      <x:c r="A275" s="30" t="str">
        <x:v>memos_long:2549</x:v>
      </x:c>
      <x:c r="B275" s="30" t="str">
        <x:v>long</x:v>
      </x:c>
      <x:c r="C275" s="30" t="str">
        <x:v>Basic Fact Recall</x:v>
      </x:c>
      <x:c r="D275" s="30" t="n">
        <x:v>1</x:v>
      </x:c>
      <x:c r="E275" s="30" t="str">
        <x:v>What film club did Steven Miller join on May 31, 2034?</x:v>
      </x:c>
      <x:c r="F275" s="30" t="str">
        <x:v>A film club that screens horror films with psychological depth.</x:v>
      </x:c>
      <x:c r="G275" s="30" t="str">
        <x:v>A film club</x:v>
      </x:c>
      <x:c r="H275" s="30" t="str">
        <x:v>deepseek-v4-flash</x:v>
      </x:c>
      <x:c r="I275" s="30" t="str">
        <x:v>deepseek-v4-flash</x:v>
      </x:c>
      <x:c r="J275" s="30" t="str">
        <x:v>cafafeb8f1e705faeaaf5ec227d4e9dc10702f737e9c8b3b20fea3ced1ee9f03</x:v>
      </x:c>
      <x:c r="K275" s="30" t="str">
        <x:v>2edbac88932a3b9f350721b5ed96cc0f989d6c6aefcfa7c076960e9f31b5b055</x:v>
      </x:c>
      <x:c r="L275" s="30" t="n">
        <x:v>716.79</x:v>
      </x:c>
      <x:c r="M275" s="30" t="str">
        <x:v>{"completion_tokens": 3, "prompt_tokens": 542, "total_tokens": 545, "completion_tokens_details": null, "prompt_tokens_details": {"audio_tokens": null, "cached_tokens": 512}, "prompt_cache_hit_tokens": 512, "prompt_cache_miss_tokens": 30}</x:v>
      </x:c>
      <x:c r="N275" s="30" t="str">
        <x:v>omission</x:v>
      </x:c>
      <x:c r="O275" s="30" t="str">
        <x:v>The model answer 'A film club' is an incomplete subset of the gold answer, which specifies 'A film club that screens horror films with psychological depth.' The model omits the key descriptive detail about the type of film club without adding any false claim.</x:v>
      </x:c>
      <x:c r="P275" s="30" t="str">
        <x:v>LongCat-2.0</x:v>
      </x:c>
      <x:c r="Q275" s="30" t="str">
        <x:v>LongCat-2.0</x:v>
      </x:c>
      <x:c r="R275" s="30" t="n">
        <x:v>3119.91</x:v>
      </x:c>
      <x:c r="S275" s="30" t="str">
        <x:v>{"completion_tokens": 63, "prompt_tokens": 151,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76">
      <x:c r="A276" s="30" t="str">
        <x:v>memos_long:2549</x:v>
      </x:c>
      <x:c r="B276" s="30" t="str">
        <x:v>long</x:v>
      </x:c>
      <x:c r="C276" s="30" t="str">
        <x:v>Basic Fact Recall</x:v>
      </x:c>
      <x:c r="D276" s="30" t="n">
        <x:v>2</x:v>
      </x:c>
      <x:c r="E276" s="30" t="str">
        <x:v>What film club did Steven Miller join on May 31, 2034?</x:v>
      </x:c>
      <x:c r="F276" s="30" t="str">
        <x:v>A film club that screens horror films with psychological depth.</x:v>
      </x:c>
      <x:c r="G276" s="30" t="str">
        <x:v>A film club</x:v>
      </x:c>
      <x:c r="H276" s="30" t="str">
        <x:v>deepseek-v4-flash</x:v>
      </x:c>
      <x:c r="I276" s="30" t="str">
        <x:v>deepseek-v4-flash</x:v>
      </x:c>
      <x:c r="J276" s="30" t="str">
        <x:v>cafafeb8f1e705faeaaf5ec227d4e9dc10702f737e9c8b3b20fea3ced1ee9f03</x:v>
      </x:c>
      <x:c r="K276" s="30" t="str">
        <x:v>2edbac88932a3b9f350721b5ed96cc0f989d6c6aefcfa7c076960e9f31b5b055</x:v>
      </x:c>
      <x:c r="L276" s="30" t="n">
        <x:v>605.99</x:v>
      </x:c>
      <x:c r="M276" s="30" t="str">
        <x:v>{"completion_tokens": 3, "prompt_tokens": 542, "total_tokens": 545, "completion_tokens_details": null, "prompt_tokens_details": {"audio_tokens": null, "cached_tokens": 512}, "prompt_cache_hit_tokens": 512, "prompt_cache_miss_tokens": 30}</x:v>
      </x:c>
      <x:c r="N276" s="30" t="str">
        <x:v>omission</x:v>
      </x:c>
      <x:c r="O276" s="30" t="str">
        <x:v>The model answer 'A film club' is an incomplete subset of the gold answer, which specifies 'A film club that screens horror films with psychological depth.' The model omits the key descriptive detail about the type of film club without adding any false claim.</x:v>
      </x:c>
      <x:c r="P276" s="30" t="str">
        <x:v>LongCat-2.0</x:v>
      </x:c>
      <x:c r="Q276" s="30" t="str">
        <x:v>LongCat-2.0</x:v>
      </x:c>
      <x:c r="R276" s="30" t="n">
        <x:v>2751.52</x:v>
      </x:c>
      <x:c r="S276"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7">
      <x:c r="A277" s="30" t="str">
        <x:v>memos_long:2549</x:v>
      </x:c>
      <x:c r="B277" s="30" t="str">
        <x:v>long</x:v>
      </x:c>
      <x:c r="C277" s="30" t="str">
        <x:v>Basic Fact Recall</x:v>
      </x:c>
      <x:c r="D277" s="30" t="n">
        <x:v>3</x:v>
      </x:c>
      <x:c r="E277" s="30" t="str">
        <x:v>What film club did Steven Miller join on May 31, 2034?</x:v>
      </x:c>
      <x:c r="F277" s="30" t="str">
        <x:v>A film club that screens horror films with psychological depth.</x:v>
      </x:c>
      <x:c r="G277" s="30" t="str">
        <x:v>A film club</x:v>
      </x:c>
      <x:c r="H277" s="30" t="str">
        <x:v>deepseek-v4-flash</x:v>
      </x:c>
      <x:c r="I277" s="30" t="str">
        <x:v>deepseek-v4-flash</x:v>
      </x:c>
      <x:c r="J277" s="30" t="str">
        <x:v>cafafeb8f1e705faeaaf5ec227d4e9dc10702f737e9c8b3b20fea3ced1ee9f03</x:v>
      </x:c>
      <x:c r="K277" s="30" t="str">
        <x:v>2edbac88932a3b9f350721b5ed96cc0f989d6c6aefcfa7c076960e9f31b5b055</x:v>
      </x:c>
      <x:c r="L277" s="30" t="n">
        <x:v>601.62</x:v>
      </x:c>
      <x:c r="M277" s="30" t="str">
        <x:v>{"completion_tokens": 3, "prompt_tokens": 542, "total_tokens": 545, "completion_tokens_details": null, "prompt_tokens_details": {"audio_tokens": null, "cached_tokens": 512}, "prompt_cache_hit_tokens": 512, "prompt_cache_miss_tokens": 30}</x:v>
      </x:c>
      <x:c r="N277" s="30" t="str">
        <x:v>omission</x:v>
      </x:c>
      <x:c r="O277" s="30" t="str">
        <x:v>The model answer 'A film club' is an incomplete subset of the gold answer, which specifies 'A film club that screens horror films with psychological depth.' The model omits the key descriptive details about the type of films screened, without adding any false claims.</x:v>
      </x:c>
      <x:c r="P277" s="30" t="str">
        <x:v>LongCat-2.0</x:v>
      </x:c>
      <x:c r="Q277" s="30" t="str">
        <x:v>LongCat-2.0</x:v>
      </x:c>
      <x:c r="R277" s="30" t="n">
        <x:v>2701.63</x:v>
      </x:c>
      <x:c r="S277" s="30" t="str">
        <x:v>{"completion_tokens": 64, "prompt_tokens": 151,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78">
      <x:c r="A278" s="30" t="str">
        <x:v>memos_long:2560</x:v>
      </x:c>
      <x:c r="B278" s="30" t="str">
        <x:v>long</x:v>
      </x:c>
      <x:c r="C278" s="30" t="str">
        <x:v>Generalization &amp; Application</x:v>
      </x:c>
      <x:c r="D278" s="30" t="n">
        <x:v>1</x:v>
      </x:c>
      <x:c r="E278" s="30" t="str">
        <x:v>What strategic approach might Steven Miller take to maintain industry relationships as of Aug 05, 2035?</x:v>
      </x:c>
      <x:c r="F278" s="30" t="str">
        <x:v>Leverage strategic alliances and maintain strong relationships.</x:v>
      </x:c>
      <x:c r="G278" s="30" t="str">
        <x:v>Maintaining strong relationships.</x:v>
      </x:c>
      <x:c r="H278" s="30" t="str">
        <x:v>deepseek-v4-flash</x:v>
      </x:c>
      <x:c r="I278" s="30" t="str">
        <x:v>deepseek-v4-flash</x:v>
      </x:c>
      <x:c r="J278" s="30" t="str">
        <x:v>731a60f483047c0d8518f71b8066f54467ac13494818ac8bdc01a1574a75049d</x:v>
      </x:c>
      <x:c r="K278" s="30" t="str">
        <x:v>96840a285169f24a4e06eb8876064a64e4c733fd2df5fab54c2661a18a8e88bc</x:v>
      </x:c>
      <x:c r="L278" s="30" t="n">
        <x:v>970.34</x:v>
      </x:c>
      <x:c r="M278" s="30" t="str">
        <x:v>{"completion_tokens": 5, "prompt_tokens": 590, "total_tokens": 595, "completion_tokens_details": null, "prompt_tokens_details": {"audio_tokens": null, "cached_tokens": 512}, "prompt_cache_hit_tokens": 512, "prompt_cache_miss_tokens": 78}</x:v>
      </x:c>
      <x:c r="N278" s="30" t="str">
        <x:v>omission</x:v>
      </x:c>
      <x:c r="O278" s="30" t="str">
        <x:v>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x:v>
      </x:c>
      <x:c r="P278" s="30" t="str">
        <x:v>LongCat-2.0</x:v>
      </x:c>
      <x:c r="Q278" s="30" t="str">
        <x:v>LongCat-2.0</x:v>
      </x:c>
      <x:c r="R278" s="30" t="n">
        <x:v>16433.44</x:v>
      </x:c>
      <x:c r="S278" s="30" t="str">
        <x:v>{"completion_tokens": 74, "prompt_tokens": 156,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79">
      <x:c r="A279" s="30" t="str">
        <x:v>memos_long:2560</x:v>
      </x:c>
      <x:c r="B279" s="30" t="str">
        <x:v>long</x:v>
      </x:c>
      <x:c r="C279" s="30" t="str">
        <x:v>Generalization &amp; Application</x:v>
      </x:c>
      <x:c r="D279" s="30" t="n">
        <x:v>2</x:v>
      </x:c>
      <x:c r="E279" s="30" t="str">
        <x:v>What strategic approach might Steven Miller take to maintain industry relationships as of Aug 05, 2035?</x:v>
      </x:c>
      <x:c r="F279" s="30" t="str">
        <x:v>Leverage strategic alliances and maintain strong relationships.</x:v>
      </x:c>
      <x:c r="G279" s="30" t="str">
        <x:v>Maintaining strong relationships.</x:v>
      </x:c>
      <x:c r="H279" s="30" t="str">
        <x:v>deepseek-v4-flash</x:v>
      </x:c>
      <x:c r="I279" s="30" t="str">
        <x:v>deepseek-v4-flash</x:v>
      </x:c>
      <x:c r="J279" s="30" t="str">
        <x:v>731a60f483047c0d8518f71b8066f54467ac13494818ac8bdc01a1574a75049d</x:v>
      </x:c>
      <x:c r="K279" s="30" t="str">
        <x:v>96840a285169f24a4e06eb8876064a64e4c733fd2df5fab54c2661a18a8e88bc</x:v>
      </x:c>
      <x:c r="L279" s="30" t="n">
        <x:v>853.45</x:v>
      </x:c>
      <x:c r="M279" s="30" t="str">
        <x:v>{"completion_tokens": 5, "prompt_tokens": 590, "total_tokens": 595, "completion_tokens_details": null, "prompt_tokens_details": {"audio_tokens": null, "cached_tokens": 512}, "prompt_cache_hit_tokens": 512, "prompt_cache_miss_tokens": 78}</x:v>
      </x:c>
      <x:c r="N279" s="30" t="str">
        <x:v>omission</x:v>
      </x:c>
      <x:c r="O279" s="30" t="str">
        <x:v>The model answer 'Maintaining strong relationships' captures only part of the gold answer. The gold answer includes two components: 'Leverage strategic alliances' and 'maintain strong relationships.' The model omits the 'strategic alliances' component entirely, making it an incomplete subset of the gold answer.</x:v>
      </x:c>
      <x:c r="P279" s="30" t="str">
        <x:v>LongCat-2.0</x:v>
      </x:c>
      <x:c r="Q279" s="30" t="str">
        <x:v>LongCat-2.0</x:v>
      </x:c>
      <x:c r="R279" s="30" t="n">
        <x:v>16640.58</x:v>
      </x:c>
      <x:c r="S279" s="30" t="str">
        <x:v>{"completion_tokens": 74, "prompt_tokens": 156,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80">
      <x:c r="A280" s="30" t="str">
        <x:v>memos_long:2560</x:v>
      </x:c>
      <x:c r="B280" s="30" t="str">
        <x:v>long</x:v>
      </x:c>
      <x:c r="C280" s="30" t="str">
        <x:v>Generalization &amp; Application</x:v>
      </x:c>
      <x:c r="D280" s="30" t="n">
        <x:v>3</x:v>
      </x:c>
      <x:c r="E280" s="30" t="str">
        <x:v>What strategic approach might Steven Miller take to maintain industry relationships as of Aug 05, 2035?</x:v>
      </x:c>
      <x:c r="F280" s="30" t="str">
        <x:v>Leverage strategic alliances and maintain strong relationships.</x:v>
      </x:c>
      <x:c r="G280" s="30" t="str">
        <x:v>Maintaining strong relationships.</x:v>
      </x:c>
      <x:c r="H280" s="30" t="str">
        <x:v>deepseek-v4-flash</x:v>
      </x:c>
      <x:c r="I280" s="30" t="str">
        <x:v>deepseek-v4-flash</x:v>
      </x:c>
      <x:c r="J280" s="30" t="str">
        <x:v>731a60f483047c0d8518f71b8066f54467ac13494818ac8bdc01a1574a75049d</x:v>
      </x:c>
      <x:c r="K280" s="30" t="str">
        <x:v>96840a285169f24a4e06eb8876064a64e4c733fd2df5fab54c2661a18a8e88bc</x:v>
      </x:c>
      <x:c r="L280" s="30" t="n">
        <x:v>567.54</x:v>
      </x:c>
      <x:c r="M280" s="30" t="str">
        <x:v>{"completion_tokens": 5, "prompt_tokens": 590, "total_tokens": 595, "completion_tokens_details": null, "prompt_tokens_details": {"audio_tokens": null, "cached_tokens": 512}, "prompt_cache_hit_tokens": 512, "prompt_cache_miss_tokens": 78}</x:v>
      </x:c>
      <x:c r="N280" s="30" t="str">
        <x:v>omission</x:v>
      </x:c>
      <x:c r="O280" s="30" t="str">
        <x:v>The model answer only provides an incomplete subset of the gold answer ('maintaining strong relationships') while omitting the key strategic component 'leverage strategic alliances'. It does not add any false claims, but it fails to give the complete semantic content of the gold answer.</x:v>
      </x:c>
      <x:c r="P280" s="30" t="str">
        <x:v>LongCat-2.0</x:v>
      </x:c>
      <x:c r="Q280" s="30" t="str">
        <x:v>LongCat-2.0</x:v>
      </x:c>
      <x:c r="R280" s="30" t="n">
        <x:v>17661.31</x:v>
      </x:c>
      <x:c r="S280" s="30" t="str">
        <x:v>{"completion_tokens": 65, "prompt_tokens": 156, "total_tokens": 221,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81">
      <x:c r="A281" s="30" t="str">
        <x:v>memos_long:2562</x:v>
      </x:c>
      <x:c r="B281" s="30" t="str">
        <x:v>long</x:v>
      </x:c>
      <x:c r="C281" s="30" t="str">
        <x:v>Generalization &amp; Application</x:v>
      </x:c>
      <x:c r="D281" s="30" t="n">
        <x:v>1</x:v>
      </x:c>
      <x:c r="E281" s="30" t="str">
        <x:v>What might be Steven Miller's approach to managing multiple projects simultaneously as of Apr 20, 2035?</x:v>
      </x:c>
      <x:c r="F281" s="30" t="str">
        <x:v>Balance innovation with practicality.</x:v>
      </x:c>
      <x:c r="G281" s="30" t="str">
        <x:v>Balance innovation and practicality.</x:v>
      </x:c>
      <x:c r="H281" s="30" t="str">
        <x:v>deepseek-v4-flash</x:v>
      </x:c>
      <x:c r="I281" s="30" t="str">
        <x:v>deepseek-v4-flash</x:v>
      </x:c>
      <x:c r="J281" s="30" t="str">
        <x:v>45a155c964499b1193859f27ceab139516e54ed4b091cefa1d4f981b0f8133de</x:v>
      </x:c>
      <x:c r="K281" s="30" t="str">
        <x:v>495b048164e968c9ecd2f6114bebc4c93d98920a2a34cf42f76bb706655275d6</x:v>
      </x:c>
      <x:c r="L281" s="30" t="n">
        <x:v>584.63</x:v>
      </x:c>
      <x:c r="M281" s="30" t="str">
        <x:v>{"completion_tokens": 5, "prompt_tokens": 580, "total_tokens": 585, "completion_tokens_details": null, "prompt_tokens_details": {"audio_tokens": null, "cached_tokens": 512}, "prompt_cache_hit_tokens": 512, "prompt_cache_miss_tokens": 68}</x:v>
      </x:c>
      <x:c r="N281" s="30" t="str">
        <x:v>correct</x:v>
      </x:c>
      <x:c r="O281"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P281" s="30" t="str">
        <x:v>LongCat-2.0</x:v>
      </x:c>
      <x:c r="Q281" s="30" t="str">
        <x:v>LongCat-2.0</x:v>
      </x:c>
      <x:c r="R281" s="30" t="n">
        <x:v>5342.47</x:v>
      </x:c>
      <x:c r="S281" s="30" t="str">
        <x:v>{"completion_tokens": 69, "prompt_tokens": 154,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82">
      <x:c r="A282" s="30" t="str">
        <x:v>memos_long:2562</x:v>
      </x:c>
      <x:c r="B282" s="30" t="str">
        <x:v>long</x:v>
      </x:c>
      <x:c r="C282" s="30" t="str">
        <x:v>Generalization &amp; Application</x:v>
      </x:c>
      <x:c r="D282" s="30" t="n">
        <x:v>2</x:v>
      </x:c>
      <x:c r="E282" s="30" t="str">
        <x:v>What might be Steven Miller's approach to managing multiple projects simultaneously as of Apr 20, 2035?</x:v>
      </x:c>
      <x:c r="F282" s="30" t="str">
        <x:v>Balance innovation with practicality.</x:v>
      </x:c>
      <x:c r="G282" s="30" t="str">
        <x:v>Balance innovation and practicality.</x:v>
      </x:c>
      <x:c r="H282" s="30" t="str">
        <x:v>deepseek-v4-flash</x:v>
      </x:c>
      <x:c r="I282" s="30" t="str">
        <x:v>deepseek-v4-flash</x:v>
      </x:c>
      <x:c r="J282" s="30" t="str">
        <x:v>45a155c964499b1193859f27ceab139516e54ed4b091cefa1d4f981b0f8133de</x:v>
      </x:c>
      <x:c r="K282" s="30" t="str">
        <x:v>495b048164e968c9ecd2f6114bebc4c93d98920a2a34cf42f76bb706655275d6</x:v>
      </x:c>
      <x:c r="L282" s="30" t="n">
        <x:v>564.64</x:v>
      </x:c>
      <x:c r="M282" s="30" t="str">
        <x:v>{"completion_tokens": 5, "prompt_tokens": 580, "total_tokens": 585, "completion_tokens_details": null, "prompt_tokens_details": {"audio_tokens": null, "cached_tokens": 512}, "prompt_cache_hit_tokens": 512, "prompt_cache_miss_tokens": 68}</x:v>
      </x:c>
      <x:c r="N282" s="30" t="str">
        <x:v>correct</x:v>
      </x:c>
      <x:c r="O282"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P282" s="30" t="str">
        <x:v>LongCat-2.0</x:v>
      </x:c>
      <x:c r="Q282" s="30" t="str">
        <x:v>LongCat-2.0</x:v>
      </x:c>
      <x:c r="R282" s="30" t="n">
        <x:v>5269.21</x:v>
      </x:c>
      <x:c r="S282" s="30" t="str">
        <x:v>{"completion_tokens": 69, "prompt_tokens": 154,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3">
      <x:c r="A283" s="30" t="str">
        <x:v>memos_long:2562</x:v>
      </x:c>
      <x:c r="B283" s="30" t="str">
        <x:v>long</x:v>
      </x:c>
      <x:c r="C283" s="30" t="str">
        <x:v>Generalization &amp; Application</x:v>
      </x:c>
      <x:c r="D283" s="30" t="n">
        <x:v>3</x:v>
      </x:c>
      <x:c r="E283" s="30" t="str">
        <x:v>What might be Steven Miller's approach to managing multiple projects simultaneously as of Apr 20, 2035?</x:v>
      </x:c>
      <x:c r="F283" s="30" t="str">
        <x:v>Balance innovation with practicality.</x:v>
      </x:c>
      <x:c r="G283" s="30" t="str">
        <x:v>Balance innovation and practicality.</x:v>
      </x:c>
      <x:c r="H283" s="30" t="str">
        <x:v>deepseek-v4-flash</x:v>
      </x:c>
      <x:c r="I283" s="30" t="str">
        <x:v>deepseek-v4-flash</x:v>
      </x:c>
      <x:c r="J283" s="30" t="str">
        <x:v>45a155c964499b1193859f27ceab139516e54ed4b091cefa1d4f981b0f8133de</x:v>
      </x:c>
      <x:c r="K283" s="30" t="str">
        <x:v>495b048164e968c9ecd2f6114bebc4c93d98920a2a34cf42f76bb706655275d6</x:v>
      </x:c>
      <x:c r="L283" s="30" t="n">
        <x:v>665.62</x:v>
      </x:c>
      <x:c r="M283" s="30" t="str">
        <x:v>{"completion_tokens": 5, "prompt_tokens": 580, "total_tokens": 585, "completion_tokens_details": null, "prompt_tokens_details": {"audio_tokens": null, "cached_tokens": 512}, "prompt_cache_hit_tokens": 512, "prompt_cache_miss_tokens": 68}</x:v>
      </x:c>
      <x:c r="N283" s="30" t="str">
        <x:v>correct</x:v>
      </x:c>
      <x:c r="O283"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P283" s="30" t="str">
        <x:v>LongCat-2.0</x:v>
      </x:c>
      <x:c r="Q283" s="30" t="str">
        <x:v>LongCat-2.0</x:v>
      </x:c>
      <x:c r="R283" s="30" t="n">
        <x:v>4122.92</x:v>
      </x:c>
      <x:c r="S283" s="30" t="str">
        <x:v>{"completion_tokens": 69, "prompt_tokens": 154,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4">
      <x:c r="A284" s="30" t="str">
        <x:v>memos_long:2572</x:v>
      </x:c>
      <x:c r="B284" s="30" t="str">
        <x:v>long</x:v>
      </x:c>
      <x:c r="C284" s="30" t="str">
        <x:v>Memory Conflict</x:v>
      </x:c>
      <x:c r="D284" s="30" t="n">
        <x:v>1</x:v>
      </x:c>
      <x:c r="E284" s="30" t="str">
        <x:v>Did Steven Miller express disinterest in innovative aquarium designs on Sep 02, 2036?</x:v>
      </x:c>
      <x:c r="F284" s="30" t="str">
        <x:v>No, Steven expressed appreciation for innovative aquarium designs.</x:v>
      </x:c>
      <x:c r="G284" s="30" t="str">
        <x:v>No</x:v>
      </x:c>
      <x:c r="H284" s="30" t="str">
        <x:v>deepseek-v4-flash</x:v>
      </x:c>
      <x:c r="I284" s="30" t="str">
        <x:v>deepseek-v4-flash</x:v>
      </x:c>
      <x:c r="J284" s="30" t="str">
        <x:v>15c5b5d403d05aaf221d5c0393f4e0e42ae18c94f43ea225e96a8a80a987f02c</x:v>
      </x:c>
      <x:c r="K284" s="30" t="str">
        <x:v>e3c312ab9dc20217c34fbc61240bd457f0b4067679aaa623012c0c4364d8766d</x:v>
      </x:c>
      <x:c r="L284" s="30" t="n">
        <x:v>543.97</x:v>
      </x:c>
      <x:c r="M284" s="30" t="str">
        <x:v>{"completion_tokens": 1, "prompt_tokens": 580, "total_tokens": 581, "completion_tokens_details": null, "prompt_tokens_details": {"audio_tokens": null, "cached_tokens": 512}, "prompt_cache_hit_tokens": 512, "prompt_cache_miss_tokens": 68}</x:v>
      </x:c>
      <x:c r="N284" s="30" t="str">
        <x:v>omission</x:v>
      </x:c>
      <x:c r="O284" s="30" t="str">
        <x:v>The model answer 'No' correctly denies that Steven Miller expressed disinterest, but it omits the key positive information from the gold answer that he expressed appreciation for innovative aquarium designs. While not factually wrong, it provides only an incomplete subset of the gold answer.</x:v>
      </x:c>
      <x:c r="P284" s="30" t="str">
        <x:v>LongCat-2.0</x:v>
      </x:c>
      <x:c r="Q284" s="30" t="str">
        <x:v>LongCat-2.0</x:v>
      </x:c>
      <x:c r="R284" s="30" t="n">
        <x:v>2835.42</x:v>
      </x:c>
      <x:c r="S284" s="30" t="str">
        <x:v>{"completion_tokens": 65, "prompt_tokens": 151,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85">
      <x:c r="A285" s="30" t="str">
        <x:v>memos_long:2572</x:v>
      </x:c>
      <x:c r="B285" s="30" t="str">
        <x:v>long</x:v>
      </x:c>
      <x:c r="C285" s="30" t="str">
        <x:v>Memory Conflict</x:v>
      </x:c>
      <x:c r="D285" s="30" t="n">
        <x:v>2</x:v>
      </x:c>
      <x:c r="E285" s="30" t="str">
        <x:v>Did Steven Miller express disinterest in innovative aquarium designs on Sep 02, 2036?</x:v>
      </x:c>
      <x:c r="F285" s="30" t="str">
        <x:v>No, Steven expressed appreciation for innovative aquarium designs.</x:v>
      </x:c>
      <x:c r="G285" s="30" t="str">
        <x:v>No</x:v>
      </x:c>
      <x:c r="H285" s="30" t="str">
        <x:v>deepseek-v4-flash</x:v>
      </x:c>
      <x:c r="I285" s="30" t="str">
        <x:v>deepseek-v4-flash</x:v>
      </x:c>
      <x:c r="J285" s="30" t="str">
        <x:v>15c5b5d403d05aaf221d5c0393f4e0e42ae18c94f43ea225e96a8a80a987f02c</x:v>
      </x:c>
      <x:c r="K285" s="30" t="str">
        <x:v>e3c312ab9dc20217c34fbc61240bd457f0b4067679aaa623012c0c4364d8766d</x:v>
      </x:c>
      <x:c r="L285" s="30" t="n">
        <x:v>512.66</x:v>
      </x:c>
      <x:c r="M285" s="30" t="str">
        <x:v>{"completion_tokens": 1, "prompt_tokens": 580, "total_tokens": 581, "completion_tokens_details": null, "prompt_tokens_details": {"audio_tokens": null, "cached_tokens": 512}, "prompt_cache_hit_tokens": 512, "prompt_cache_miss_tokens": 68}</x:v>
      </x:c>
      <x:c r="N285" s="30" t="str">
        <x:v>omission</x:v>
      </x:c>
      <x:c r="O285" s="30" t="str">
        <x:v>The model answer 'No' correctly indicates that Steven Miller did not express disinterest, but it omits the key detail from the gold answer that he expressed appreciation for innovative aquarium designs. While not factually wrong, it provides only an incomplete subset of the information.</x:v>
      </x:c>
      <x:c r="P285" s="30" t="str">
        <x:v>LongCat-2.0</x:v>
      </x:c>
      <x:c r="Q285" s="30" t="str">
        <x:v>LongCat-2.0</x:v>
      </x:c>
      <x:c r="R285" s="30" t="n">
        <x:v>2828.86</x:v>
      </x:c>
      <x:c r="S285" s="30" t="str">
        <x:v>{"completion_tokens": 65, "prompt_tokens": 151,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6">
      <x:c r="A286" s="30" t="str">
        <x:v>memos_long:2572</x:v>
      </x:c>
      <x:c r="B286" s="30" t="str">
        <x:v>long</x:v>
      </x:c>
      <x:c r="C286" s="30" t="str">
        <x:v>Memory Conflict</x:v>
      </x:c>
      <x:c r="D286" s="30" t="n">
        <x:v>3</x:v>
      </x:c>
      <x:c r="E286" s="30" t="str">
        <x:v>Did Steven Miller express disinterest in innovative aquarium designs on Sep 02, 2036?</x:v>
      </x:c>
      <x:c r="F286" s="30" t="str">
        <x:v>No, Steven expressed appreciation for innovative aquarium designs.</x:v>
      </x:c>
      <x:c r="G286" s="30" t="str">
        <x:v>No</x:v>
      </x:c>
      <x:c r="H286" s="30" t="str">
        <x:v>deepseek-v4-flash</x:v>
      </x:c>
      <x:c r="I286" s="30" t="str">
        <x:v>deepseek-v4-flash</x:v>
      </x:c>
      <x:c r="J286" s="30" t="str">
        <x:v>15c5b5d403d05aaf221d5c0393f4e0e42ae18c94f43ea225e96a8a80a987f02c</x:v>
      </x:c>
      <x:c r="K286" s="30" t="str">
        <x:v>e3c312ab9dc20217c34fbc61240bd457f0b4067679aaa623012c0c4364d8766d</x:v>
      </x:c>
      <x:c r="L286" s="30" t="n">
        <x:v>561.01</x:v>
      </x:c>
      <x:c r="M286" s="30" t="str">
        <x:v>{"completion_tokens": 1, "prompt_tokens": 580, "total_tokens": 581, "completion_tokens_details": null, "prompt_tokens_details": {"audio_tokens": null, "cached_tokens": 512}, "prompt_cache_hit_tokens": 512, "prompt_cache_miss_tokens": 68}</x:v>
      </x:c>
      <x:c r="N286" s="30" t="str">
        <x:v>omission</x:v>
      </x:c>
      <x:c r="O286" s="30" t="str">
        <x:v>The model answer 'No' correctly denies that Steven Miller expressed disinterest, but it omits the key information from the gold answer that he expressed appreciation for innovative aquarium designs. While not factually wrong, it provides only an incomplete subset of the gold answer.</x:v>
      </x:c>
      <x:c r="P286" s="30" t="str">
        <x:v>LongCat-2.0</x:v>
      </x:c>
      <x:c r="Q286" s="30" t="str">
        <x:v>LongCat-2.0</x:v>
      </x:c>
      <x:c r="R286" s="30" t="n">
        <x:v>3345.7</x:v>
      </x:c>
      <x:c r="S286" s="30" t="str">
        <x:v>{"completion_tokens": 64, "prompt_tokens": 151,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7">
      <x:c r="A287" s="30" t="str">
        <x:v>memos_long:2622</x:v>
      </x:c>
      <x:c r="B287" s="30" t="str">
        <x:v>long</x:v>
      </x:c>
      <x:c r="C287" s="30" t="str">
        <x:v>Generalization &amp; Application</x:v>
      </x:c>
      <x:c r="D287" s="30" t="n">
        <x:v>1</x:v>
      </x:c>
      <x:c r="E287" s="30" t="str">
        <x:v>What new music genre might Oleksandr explore next, considering his commitment to social justice?</x:v>
      </x:c>
      <x:c r="F287" s="30" t="str">
        <x:v>Oleksandr might explore protest folk music.</x:v>
      </x:c>
      <x:c r="G287" s="30" t="str">
        <x:v>Heavy metal with social commentary.</x:v>
      </x:c>
      <x:c r="H287" s="30" t="str">
        <x:v>deepseek-v4-flash</x:v>
      </x:c>
      <x:c r="I287" s="30" t="str">
        <x:v>deepseek-v4-flash</x:v>
      </x:c>
      <x:c r="J287" s="30" t="str">
        <x:v>c622c3afa7f4db6a07d4c2a094b74feb024a6adb1e43aeb430e28258b43f44f4</x:v>
      </x:c>
      <x:c r="K287" s="30" t="str">
        <x:v>c820b9a369e790cd76e2416d442aadc23dd56bed5a00017858376a82cbe08f8f</x:v>
      </x:c>
      <x:c r="L287" s="30" t="n">
        <x:v>627.21</x:v>
      </x:c>
      <x:c r="M287" s="30" t="str">
        <x:v>{"completion_tokens": 7, "prompt_tokens": 619, "total_tokens": 626, "completion_tokens_details": null, "prompt_tokens_details": {"audio_tokens": null, "cached_tokens": 512}, "prompt_cache_hit_tokens": 512, "prompt_cache_miss_tokens": 107}</x:v>
      </x:c>
      <x:c r="N287" s="30" t="str">
        <x:v>hallucination</x:v>
      </x:c>
      <x:c r="O287"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P287" s="30" t="str">
        <x:v>LongCat-2.0</x:v>
      </x:c>
      <x:c r="Q287" s="30" t="str">
        <x:v>LongCat-2.0</x:v>
      </x:c>
      <x:c r="R287" s="30" t="n">
        <x:v>4965.83</x:v>
      </x:c>
      <x:c r="S287" s="30" t="str">
        <x:v>{"completion_tokens": 76, "prompt_tokens": 151,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88">
      <x:c r="A288" s="30" t="str">
        <x:v>memos_long:2622</x:v>
      </x:c>
      <x:c r="B288" s="30" t="str">
        <x:v>long</x:v>
      </x:c>
      <x:c r="C288" s="30" t="str">
        <x:v>Generalization &amp; Application</x:v>
      </x:c>
      <x:c r="D288" s="30" t="n">
        <x:v>2</x:v>
      </x:c>
      <x:c r="E288" s="30" t="str">
        <x:v>What new music genre might Oleksandr explore next, considering his commitment to social justice?</x:v>
      </x:c>
      <x:c r="F288" s="30" t="str">
        <x:v>Oleksandr might explore protest folk music.</x:v>
      </x:c>
      <x:c r="G288" s="30" t="str">
        <x:v>Heavy metal with social commentary.</x:v>
      </x:c>
      <x:c r="H288" s="30" t="str">
        <x:v>deepseek-v4-flash</x:v>
      </x:c>
      <x:c r="I288" s="30" t="str">
        <x:v>deepseek-v4-flash</x:v>
      </x:c>
      <x:c r="J288" s="30" t="str">
        <x:v>c622c3afa7f4db6a07d4c2a094b74feb024a6adb1e43aeb430e28258b43f44f4</x:v>
      </x:c>
      <x:c r="K288" s="30" t="str">
        <x:v>c820b9a369e790cd76e2416d442aadc23dd56bed5a00017858376a82cbe08f8f</x:v>
      </x:c>
      <x:c r="L288" s="30" t="n">
        <x:v>578.63</x:v>
      </x:c>
      <x:c r="M288" s="30" t="str">
        <x:v>{"completion_tokens": 7, "prompt_tokens": 619, "total_tokens": 626, "completion_tokens_details": null, "prompt_tokens_details": {"audio_tokens": null, "cached_tokens": 512}, "prompt_cache_hit_tokens": 512, "prompt_cache_miss_tokens": 107}</x:v>
      </x:c>
      <x:c r="N288" s="30" t="str">
        <x:v>hallucination</x:v>
      </x:c>
      <x:c r="O288" s="30" t="str">
        <x:v>The gold answer specifies 'protest folk music' as the genre Oleksandr might explore. The model answer proposes 'heavy metal with social commentary,' which is a concrete, specific genre suggestion that directly contradicts the gold answer rather than being a semantic rephrasing of it.</x:v>
      </x:c>
      <x:c r="P288" s="30" t="str">
        <x:v>LongCat-2.0</x:v>
      </x:c>
      <x:c r="Q288" s="30" t="str">
        <x:v>LongCat-2.0</x:v>
      </x:c>
      <x:c r="R288" s="30" t="n">
        <x:v>5469.88</x:v>
      </x:c>
      <x:c r="S288" s="30" t="str">
        <x:v>{"completion_tokens": 69, "prompt_tokens": 151,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89">
      <x:c r="A289" s="30" t="str">
        <x:v>memos_long:2622</x:v>
      </x:c>
      <x:c r="B289" s="30" t="str">
        <x:v>long</x:v>
      </x:c>
      <x:c r="C289" s="30" t="str">
        <x:v>Generalization &amp; Application</x:v>
      </x:c>
      <x:c r="D289" s="30" t="n">
        <x:v>3</x:v>
      </x:c>
      <x:c r="E289" s="30" t="str">
        <x:v>What new music genre might Oleksandr explore next, considering his commitment to social justice?</x:v>
      </x:c>
      <x:c r="F289" s="30" t="str">
        <x:v>Oleksandr might explore protest folk music.</x:v>
      </x:c>
      <x:c r="G289" s="30" t="str">
        <x:v>Heavy metal with social commentary.</x:v>
      </x:c>
      <x:c r="H289" s="30" t="str">
        <x:v>deepseek-v4-flash</x:v>
      </x:c>
      <x:c r="I289" s="30" t="str">
        <x:v>deepseek-v4-flash</x:v>
      </x:c>
      <x:c r="J289" s="30" t="str">
        <x:v>c622c3afa7f4db6a07d4c2a094b74feb024a6adb1e43aeb430e28258b43f44f4</x:v>
      </x:c>
      <x:c r="K289" s="30" t="str">
        <x:v>c820b9a369e790cd76e2416d442aadc23dd56bed5a00017858376a82cbe08f8f</x:v>
      </x:c>
      <x:c r="L289" s="30" t="n">
        <x:v>660.46</x:v>
      </x:c>
      <x:c r="M289" s="30" t="str">
        <x:v>{"completion_tokens": 7, "prompt_tokens": 619, "total_tokens": 626, "completion_tokens_details": null, "prompt_tokens_details": {"audio_tokens": null, "cached_tokens": 512}, "prompt_cache_hit_tokens": 512, "prompt_cache_miss_tokens": 107}</x:v>
      </x:c>
      <x:c r="N289" s="30" t="str">
        <x:v>hallucination</x:v>
      </x:c>
      <x:c r="O289" s="30" t="str">
        <x:v>The gold answer specifies 'protest folk music' as the genre Oleksandr might explore. The model answer proposes 'heavy metal with social commentary,' which is a concrete but different genre that contradicts the gold answer and is not supported by it.</x:v>
      </x:c>
      <x:c r="P289" s="30" t="str">
        <x:v>LongCat-2.0</x:v>
      </x:c>
      <x:c r="Q289" s="30" t="str">
        <x:v>LongCat-2.0</x:v>
      </x:c>
      <x:c r="R289" s="30" t="n">
        <x:v>4585.5</x:v>
      </x:c>
      <x:c r="S289" s="30" t="str">
        <x:v>{"completion_tokens": 62, "prompt_tokens": 151,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0">
      <x:c r="A290" s="30" t="str">
        <x:v>memos_long:2632</x:v>
      </x:c>
      <x:c r="B290" s="30" t="str">
        <x:v>long</x:v>
      </x:c>
      <x:c r="C290" s="30" t="str">
        <x:v>Multi-hop Inference</x:v>
      </x:c>
      <x:c r="D290" s="30" t="n">
        <x:v>1</x:v>
      </x:c>
      <x:c r="E290" s="30" t="str">
        <x:v>How did Oleksandr's promotion affect his professional network by Jun 20, 2028?</x:v>
      </x:c>
      <x:c r="F290" s="30" t="str">
        <x:v>Expanded significantly with new contacts.</x:v>
      </x:c>
      <x:c r="G290" s="30" t="str">
        <x:v>Expanded his professional network.</x:v>
      </x:c>
      <x:c r="H290" s="30" t="str">
        <x:v>deepseek-v4-flash</x:v>
      </x:c>
      <x:c r="I290" s="30" t="str">
        <x:v>deepseek-v4-flash</x:v>
      </x:c>
      <x:c r="J290" s="30" t="str">
        <x:v>ef5f9b50618705ee89257a6a32724b16c7ccec114dc5e01d003b59308f2c2d4a</x:v>
      </x:c>
      <x:c r="K290" s="30" t="str">
        <x:v>8ced8c07a1a8005341a3000bc654fca76b0d7afc4c4949edf3b71a3f13d5b7cc</x:v>
      </x:c>
      <x:c r="L290" s="30" t="n">
        <x:v>894.42</x:v>
      </x:c>
      <x:c r="M290" s="30" t="str">
        <x:v>{"completion_tokens": 6, "prompt_tokens": 603, "total_tokens": 609, "completion_tokens_details": null, "prompt_tokens_details": {"audio_tokens": null, "cached_tokens": 512}, "prompt_cache_hit_tokens": 512, "prompt_cache_miss_tokens": 91}</x:v>
      </x:c>
      <x:c r="N290" s="30" t="str">
        <x:v>omission</x:v>
      </x:c>
      <x:c r="O290" s="30" t="str">
        <x:v>The model answer states that Oleksandr expanded his professional network, but omits the key detail 'significantly with new contacts' from the gold answer, making it an incomplete subset.</x:v>
      </x:c>
      <x:c r="P290" s="30" t="str">
        <x:v>LongCat-2.0</x:v>
      </x:c>
      <x:c r="Q290" s="30" t="str">
        <x:v>LongCat-2.0</x:v>
      </x:c>
      <x:c r="R290" s="30" t="n">
        <x:v>4809.99</x:v>
      </x:c>
      <x:c r="S290" s="30" t="str">
        <x:v>{"completion_tokens": 49, "prompt_tokens": 151, "total_tokens": 200,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91">
      <x:c r="A291" s="30" t="str">
        <x:v>memos_long:2632</x:v>
      </x:c>
      <x:c r="B291" s="30" t="str">
        <x:v>long</x:v>
      </x:c>
      <x:c r="C291" s="30" t="str">
        <x:v>Multi-hop Inference</x:v>
      </x:c>
      <x:c r="D291" s="30" t="n">
        <x:v>2</x:v>
      </x:c>
      <x:c r="E291" s="30" t="str">
        <x:v>How did Oleksandr's promotion affect his professional network by Jun 20, 2028?</x:v>
      </x:c>
      <x:c r="F291" s="30" t="str">
        <x:v>Expanded significantly with new contacts.</x:v>
      </x:c>
      <x:c r="G291" s="30" t="str">
        <x:v>Expanded his professional network.</x:v>
      </x:c>
      <x:c r="H291" s="30" t="str">
        <x:v>deepseek-v4-flash</x:v>
      </x:c>
      <x:c r="I291" s="30" t="str">
        <x:v>deepseek-v4-flash</x:v>
      </x:c>
      <x:c r="J291" s="30" t="str">
        <x:v>ef5f9b50618705ee89257a6a32724b16c7ccec114dc5e01d003b59308f2c2d4a</x:v>
      </x:c>
      <x:c r="K291" s="30" t="str">
        <x:v>8ced8c07a1a8005341a3000bc654fca76b0d7afc4c4949edf3b71a3f13d5b7cc</x:v>
      </x:c>
      <x:c r="L291" s="30" t="n">
        <x:v>898.63</x:v>
      </x:c>
      <x:c r="M291" s="30" t="str">
        <x:v>{"completion_tokens": 6, "prompt_tokens": 603, "total_tokens": 609, "completion_tokens_details": null, "prompt_tokens_details": {"audio_tokens": null, "cached_tokens": 512}, "prompt_cache_hit_tokens": 512, "prompt_cache_miss_tokens": 91}</x:v>
      </x:c>
      <x:c r="N291" s="30" t="str">
        <x:v>omission</x:v>
      </x:c>
      <x:c r="O291" s="30" t="str">
        <x:v>The model answer states that Oleksandr expanded his professional network, but omits the key detail 'significantly with new contacts' from the gold answer. While not factually incorrect, it provides only an incomplete subset of the gold answer's information.</x:v>
      </x:c>
      <x:c r="P291" s="30" t="str">
        <x:v>LongCat-2.0</x:v>
      </x:c>
      <x:c r="Q291" s="30" t="str">
        <x:v>LongCat-2.0</x:v>
      </x:c>
      <x:c r="R291" s="30" t="n">
        <x:v>5069.54</x:v>
      </x:c>
      <x:c r="S291" s="30" t="str">
        <x:v>{"completion_tokens": 62, "prompt_tokens": 151,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2">
      <x:c r="A292" s="30" t="str">
        <x:v>memos_long:2632</x:v>
      </x:c>
      <x:c r="B292" s="30" t="str">
        <x:v>long</x:v>
      </x:c>
      <x:c r="C292" s="30" t="str">
        <x:v>Multi-hop Inference</x:v>
      </x:c>
      <x:c r="D292" s="30" t="n">
        <x:v>3</x:v>
      </x:c>
      <x:c r="E292" s="30" t="str">
        <x:v>How did Oleksandr's promotion affect his professional network by Jun 20, 2028?</x:v>
      </x:c>
      <x:c r="F292" s="30" t="str">
        <x:v>Expanded significantly with new contacts.</x:v>
      </x:c>
      <x:c r="G292" s="30" t="str">
        <x:v>Expanded his professional network.</x:v>
      </x:c>
      <x:c r="H292" s="30" t="str">
        <x:v>deepseek-v4-flash</x:v>
      </x:c>
      <x:c r="I292" s="30" t="str">
        <x:v>deepseek-v4-flash</x:v>
      </x:c>
      <x:c r="J292" s="30" t="str">
        <x:v>ef5f9b50618705ee89257a6a32724b16c7ccec114dc5e01d003b59308f2c2d4a</x:v>
      </x:c>
      <x:c r="K292" s="30" t="str">
        <x:v>8ced8c07a1a8005341a3000bc654fca76b0d7afc4c4949edf3b71a3f13d5b7cc</x:v>
      </x:c>
      <x:c r="L292" s="30" t="n">
        <x:v>716.89</x:v>
      </x:c>
      <x:c r="M292" s="30" t="str">
        <x:v>{"completion_tokens": 6, "prompt_tokens": 603, "total_tokens": 609, "completion_tokens_details": null, "prompt_tokens_details": {"audio_tokens": null, "cached_tokens": 512}, "prompt_cache_hit_tokens": 512, "prompt_cache_miss_tokens": 91}</x:v>
      </x:c>
      <x:c r="N292" s="30" t="str">
        <x:v>omission</x:v>
      </x:c>
      <x:c r="O292" s="30" t="str">
        <x:v>The model answer states that Oleksandr expanded his professional network, but omits the key detail 'significantly with new contacts' from the gold answer, making it an incomplete subset.</x:v>
      </x:c>
      <x:c r="P292" s="30" t="str">
        <x:v>LongCat-2.0</x:v>
      </x:c>
      <x:c r="Q292" s="30" t="str">
        <x:v>LongCat-2.0</x:v>
      </x:c>
      <x:c r="R292" s="30" t="n">
        <x:v>4435.18</x:v>
      </x:c>
      <x:c r="S292" s="30" t="str">
        <x:v>{"completion_tokens": 49, "prompt_tokens": 151,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3">
      <x:c r="A293" s="30" t="str">
        <x:v>memos_long:2638</x:v>
      </x:c>
      <x:c r="B293" s="30" t="str">
        <x:v>long</x:v>
      </x:c>
      <x:c r="C293" s="30" t="str">
        <x:v>Memory Conflict</x:v>
      </x:c>
      <x:c r="D293" s="30" t="n">
        <x:v>1</x:v>
      </x:c>
      <x:c r="E293" s="30" t="str">
        <x:v>Did Oleksandr decide to focus on urban trips instead of nature-focused ones on Jan 20, 2029?</x:v>
      </x:c>
      <x:c r="F293" s="30" t="str">
        <x:v>No, Oleksandr plans more nature-focused trips.</x:v>
      </x:c>
      <x:c r="G293" s="30" t="str">
        <x:v>No</x:v>
      </x:c>
      <x:c r="H293" s="30" t="str">
        <x:v>deepseek-v4-flash</x:v>
      </x:c>
      <x:c r="I293" s="30" t="str">
        <x:v>deepseek-v4-flash</x:v>
      </x:c>
      <x:c r="J293" s="30" t="str">
        <x:v>9629edb5ca134d4de6269b25f67571215ae0932e97434725a4998608cefab0b1</x:v>
      </x:c>
      <x:c r="K293" s="30" t="str">
        <x:v>03aaec65ae85cc5b669f41032c915455d1280b56b7b45627f2673c47d029e43c</x:v>
      </x:c>
      <x:c r="L293" s="30" t="n">
        <x:v>618.27</x:v>
      </x:c>
      <x:c r="M293" s="30" t="str">
        <x:v>{"completion_tokens": 1, "prompt_tokens": 539, "total_tokens": 540, "completion_tokens_details": null, "prompt_tokens_details": {"audio_tokens": null, "cached_tokens": 512}, "prompt_cache_hit_tokens": 512, "prompt_cache_miss_tokens": 27}</x:v>
      </x:c>
      <x:c r="N293" s="30" t="str">
        <x:v>omission</x:v>
      </x:c>
      <x:c r="O293" s="30" t="str">
        <x:v>The model answer 'No' correctly indicates that Oleksandr did not decide to focus on urban trips, but it omits the key information from the gold answer that he plans more nature-focused trips. While not factually incorrect, it provides only an incomplete subset of the gold answer.</x:v>
      </x:c>
      <x:c r="P293" s="30" t="str">
        <x:v>LongCat-2.0</x:v>
      </x:c>
      <x:c r="Q293" s="30" t="str">
        <x:v>LongCat-2.0</x:v>
      </x:c>
      <x:c r="R293" s="30" t="n">
        <x:v>2767.81</x:v>
      </x:c>
      <x:c r="S293" s="30" t="str">
        <x:v>{"completion_tokens": 69, "prompt_tokens": 157,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4">
      <x:c r="A294" s="30" t="str">
        <x:v>memos_long:2638</x:v>
      </x:c>
      <x:c r="B294" s="30" t="str">
        <x:v>long</x:v>
      </x:c>
      <x:c r="C294" s="30" t="str">
        <x:v>Memory Conflict</x:v>
      </x:c>
      <x:c r="D294" s="30" t="n">
        <x:v>2</x:v>
      </x:c>
      <x:c r="E294" s="30" t="str">
        <x:v>Did Oleksandr decide to focus on urban trips instead of nature-focused ones on Jan 20, 2029?</x:v>
      </x:c>
      <x:c r="F294" s="30" t="str">
        <x:v>No, Oleksandr plans more nature-focused trips.</x:v>
      </x:c>
      <x:c r="G294" s="30" t="str">
        <x:v>No</x:v>
      </x:c>
      <x:c r="H294" s="30" t="str">
        <x:v>deepseek-v4-flash</x:v>
      </x:c>
      <x:c r="I294" s="30" t="str">
        <x:v>deepseek-v4-flash</x:v>
      </x:c>
      <x:c r="J294" s="30" t="str">
        <x:v>9629edb5ca134d4de6269b25f67571215ae0932e97434725a4998608cefab0b1</x:v>
      </x:c>
      <x:c r="K294" s="30" t="str">
        <x:v>03aaec65ae85cc5b669f41032c915455d1280b56b7b45627f2673c47d029e43c</x:v>
      </x:c>
      <x:c r="L294" s="30" t="n">
        <x:v>625.74</x:v>
      </x:c>
      <x:c r="M294" s="30" t="str">
        <x:v>{"completion_tokens": 1, "prompt_tokens": 539, "total_tokens": 540, "completion_tokens_details": null, "prompt_tokens_details": {"audio_tokens": null, "cached_tokens": 512}, "prompt_cache_hit_tokens": 512, "prompt_cache_miss_tokens": 27}</x:v>
      </x:c>
      <x:c r="N294" s="30" t="str">
        <x:v>omission</x:v>
      </x:c>
      <x:c r="O294" s="30" t="str">
        <x:v>The model answer 'No' correctly indicates that Oleksandr did not decide to focus on urban trips, but it omits the key supporting detail from the gold answer that he plans more nature-focused trips. This makes it an incomplete subset of the gold answer.</x:v>
      </x:c>
      <x:c r="P294" s="30" t="str">
        <x:v>LongCat-2.0</x:v>
      </x:c>
      <x:c r="Q294" s="30" t="str">
        <x:v>LongCat-2.0</x:v>
      </x:c>
      <x:c r="R294" s="30" t="n">
        <x:v>4453.92</x:v>
      </x:c>
      <x:c r="S294" s="30" t="str">
        <x:v>{"completion_tokens": 64, "prompt_tokens": 157,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5">
      <x:c r="A295" s="30" t="str">
        <x:v>memos_long:2638</x:v>
      </x:c>
      <x:c r="B295" s="30" t="str">
        <x:v>long</x:v>
      </x:c>
      <x:c r="C295" s="30" t="str">
        <x:v>Memory Conflict</x:v>
      </x:c>
      <x:c r="D295" s="30" t="n">
        <x:v>3</x:v>
      </x:c>
      <x:c r="E295" s="30" t="str">
        <x:v>Did Oleksandr decide to focus on urban trips instead of nature-focused ones on Jan 20, 2029?</x:v>
      </x:c>
      <x:c r="F295" s="30" t="str">
        <x:v>No, Oleksandr plans more nature-focused trips.</x:v>
      </x:c>
      <x:c r="G295" s="30" t="str">
        <x:v>No</x:v>
      </x:c>
      <x:c r="H295" s="30" t="str">
        <x:v>deepseek-v4-flash</x:v>
      </x:c>
      <x:c r="I295" s="30" t="str">
        <x:v>deepseek-v4-flash</x:v>
      </x:c>
      <x:c r="J295" s="30" t="str">
        <x:v>9629edb5ca134d4de6269b25f67571215ae0932e97434725a4998608cefab0b1</x:v>
      </x:c>
      <x:c r="K295" s="30" t="str">
        <x:v>03aaec65ae85cc5b669f41032c915455d1280b56b7b45627f2673c47d029e43c</x:v>
      </x:c>
      <x:c r="L295" s="30" t="n">
        <x:v>565.81</x:v>
      </x:c>
      <x:c r="M295" s="30" t="str">
        <x:v>{"completion_tokens": 1, "prompt_tokens": 539, "total_tokens": 540, "completion_tokens_details": null, "prompt_tokens_details": {"audio_tokens": null, "cached_tokens": 512}, "prompt_cache_hit_tokens": 512, "prompt_cache_miss_tokens": 27}</x:v>
      </x:c>
      <x:c r="N295" s="30" t="str">
        <x:v>omission</x:v>
      </x:c>
      <x:c r="O295" s="30" t="str">
        <x:v>The model answer 'No' correctly indicates that Oleksandr did not decide to focus on urban trips, but it omits the key information from the gold answer that he plans more nature-focused trips. This makes it an incomplete subset of the gold answer.</x:v>
      </x:c>
      <x:c r="P295" s="30" t="str">
        <x:v>LongCat-2.0</x:v>
      </x:c>
      <x:c r="Q295" s="30" t="str">
        <x:v>LongCat-2.0</x:v>
      </x:c>
      <x:c r="R295" s="30" t="n">
        <x:v>2796.38</x:v>
      </x:c>
      <x:c r="S295" s="30" t="str">
        <x:v>{"completion_tokens": 63, "prompt_tokens": 157,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96">
      <x:c r="A296" s="30" t="str">
        <x:v>memos_long:2655</x:v>
      </x:c>
      <x:c r="B296" s="30" t="str">
        <x:v>long</x:v>
      </x:c>
      <x:c r="C296" s="30" t="str">
        <x:v>Generalization &amp; Application</x:v>
      </x:c>
      <x:c r="D296" s="30" t="n">
        <x:v>1</x:v>
      </x:c>
      <x:c r="E296" s="30" t="str">
        <x:v>Given Oleksandr's appreciation for techno music, what new genre might he explore next for creative inspiration after July 10, 2030?</x:v>
      </x:c>
      <x:c r="F296" s="30" t="str">
        <x:v>Ambient music for its emotional depth and complexity.</x:v>
      </x:c>
      <x:c r="G296" s="30" t="str">
        <x:v>Ambient or experimental music.</x:v>
      </x:c>
      <x:c r="H296" s="30" t="str">
        <x:v>deepseek-v4-flash</x:v>
      </x:c>
      <x:c r="I296" s="30" t="str">
        <x:v>deepseek-v4-flash</x:v>
      </x:c>
      <x:c r="J296" s="30" t="str">
        <x:v>4e750a451560ea8cc768ceef5446717cb2cc6aca413008a08032b7911013d0ca</x:v>
      </x:c>
      <x:c r="K296" s="30" t="str">
        <x:v>84260a009ed5f608410c9184f38699984993cc2d66370d208afcfa26dc63c086</x:v>
      </x:c>
      <x:c r="L296" s="30" t="n">
        <x:v>612.89</x:v>
      </x:c>
      <x:c r="M296" s="30" t="str">
        <x:v>{"completion_tokens": 6, "prompt_tokens": 615, "total_tokens": 621, "completion_tokens_details": null, "prompt_tokens_details": {"audio_tokens": null, "cached_tokens": 512}, "prompt_cache_hit_tokens": 512, "prompt_cache_miss_tokens": 103}</x:v>
      </x:c>
      <x:c r="N296" s="30" t="str">
        <x:v>omission</x:v>
      </x:c>
      <x:c r="O296" s="30" t="str">
        <x:v>The model answer includes 'ambient music' which matches the gold answer, but it adds 'experimental music' as an additional genre not mentioned in the gold answer. However, since the gold answer specifies 'ambient music for its emotional depth and complexity' and the model only provides genre names without the reasoning, it partially matches but introduces an extra unsupported genre. This makes it an incomplete subset with additional unsupported material, falling under omission rather than a complete match.</x:v>
      </x:c>
      <x:c r="P296" s="30" t="str">
        <x:v>LongCat-2.0</x:v>
      </x:c>
      <x:c r="Q296" s="30" t="str">
        <x:v>LongCat-2.0</x:v>
      </x:c>
      <x:c r="R296" s="30" t="n">
        <x:v>7028.3</x:v>
      </x:c>
      <x:c r="S296" s="30" t="str">
        <x:v>{"completion_tokens": 102, "prompt_tokens": 164, "total_tokens": 266,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297">
      <x:c r="A297" s="30" t="str">
        <x:v>memos_long:2655</x:v>
      </x:c>
      <x:c r="B297" s="30" t="str">
        <x:v>long</x:v>
      </x:c>
      <x:c r="C297" s="30" t="str">
        <x:v>Generalization &amp; Application</x:v>
      </x:c>
      <x:c r="D297" s="30" t="n">
        <x:v>2</x:v>
      </x:c>
      <x:c r="E297" s="30" t="str">
        <x:v>Given Oleksandr's appreciation for techno music, what new genre might he explore next for creative inspiration after July 10, 2030?</x:v>
      </x:c>
      <x:c r="F297" s="30" t="str">
        <x:v>Ambient music for its emotional depth and complexity.</x:v>
      </x:c>
      <x:c r="G297" s="30" t="str">
        <x:v>Ambient or experimental music.</x:v>
      </x:c>
      <x:c r="H297" s="30" t="str">
        <x:v>deepseek-v4-flash</x:v>
      </x:c>
      <x:c r="I297" s="30" t="str">
        <x:v>deepseek-v4-flash</x:v>
      </x:c>
      <x:c r="J297" s="30" t="str">
        <x:v>4e750a451560ea8cc768ceef5446717cb2cc6aca413008a08032b7911013d0ca</x:v>
      </x:c>
      <x:c r="K297" s="30" t="str">
        <x:v>84260a009ed5f608410c9184f38699984993cc2d66370d208afcfa26dc63c086</x:v>
      </x:c>
      <x:c r="L297" s="30" t="n">
        <x:v>777.85</x:v>
      </x:c>
      <x:c r="M297" s="30" t="str">
        <x:v>{"completion_tokens": 6, "prompt_tokens": 615, "total_tokens": 621, "completion_tokens_details": null, "prompt_tokens_details": {"audio_tokens": null, "cached_tokens": 512}, "prompt_cache_hit_tokens": 512, "prompt_cache_miss_tokens": 103}</x:v>
      </x:c>
      <x:c r="N297" s="30" t="str">
        <x:v>correct</x:v>
      </x:c>
      <x:c r="O297" s="30" t="str">
        <x:v>The model answer includes 'Ambient music' which matches the gold answer's core recommendation, and adds 'experimental music' as an additional suggestion without contradicting the gold answer. Since the model provides the complete gold answer (ambient music) along with an extra valid suggestion, it semantically gives the complete gold answer.</x:v>
      </x:c>
      <x:c r="P297" s="30" t="str">
        <x:v>LongCat-2.0</x:v>
      </x:c>
      <x:c r="Q297" s="30" t="str">
        <x:v>LongCat-2.0</x:v>
      </x:c>
      <x:c r="R297" s="30" t="n">
        <x:v>24525.96</x:v>
      </x:c>
      <x:c r="S297" s="30" t="str">
        <x:v>{"completion_tokens": 73, "prompt_tokens": 164,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8">
      <x:c r="A298" s="30" t="str">
        <x:v>memos_long:2655</x:v>
      </x:c>
      <x:c r="B298" s="30" t="str">
        <x:v>long</x:v>
      </x:c>
      <x:c r="C298" s="30" t="str">
        <x:v>Generalization &amp; Application</x:v>
      </x:c>
      <x:c r="D298" s="30" t="n">
        <x:v>3</x:v>
      </x:c>
      <x:c r="E298" s="30" t="str">
        <x:v>Given Oleksandr's appreciation for techno music, what new genre might he explore next for creative inspiration after July 10, 2030?</x:v>
      </x:c>
      <x:c r="F298" s="30" t="str">
        <x:v>Ambient music for its emotional depth and complexity.</x:v>
      </x:c>
      <x:c r="G298" s="30" t="str">
        <x:v>Ambient or experimental music.</x:v>
      </x:c>
      <x:c r="H298" s="30" t="str">
        <x:v>deepseek-v4-flash</x:v>
      </x:c>
      <x:c r="I298" s="30" t="str">
        <x:v>deepseek-v4-flash</x:v>
      </x:c>
      <x:c r="J298" s="30" t="str">
        <x:v>4e750a451560ea8cc768ceef5446717cb2cc6aca413008a08032b7911013d0ca</x:v>
      </x:c>
      <x:c r="K298" s="30" t="str">
        <x:v>84260a009ed5f608410c9184f38699984993cc2d66370d208afcfa26dc63c086</x:v>
      </x:c>
      <x:c r="L298" s="30" t="n">
        <x:v>815.56</x:v>
      </x:c>
      <x:c r="M298" s="30" t="str">
        <x:v>{"completion_tokens": 6, "prompt_tokens": 615, "total_tokens": 621, "completion_tokens_details": null, "prompt_tokens_details": {"audio_tokens": null, "cached_tokens": 512}, "prompt_cache_hit_tokens": 512, "prompt_cache_miss_tokens": 103}</x:v>
      </x:c>
      <x:c r="N298" s="30" t="str">
        <x:v>omission</x:v>
      </x:c>
      <x:c r="O298" s="30" t="str">
        <x:v>The model answer includes 'Ambient' which matches the gold answer, but it adds 'experimental music' which is not supported by the gold answer. However, since it does provide a correct subset ('Ambient') without making a concrete false claim that contradicts the gold answer, it is best classified as an omission of the full gold answer rather than a hallucination.</x:v>
      </x:c>
      <x:c r="P298" s="30" t="str">
        <x:v>LongCat-2.0</x:v>
      </x:c>
      <x:c r="Q298" s="30" t="str">
        <x:v>LongCat-2.0</x:v>
      </x:c>
      <x:c r="R298" s="30" t="n">
        <x:v>24730.34</x:v>
      </x:c>
      <x:c r="S298" s="30" t="str">
        <x:v>{"completion_tokens": 83, "prompt_tokens": 164, "total_tokens": 247,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299">
      <x:c r="A299" s="30" t="str">
        <x:v>memos_long:268</x:v>
      </x:c>
      <x:c r="B299" s="30" t="str">
        <x:v>long</x:v>
      </x:c>
      <x:c r="C299" s="30" t="str">
        <x:v>Basic Fact Recall</x:v>
      </x:c>
      <x:c r="D299" s="30" t="n">
        <x:v>1</x:v>
      </x:c>
      <x:c r="E299" s="30" t="str">
        <x:v>What is Johnson Joseph's emotional state towards printed travel guides as of Jul 06, 2035?</x:v>
      </x:c>
      <x:c r="F299" s="30" t="str">
        <x:v>Nostalgia for printed guides.</x:v>
      </x:c>
      <x:c r="G299" s="30" t="str">
        <x:v>Nostalgic</x:v>
      </x:c>
      <x:c r="H299" s="30" t="str">
        <x:v>deepseek-v4-flash</x:v>
      </x:c>
      <x:c r="I299" s="30" t="str">
        <x:v>deepseek-v4-flash</x:v>
      </x:c>
      <x:c r="J299" s="30" t="str">
        <x:v>a636716b4da42a77394457d39fc5c7655641392789b40dfe9da12de1f5cdfa02</x:v>
      </x:c>
      <x:c r="K299" s="30" t="str">
        <x:v>d940ff677de55ebee13ad0345980f645fcaa14d6b1afa41094679a8e0adf8510</x:v>
      </x:c>
      <x:c r="L299" s="30" t="n">
        <x:v>598.82</x:v>
      </x:c>
      <x:c r="M299" s="30" t="str">
        <x:v>{"completion_tokens": 4, "prompt_tokens": 542, "total_tokens": 546, "completion_tokens_details": null, "prompt_tokens_details": {"audio_tokens": null, "cached_tokens": 512}, "prompt_cache_hit_tokens": 512, "prompt_cache_miss_tokens": 30}</x:v>
      </x:c>
      <x:c r="N299" s="30" t="str">
        <x:v>correct</x:v>
      </x:c>
      <x:c r="O299" s="30" t="str">
        <x:v>The model answer 'Nostalgic' is a concise form of the gold answer 'Nostalgia for printed guides,' conveying the same emotional state without contradiction or omission.</x:v>
      </x:c>
      <x:c r="P299" s="30" t="str">
        <x:v>LongCat-2.0</x:v>
      </x:c>
      <x:c r="Q299" s="30" t="str">
        <x:v>LongCat-2.0</x:v>
      </x:c>
      <x:c r="R299" s="30" t="n">
        <x:v>1969.89</x:v>
      </x:c>
      <x:c r="S299" s="30" t="str">
        <x:v>{"completion_tokens": 45, "prompt_tokens": 152, "total_tokens": 197,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0">
      <x:c r="A300" s="30" t="str">
        <x:v>memos_long:268</x:v>
      </x:c>
      <x:c r="B300" s="30" t="str">
        <x:v>long</x:v>
      </x:c>
      <x:c r="C300" s="30" t="str">
        <x:v>Basic Fact Recall</x:v>
      </x:c>
      <x:c r="D300" s="30" t="n">
        <x:v>2</x:v>
      </x:c>
      <x:c r="E300" s="30" t="str">
        <x:v>What is Johnson Joseph's emotional state towards printed travel guides as of Jul 06, 2035?</x:v>
      </x:c>
      <x:c r="F300" s="30" t="str">
        <x:v>Nostalgia for printed guides.</x:v>
      </x:c>
      <x:c r="G300" s="30" t="str">
        <x:v>Nostalgic</x:v>
      </x:c>
      <x:c r="H300" s="30" t="str">
        <x:v>deepseek-v4-flash</x:v>
      </x:c>
      <x:c r="I300" s="30" t="str">
        <x:v>deepseek-v4-flash</x:v>
      </x:c>
      <x:c r="J300" s="30" t="str">
        <x:v>a636716b4da42a77394457d39fc5c7655641392789b40dfe9da12de1f5cdfa02</x:v>
      </x:c>
      <x:c r="K300" s="30" t="str">
        <x:v>d940ff677de55ebee13ad0345980f645fcaa14d6b1afa41094679a8e0adf8510</x:v>
      </x:c>
      <x:c r="L300" s="30" t="n">
        <x:v>502.04</x:v>
      </x:c>
      <x:c r="M300" s="30" t="str">
        <x:v>{"completion_tokens": 4, "prompt_tokens": 542, "total_tokens": 546, "completion_tokens_details": null, "prompt_tokens_details": {"audio_tokens": null, "cached_tokens": 512}, "prompt_cache_hit_tokens": 512, "prompt_cache_miss_tokens": 30}</x:v>
      </x:c>
      <x:c r="N300" s="30" t="str">
        <x:v>correct</x:v>
      </x:c>
      <x:c r="O300" s="30" t="str">
        <x:v>The model answer 'Nostalgic' is a concise form of the gold answer 'Nostalgia for printed guides,' conveying the same emotional state without contradiction or omission.</x:v>
      </x:c>
      <x:c r="P300" s="30" t="str">
        <x:v>LongCat-2.0</x:v>
      </x:c>
      <x:c r="Q300" s="30" t="str">
        <x:v>LongCat-2.0</x:v>
      </x:c>
      <x:c r="R300" s="30" t="n">
        <x:v>2625.67</x:v>
      </x:c>
      <x:c r="S300" s="30" t="str">
        <x:v>{"completion_tokens": 45, "prompt_tokens": 152, "total_tokens": 197,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01">
      <x:c r="A301" s="30" t="str">
        <x:v>memos_long:268</x:v>
      </x:c>
      <x:c r="B301" s="30" t="str">
        <x:v>long</x:v>
      </x:c>
      <x:c r="C301" s="30" t="str">
        <x:v>Basic Fact Recall</x:v>
      </x:c>
      <x:c r="D301" s="30" t="n">
        <x:v>3</x:v>
      </x:c>
      <x:c r="E301" s="30" t="str">
        <x:v>What is Johnson Joseph's emotional state towards printed travel guides as of Jul 06, 2035?</x:v>
      </x:c>
      <x:c r="F301" s="30" t="str">
        <x:v>Nostalgia for printed guides.</x:v>
      </x:c>
      <x:c r="G301" s="30" t="str">
        <x:v>Nostalgic</x:v>
      </x:c>
      <x:c r="H301" s="30" t="str">
        <x:v>deepseek-v4-flash</x:v>
      </x:c>
      <x:c r="I301" s="30" t="str">
        <x:v>deepseek-v4-flash</x:v>
      </x:c>
      <x:c r="J301" s="30" t="str">
        <x:v>a636716b4da42a77394457d39fc5c7655641392789b40dfe9da12de1f5cdfa02</x:v>
      </x:c>
      <x:c r="K301" s="30" t="str">
        <x:v>d940ff677de55ebee13ad0345980f645fcaa14d6b1afa41094679a8e0adf8510</x:v>
      </x:c>
      <x:c r="L301" s="30" t="n">
        <x:v>640.53</x:v>
      </x:c>
      <x:c r="M301" s="30" t="str">
        <x:v>{"completion_tokens": 4, "prompt_tokens": 542, "total_tokens": 546, "completion_tokens_details": null, "prompt_tokens_details": {"audio_tokens": null, "cached_tokens": 512}, "prompt_cache_hit_tokens": 512, "prompt_cache_miss_tokens": 30}</x:v>
      </x:c>
      <x:c r="N301" s="30" t="str">
        <x:v>correct</x:v>
      </x:c>
      <x:c r="O301" s="30" t="str">
        <x:v>The model answer 'Nostalgic' is a concise form of the gold answer 'Nostalgia for printed guides,' conveying the same emotional state without contradiction or unsupported material.</x:v>
      </x:c>
      <x:c r="P301" s="30" t="str">
        <x:v>LongCat-2.0</x:v>
      </x:c>
      <x:c r="Q301" s="30" t="str">
        <x:v>LongCat-2.0</x:v>
      </x:c>
      <x:c r="R301" s="30" t="n">
        <x:v>2262.62</x:v>
      </x:c>
      <x:c r="S301" s="30" t="str">
        <x:v>{"completion_tokens": 46, "prompt_tokens": 152, "total_tokens": 198,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2">
      <x:c r="A302" s="30" t="str">
        <x:v>memos_long:2700</x:v>
      </x:c>
      <x:c r="B302" s="30" t="str">
        <x:v>long</x:v>
      </x:c>
      <x:c r="C302" s="30" t="str">
        <x:v>Basic Fact Recall</x:v>
      </x:c>
      <x:c r="D302" s="30" t="n">
        <x:v>1</x:v>
      </x:c>
      <x:c r="E302" s="30" t="str">
        <x:v>What activity did Oleksandr Shevchenko discover at the wellness retreat on March 10, 2034?</x:v>
      </x:c>
      <x:c r="F302" s="30" t="str">
        <x:v>Yoga</x:v>
      </x:c>
      <x:c r="G302" s="30" t="str">
        <x:v>The benefits of yoga.</x:v>
      </x:c>
      <x:c r="H302" s="30" t="str">
        <x:v>deepseek-v4-flash</x:v>
      </x:c>
      <x:c r="I302" s="30" t="str">
        <x:v>deepseek-v4-flash</x:v>
      </x:c>
      <x:c r="J302" s="30" t="str">
        <x:v>e0684b7fba6110c68327a24e32e5267055ce431221c7563dd16ec9a8e9fedcf6</x:v>
      </x:c>
      <x:c r="K302" s="30" t="str">
        <x:v>230322568c92cb37bbe4abd621f6ef4808c7d6bfa57b35ebc36d63ebdee57c67</x:v>
      </x:c>
      <x:c r="L302" s="30" t="n">
        <x:v>583.46</x:v>
      </x:c>
      <x:c r="M302" s="30" t="str">
        <x:v>{"completion_tokens": 5, "prompt_tokens": 549, "total_tokens": 554, "completion_tokens_details": null, "prompt_tokens_details": {"audio_tokens": null, "cached_tokens": 512}, "prompt_cache_hit_tokens": 512, "prompt_cache_miss_tokens": 37}</x:v>
      </x:c>
      <x:c r="N302" s="30" t="str">
        <x:v>hallucination</x:v>
      </x:c>
      <x:c r="O302" s="30" t="str">
        <x:v>The gold answer is 'Yoga' (the activity discovered). The model answer 'The benefits of yoga' is a concrete answer that shifts the focus from the activity itself to its benefits, which is unsupported and incorrect material relative to the gold answer.</x:v>
      </x:c>
      <x:c r="P302" s="30" t="str">
        <x:v>LongCat-2.0</x:v>
      </x:c>
      <x:c r="Q302" s="30" t="str">
        <x:v>LongCat-2.0</x:v>
      </x:c>
      <x:c r="R302" s="30" t="n">
        <x:v>2535.09</x:v>
      </x:c>
      <x:c r="S302" s="30" t="str">
        <x:v>{"completion_tokens": 63, "prompt_tokens": 151,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03">
      <x:c r="A303" s="30" t="str">
        <x:v>memos_long:2700</x:v>
      </x:c>
      <x:c r="B303" s="30" t="str">
        <x:v>long</x:v>
      </x:c>
      <x:c r="C303" s="30" t="str">
        <x:v>Basic Fact Recall</x:v>
      </x:c>
      <x:c r="D303" s="30" t="n">
        <x:v>2</x:v>
      </x:c>
      <x:c r="E303" s="30" t="str">
        <x:v>What activity did Oleksandr Shevchenko discover at the wellness retreat on March 10, 2034?</x:v>
      </x:c>
      <x:c r="F303" s="30" t="str">
        <x:v>Yoga</x:v>
      </x:c>
      <x:c r="G303" s="30" t="str">
        <x:v>The benefits of yoga.</x:v>
      </x:c>
      <x:c r="H303" s="30" t="str">
        <x:v>deepseek-v4-flash</x:v>
      </x:c>
      <x:c r="I303" s="30" t="str">
        <x:v>deepseek-v4-flash</x:v>
      </x:c>
      <x:c r="J303" s="30" t="str">
        <x:v>e0684b7fba6110c68327a24e32e5267055ce431221c7563dd16ec9a8e9fedcf6</x:v>
      </x:c>
      <x:c r="K303" s="30" t="str">
        <x:v>230322568c92cb37bbe4abd621f6ef4808c7d6bfa57b35ebc36d63ebdee57c67</x:v>
      </x:c>
      <x:c r="L303" s="30" t="n">
        <x:v>748.43</x:v>
      </x:c>
      <x:c r="M303" s="30" t="str">
        <x:v>{"completion_tokens": 5, "prompt_tokens": 549, "total_tokens": 554, "completion_tokens_details": null, "prompt_tokens_details": {"audio_tokens": null, "cached_tokens": 512}, "prompt_cache_hit_tokens": 512, "prompt_cache_miss_tokens": 37}</x:v>
      </x:c>
      <x:c r="N303" s="30" t="str">
        <x:v>hallucination</x:v>
      </x:c>
      <x:c r="O303" s="30" t="str">
        <x:v>The gold answer is 'Yoga' (the activity discovered). The model answer states 'The benefits of yoga,' which is a concrete claim about what was discovered that is not supported by the gold answer. The gold answer specifies the activity itself, not its benefits, making this a hallucination.</x:v>
      </x:c>
      <x:c r="P303" s="30" t="str">
        <x:v>LongCat-2.0</x:v>
      </x:c>
      <x:c r="Q303" s="30" t="str">
        <x:v>LongCat-2.0</x:v>
      </x:c>
      <x:c r="R303" s="30" t="n">
        <x:v>3126.76</x:v>
      </x:c>
      <x:c r="S303" s="30" t="str">
        <x:v>{"completion_tokens": 72, "prompt_tokens": 151,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4">
      <x:c r="A304" s="30" t="str">
        <x:v>memos_long:2700</x:v>
      </x:c>
      <x:c r="B304" s="30" t="str">
        <x:v>long</x:v>
      </x:c>
      <x:c r="C304" s="30" t="str">
        <x:v>Basic Fact Recall</x:v>
      </x:c>
      <x:c r="D304" s="30" t="n">
        <x:v>3</x:v>
      </x:c>
      <x:c r="E304" s="30" t="str">
        <x:v>What activity did Oleksandr Shevchenko discover at the wellness retreat on March 10, 2034?</x:v>
      </x:c>
      <x:c r="F304" s="30" t="str">
        <x:v>Yoga</x:v>
      </x:c>
      <x:c r="G304" s="30" t="str">
        <x:v>The benefits of yoga.</x:v>
      </x:c>
      <x:c r="H304" s="30" t="str">
        <x:v>deepseek-v4-flash</x:v>
      </x:c>
      <x:c r="I304" s="30" t="str">
        <x:v>deepseek-v4-flash</x:v>
      </x:c>
      <x:c r="J304" s="30" t="str">
        <x:v>e0684b7fba6110c68327a24e32e5267055ce431221c7563dd16ec9a8e9fedcf6</x:v>
      </x:c>
      <x:c r="K304" s="30" t="str">
        <x:v>230322568c92cb37bbe4abd621f6ef4808c7d6bfa57b35ebc36d63ebdee57c67</x:v>
      </x:c>
      <x:c r="L304" s="30" t="n">
        <x:v>834.68</x:v>
      </x:c>
      <x:c r="M304" s="30" t="str">
        <x:v>{"completion_tokens": 5, "prompt_tokens": 549, "total_tokens": 554, "completion_tokens_details": null, "prompt_tokens_details": {"audio_tokens": null, "cached_tokens": 512}, "prompt_cache_hit_tokens": 512, "prompt_cache_miss_tokens": 37}</x:v>
      </x:c>
      <x:c r="N304" s="30" t="str">
        <x:v>hallucination</x:v>
      </x:c>
      <x:c r="O304" s="30" t="str">
        <x:v>The gold answer is 'Yoga' (the activity discovered). The model answer 'The benefits of yoga' is a concrete answer that shifts the focus from the activity itself to its benefits, which is unsupported and incorrect material relative to the gold answer.</x:v>
      </x:c>
      <x:c r="P304" s="30" t="str">
        <x:v>LongCat-2.0</x:v>
      </x:c>
      <x:c r="Q304" s="30" t="str">
        <x:v>LongCat-2.0</x:v>
      </x:c>
      <x:c r="R304" s="30" t="n">
        <x:v>2328.29</x:v>
      </x:c>
      <x:c r="S304"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5">
      <x:c r="A305" s="30" t="str">
        <x:v>memos_long:2792</x:v>
      </x:c>
      <x:c r="B305" s="30" t="str">
        <x:v>long</x:v>
      </x:c>
      <x:c r="C305" s="30" t="str">
        <x:v>Generalization &amp; Application</x:v>
      </x:c>
      <x:c r="D305" s="30" t="n">
        <x:v>1</x:v>
      </x:c>
      <x:c r="E305" s="30" t="str">
        <x:v>What type of cuisine might Donald Smith enjoy exploring after October 28, 2029, based on his evolving preferences?</x:v>
      </x:c>
      <x:c r="F305" s="30" t="str">
        <x:v>Complex and diverse flavors.</x:v>
      </x:c>
      <x:c r="G305" s="30" t="str">
        <x:v>Diverse or complex cuisines</x:v>
      </x:c>
      <x:c r="H305" s="30" t="str">
        <x:v>deepseek-v4-flash</x:v>
      </x:c>
      <x:c r="I305" s="30" t="str">
        <x:v>deepseek-v4-flash</x:v>
      </x:c>
      <x:c r="J305" s="30" t="str">
        <x:v>c6afd6f39042e3e01d1749b45a187d1e2a0c6ef476638306d51c1da03381f910</x:v>
      </x:c>
      <x:c r="K305" s="30" t="str">
        <x:v>e48949aed2805b3866b526ac9af7b4ed985dd7c683cdb7aa9860405bd04a5dbe</x:v>
      </x:c>
      <x:c r="L305" s="30" t="n">
        <x:v>821.53</x:v>
      </x:c>
      <x:c r="M305" s="30" t="str">
        <x:v>{"completion_tokens": 7, "prompt_tokens": 582, "total_tokens": 589, "completion_tokens_details": null, "prompt_tokens_details": {"audio_tokens": null, "cached_tokens": 512}, "prompt_cache_hit_tokens": 512, "prompt_cache_miss_tokens": 70}</x:v>
      </x:c>
      <x:c r="N305" s="30" t="str">
        <x:v>correct</x:v>
      </x:c>
      <x:c r="O305" s="30" t="str">
        <x:v>The model answer 'Diverse or complex cuisines' semantically captures the complete gold answer 'Complex and diverse flavors,' conveying the same meaning with slightly different wording.</x:v>
      </x:c>
      <x:c r="P305" s="30" t="str">
        <x:v>LongCat-2.0</x:v>
      </x:c>
      <x:c r="Q305" s="30" t="str">
        <x:v>LongCat-2.0</x:v>
      </x:c>
      <x:c r="R305" s="30" t="n">
        <x:v>4843.52</x:v>
      </x:c>
      <x:c r="S305" s="30" t="str">
        <x:v>{"completion_tokens": 45, "prompt_tokens": 157,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6">
      <x:c r="A306" s="30" t="str">
        <x:v>memos_long:2792</x:v>
      </x:c>
      <x:c r="B306" s="30" t="str">
        <x:v>long</x:v>
      </x:c>
      <x:c r="C306" s="30" t="str">
        <x:v>Generalization &amp; Application</x:v>
      </x:c>
      <x:c r="D306" s="30" t="n">
        <x:v>2</x:v>
      </x:c>
      <x:c r="E306" s="30" t="str">
        <x:v>What type of cuisine might Donald Smith enjoy exploring after October 28, 2029, based on his evolving preferences?</x:v>
      </x:c>
      <x:c r="F306" s="30" t="str">
        <x:v>Complex and diverse flavors.</x:v>
      </x:c>
      <x:c r="G306" s="30" t="str">
        <x:v>Diverse or complex cuisines</x:v>
      </x:c>
      <x:c r="H306" s="30" t="str">
        <x:v>deepseek-v4-flash</x:v>
      </x:c>
      <x:c r="I306" s="30" t="str">
        <x:v>deepseek-v4-flash</x:v>
      </x:c>
      <x:c r="J306" s="30" t="str">
        <x:v>c6afd6f39042e3e01d1749b45a187d1e2a0c6ef476638306d51c1da03381f910</x:v>
      </x:c>
      <x:c r="K306" s="30" t="str">
        <x:v>e48949aed2805b3866b526ac9af7b4ed985dd7c683cdb7aa9860405bd04a5dbe</x:v>
      </x:c>
      <x:c r="L306" s="30" t="n">
        <x:v>794.26</x:v>
      </x:c>
      <x:c r="M306" s="30" t="str">
        <x:v>{"completion_tokens": 7, "prompt_tokens": 582, "total_tokens": 589, "completion_tokens_details": null, "prompt_tokens_details": {"audio_tokens": null, "cached_tokens": 512}, "prompt_cache_hit_tokens": 512, "prompt_cache_miss_tokens": 70}</x:v>
      </x:c>
      <x:c r="N306" s="30" t="str">
        <x:v>correct</x:v>
      </x:c>
      <x:c r="O306" s="30" t="str">
        <x:v>The model answer 'Diverse or complex cuisines' semantically captures the gold answer 'Complex and diverse flavors,' conveying the same meaning with slightly different wording.</x:v>
      </x:c>
      <x:c r="P306" s="30" t="str">
        <x:v>LongCat-2.0</x:v>
      </x:c>
      <x:c r="Q306" s="30" t="str">
        <x:v>LongCat-2.0</x:v>
      </x:c>
      <x:c r="R306" s="30" t="n">
        <x:v>5196.09</x:v>
      </x:c>
      <x:c r="S306" s="30" t="str">
        <x:v>{"completion_tokens": 44, "prompt_tokens": 157, "total_tokens": 201,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07">
      <x:c r="A307" s="30" t="str">
        <x:v>memos_long:2792</x:v>
      </x:c>
      <x:c r="B307" s="30" t="str">
        <x:v>long</x:v>
      </x:c>
      <x:c r="C307" s="30" t="str">
        <x:v>Generalization &amp; Application</x:v>
      </x:c>
      <x:c r="D307" s="30" t="n">
        <x:v>3</x:v>
      </x:c>
      <x:c r="E307" s="30" t="str">
        <x:v>What type of cuisine might Donald Smith enjoy exploring after October 28, 2029, based on his evolving preferences?</x:v>
      </x:c>
      <x:c r="F307" s="30" t="str">
        <x:v>Complex and diverse flavors.</x:v>
      </x:c>
      <x:c r="G307" s="30" t="str">
        <x:v>Diverse or complex cuisines</x:v>
      </x:c>
      <x:c r="H307" s="30" t="str">
        <x:v>deepseek-v4-flash</x:v>
      </x:c>
      <x:c r="I307" s="30" t="str">
        <x:v>deepseek-v4-flash</x:v>
      </x:c>
      <x:c r="J307" s="30" t="str">
        <x:v>c6afd6f39042e3e01d1749b45a187d1e2a0c6ef476638306d51c1da03381f910</x:v>
      </x:c>
      <x:c r="K307" s="30" t="str">
        <x:v>e48949aed2805b3866b526ac9af7b4ed985dd7c683cdb7aa9860405bd04a5dbe</x:v>
      </x:c>
      <x:c r="L307" s="30" t="n">
        <x:v>714.97</x:v>
      </x:c>
      <x:c r="M307" s="30" t="str">
        <x:v>{"completion_tokens": 7, "prompt_tokens": 582, "total_tokens": 589, "completion_tokens_details": null, "prompt_tokens_details": {"audio_tokens": null, "cached_tokens": 512}, "prompt_cache_hit_tokens": 512, "prompt_cache_miss_tokens": 70}</x:v>
      </x:c>
      <x:c r="N307" s="30" t="str">
        <x:v>correct</x:v>
      </x:c>
      <x:c r="O307" s="30" t="str">
        <x:v>The model answer 'Diverse or complex cuisines' semantically captures the complete gold answer 'Complex and diverse flavors,' conveying the same meaning with slightly different wording.</x:v>
      </x:c>
      <x:c r="P307" s="30" t="str">
        <x:v>LongCat-2.0</x:v>
      </x:c>
      <x:c r="Q307" s="30" t="str">
        <x:v>LongCat-2.0</x:v>
      </x:c>
      <x:c r="R307" s="30" t="n">
        <x:v>2496.24</x:v>
      </x:c>
      <x:c r="S307" s="30" t="str">
        <x:v>{"completion_tokens": 45, "prompt_tokens": 157,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08">
      <x:c r="A308" s="30" t="str">
        <x:v>memos_long:2801</x:v>
      </x:c>
      <x:c r="B308" s="30" t="str">
        <x:v>long</x:v>
      </x:c>
      <x:c r="C308" s="30" t="str">
        <x:v>Dynamic Update</x:v>
      </x:c>
      <x:c r="D308" s="30" t="n">
        <x:v>1</x:v>
      </x:c>
      <x:c r="E308" s="30" t="str">
        <x:v>What is Donald Smith's emotional motivation related to his AI assistant as of Nov 20, 2029?</x:v>
      </x:c>
      <x:c r="F308" s="30" t="str">
        <x:v>Emotional fulfillment and gratitude</x:v>
      </x:c>
      <x:c r="G308" s="30" t="str">
        <x:v>Emotional fulfillment and gratitude.</x:v>
      </x:c>
      <x:c r="H308" s="30" t="str">
        <x:v>deepseek-v4-flash</x:v>
      </x:c>
      <x:c r="I308" s="30" t="str">
        <x:v>deepseek-v4-flash</x:v>
      </x:c>
      <x:c r="J308" s="30" t="str">
        <x:v>89540b388f3762b21c2e7c60f6c009083a51f9c04a574a87cdc53eef9b165b69</x:v>
      </x:c>
      <x:c r="K308" s="30" t="str">
        <x:v>1eb6699b821527dff3f09b82bf7ec48f59c94c01795209def2dd7db508a1b122</x:v>
      </x:c>
      <x:c r="L308" s="30" t="n">
        <x:v>677.35</x:v>
      </x:c>
      <x:c r="M308" s="30" t="str">
        <x:v>{"completion_tokens": 6, "prompt_tokens": 544, "total_tokens": 550, "completion_tokens_details": null, "prompt_tokens_details": {"audio_tokens": null, "cached_tokens": 512}, "prompt_cache_hit_tokens": 512, "prompt_cache_miss_tokens": 32}</x:v>
      </x:c>
      <x:c r="N308" s="30" t="str">
        <x:v>correct</x:v>
      </x:c>
      <x:c r="O308"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P308" s="30" t="str">
        <x:v>LongCat-2.0</x:v>
      </x:c>
      <x:c r="Q308" s="30" t="str">
        <x:v>LongCat-2.0</x:v>
      </x:c>
      <x:c r="R308" s="30" t="n">
        <x:v>2701.34</x:v>
      </x:c>
      <x:c r="S308" s="30" t="str">
        <x:v>{"completion_tokens": 62, "prompt_tokens": 154,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09">
      <x:c r="A309" s="30" t="str">
        <x:v>memos_long:2801</x:v>
      </x:c>
      <x:c r="B309" s="30" t="str">
        <x:v>long</x:v>
      </x:c>
      <x:c r="C309" s="30" t="str">
        <x:v>Dynamic Update</x:v>
      </x:c>
      <x:c r="D309" s="30" t="n">
        <x:v>2</x:v>
      </x:c>
      <x:c r="E309" s="30" t="str">
        <x:v>What is Donald Smith's emotional motivation related to his AI assistant as of Nov 20, 2029?</x:v>
      </x:c>
      <x:c r="F309" s="30" t="str">
        <x:v>Emotional fulfillment and gratitude</x:v>
      </x:c>
      <x:c r="G309" s="30" t="str">
        <x:v>Emotional fulfillment and gratitude.</x:v>
      </x:c>
      <x:c r="H309" s="30" t="str">
        <x:v>deepseek-v4-flash</x:v>
      </x:c>
      <x:c r="I309" s="30" t="str">
        <x:v>deepseek-v4-flash</x:v>
      </x:c>
      <x:c r="J309" s="30" t="str">
        <x:v>89540b388f3762b21c2e7c60f6c009083a51f9c04a574a87cdc53eef9b165b69</x:v>
      </x:c>
      <x:c r="K309" s="30" t="str">
        <x:v>1eb6699b821527dff3f09b82bf7ec48f59c94c01795209def2dd7db508a1b122</x:v>
      </x:c>
      <x:c r="L309" s="30" t="n">
        <x:v>829.86</x:v>
      </x:c>
      <x:c r="M309" s="30" t="str">
        <x:v>{"completion_tokens": 6, "prompt_tokens": 544, "total_tokens": 550, "completion_tokens_details": null, "prompt_tokens_details": {"audio_tokens": null, "cached_tokens": 512}, "prompt_cache_hit_tokens": 512, "prompt_cache_miss_tokens": 32}</x:v>
      </x:c>
      <x:c r="N309" s="30" t="str">
        <x:v>correct</x:v>
      </x:c>
      <x:c r="O309"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P309" s="30" t="str">
        <x:v>LongCat-2.0</x:v>
      </x:c>
      <x:c r="Q309" s="30" t="str">
        <x:v>LongCat-2.0</x:v>
      </x:c>
      <x:c r="R309" s="30" t="n">
        <x:v>2866.95</x:v>
      </x:c>
      <x:c r="S309" s="30" t="str">
        <x:v>{"completion_tokens": 62, "prompt_tokens": 154,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0">
      <x:c r="A310" s="30" t="str">
        <x:v>memos_long:2801</x:v>
      </x:c>
      <x:c r="B310" s="30" t="str">
        <x:v>long</x:v>
      </x:c>
      <x:c r="C310" s="30" t="str">
        <x:v>Dynamic Update</x:v>
      </x:c>
      <x:c r="D310" s="30" t="n">
        <x:v>3</x:v>
      </x:c>
      <x:c r="E310" s="30" t="str">
        <x:v>What is Donald Smith's emotional motivation related to his AI assistant as of Nov 20, 2029?</x:v>
      </x:c>
      <x:c r="F310" s="30" t="str">
        <x:v>Emotional fulfillment and gratitude</x:v>
      </x:c>
      <x:c r="G310" s="30" t="str">
        <x:v>Emotional fulfillment and gratitude.</x:v>
      </x:c>
      <x:c r="H310" s="30" t="str">
        <x:v>deepseek-v4-flash</x:v>
      </x:c>
      <x:c r="I310" s="30" t="str">
        <x:v>deepseek-v4-flash</x:v>
      </x:c>
      <x:c r="J310" s="30" t="str">
        <x:v>89540b388f3762b21c2e7c60f6c009083a51f9c04a574a87cdc53eef9b165b69</x:v>
      </x:c>
      <x:c r="K310" s="30" t="str">
        <x:v>1eb6699b821527dff3f09b82bf7ec48f59c94c01795209def2dd7db508a1b122</x:v>
      </x:c>
      <x:c r="L310" s="30" t="n">
        <x:v>543.64</x:v>
      </x:c>
      <x:c r="M310" s="30" t="str">
        <x:v>{"completion_tokens": 6, "prompt_tokens": 544, "total_tokens": 550, "completion_tokens_details": null, "prompt_tokens_details": {"audio_tokens": null, "cached_tokens": 512}, "prompt_cache_hit_tokens": 512, "prompt_cache_miss_tokens": 32}</x:v>
      </x:c>
      <x:c r="N310" s="30" t="str">
        <x:v>correct</x:v>
      </x:c>
      <x:c r="O310"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P310" s="30" t="str">
        <x:v>LongCat-2.0</x:v>
      </x:c>
      <x:c r="Q310" s="30" t="str">
        <x:v>LongCat-2.0</x:v>
      </x:c>
      <x:c r="R310" s="30" t="n">
        <x:v>2458.87</x:v>
      </x:c>
      <x:c r="S310" s="30" t="str">
        <x:v>{"completion_tokens": 63, "prompt_tokens": 154,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1">
      <x:c r="A311" s="30" t="str">
        <x:v>memos_long:2803</x:v>
      </x:c>
      <x:c r="B311" s="30" t="str">
        <x:v>long</x:v>
      </x:c>
      <x:c r="C311" s="30" t="str">
        <x:v>Dynamic Update</x:v>
      </x:c>
      <x:c r="D311" s="30" t="n">
        <x:v>1</x:v>
      </x:c>
      <x:c r="E311" s="30" t="str">
        <x:v>What is Donald Smith's latest health status as of Dec 05, 2029?</x:v>
      </x:c>
      <x:c r="F311" s="30" t="str">
        <x:v>Increased Stress</x:v>
      </x:c>
      <x:c r="G311" s="30" t="str">
        <x:v>Stress impacting mental well-being.</x:v>
      </x:c>
      <x:c r="H311" s="30" t="str">
        <x:v>deepseek-v4-flash</x:v>
      </x:c>
      <x:c r="I311" s="30" t="str">
        <x:v>deepseek-v4-flash</x:v>
      </x:c>
      <x:c r="J311" s="30" t="str">
        <x:v>4d0768c5e5521075f22c58a89337b94caa45f81cafd23fb6edd7cf756f628ae2</x:v>
      </x:c>
      <x:c r="K311" s="30" t="str">
        <x:v>7c4c3829d17c8394237de640be0bd7b5e64a7ae32eed6c939d7868371045ee80</x:v>
      </x:c>
      <x:c r="L311" s="30" t="n">
        <x:v>689.37</x:v>
      </x:c>
      <x:c r="M311" s="30" t="str">
        <x:v>{"completion_tokens": 6, "prompt_tokens": 550, "total_tokens": 556, "completion_tokens_details": null, "prompt_tokens_details": {"audio_tokens": null, "cached_tokens": 512}, "prompt_cache_hit_tokens": 512, "prompt_cache_miss_tokens": 38}</x:v>
      </x:c>
      <x:c r="N311" s="30" t="str">
        <x:v>correct</x:v>
      </x:c>
      <x:c r="O311" s="30" t="str">
        <x:v>The model answer 'Stress impacting mental well-being' semantically conveys the same core information as the gold answer 'Increased Stress' — both indicate that stress is the relevant health status. The wording differs but the meaning is preserved without adding false or unsupported claims.</x:v>
      </x:c>
      <x:c r="P311" s="30" t="str">
        <x:v>LongCat-2.0</x:v>
      </x:c>
      <x:c r="Q311" s="30" t="str">
        <x:v>LongCat-2.0</x:v>
      </x:c>
      <x:c r="R311" s="30" t="n">
        <x:v>19321.96</x:v>
      </x:c>
      <x:c r="S311" s="30" t="str">
        <x:v>{"completion_tokens": 64, "prompt_tokens": 148,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12">
      <x:c r="A312" s="30" t="str">
        <x:v>memos_long:2803</x:v>
      </x:c>
      <x:c r="B312" s="30" t="str">
        <x:v>long</x:v>
      </x:c>
      <x:c r="C312" s="30" t="str">
        <x:v>Dynamic Update</x:v>
      </x:c>
      <x:c r="D312" s="30" t="n">
        <x:v>2</x:v>
      </x:c>
      <x:c r="E312" s="30" t="str">
        <x:v>What is Donald Smith's latest health status as of Dec 05, 2029?</x:v>
      </x:c>
      <x:c r="F312" s="30" t="str">
        <x:v>Increased Stress</x:v>
      </x:c>
      <x:c r="G312" s="30" t="str">
        <x:v>Stress impacting mental well-being.</x:v>
      </x:c>
      <x:c r="H312" s="30" t="str">
        <x:v>deepseek-v4-flash</x:v>
      </x:c>
      <x:c r="I312" s="30" t="str">
        <x:v>deepseek-v4-flash</x:v>
      </x:c>
      <x:c r="J312" s="30" t="str">
        <x:v>4d0768c5e5521075f22c58a89337b94caa45f81cafd23fb6edd7cf756f628ae2</x:v>
      </x:c>
      <x:c r="K312" s="30" t="str">
        <x:v>7c4c3829d17c8394237de640be0bd7b5e64a7ae32eed6c939d7868371045ee80</x:v>
      </x:c>
      <x:c r="L312" s="30" t="n">
        <x:v>621.5</x:v>
      </x:c>
      <x:c r="M312" s="30" t="str">
        <x:v>{"completion_tokens": 6, "prompt_tokens": 550, "total_tokens": 556, "completion_tokens_details": null, "prompt_tokens_details": {"audio_tokens": null, "cached_tokens": 512}, "prompt_cache_hit_tokens": 512, "prompt_cache_miss_tokens": 38}</x:v>
      </x:c>
      <x:c r="N312" s="30" t="str">
        <x:v>correct</x:v>
      </x:c>
      <x:c r="O312" s="30" t="str">
        <x:v>The model answer 'Stress impacting mental well-being' semantically conveys the same core information as the gold answer 'Increased Stress'—both indicate that stress is the relevant health status. The wording differs but the meaning is preserved without contradiction or unsupported claims.</x:v>
      </x:c>
      <x:c r="P312" s="30" t="str">
        <x:v>LongCat-2.0</x:v>
      </x:c>
      <x:c r="Q312" s="30" t="str">
        <x:v>LongCat-2.0</x:v>
      </x:c>
      <x:c r="R312" s="30" t="n">
        <x:v>19925.7</x:v>
      </x:c>
      <x:c r="S312" s="30" t="str">
        <x:v>{"completion_tokens": 62, "prompt_tokens": 148,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13">
      <x:c r="A313" s="30" t="str">
        <x:v>memos_long:2803</x:v>
      </x:c>
      <x:c r="B313" s="30" t="str">
        <x:v>long</x:v>
      </x:c>
      <x:c r="C313" s="30" t="str">
        <x:v>Dynamic Update</x:v>
      </x:c>
      <x:c r="D313" s="30" t="n">
        <x:v>3</x:v>
      </x:c>
      <x:c r="E313" s="30" t="str">
        <x:v>What is Donald Smith's latest health status as of Dec 05, 2029?</x:v>
      </x:c>
      <x:c r="F313" s="30" t="str">
        <x:v>Increased Stress</x:v>
      </x:c>
      <x:c r="G313" s="30" t="str">
        <x:v>Stress impacting mental well-being.</x:v>
      </x:c>
      <x:c r="H313" s="30" t="str">
        <x:v>deepseek-v4-flash</x:v>
      </x:c>
      <x:c r="I313" s="30" t="str">
        <x:v>deepseek-v4-flash</x:v>
      </x:c>
      <x:c r="J313" s="30" t="str">
        <x:v>4d0768c5e5521075f22c58a89337b94caa45f81cafd23fb6edd7cf756f628ae2</x:v>
      </x:c>
      <x:c r="K313" s="30" t="str">
        <x:v>7c4c3829d17c8394237de640be0bd7b5e64a7ae32eed6c939d7868371045ee80</x:v>
      </x:c>
      <x:c r="L313" s="30" t="n">
        <x:v>792.14</x:v>
      </x:c>
      <x:c r="M313" s="30" t="str">
        <x:v>{"completion_tokens": 6, "prompt_tokens": 550, "total_tokens": 556, "completion_tokens_details": null, "prompt_tokens_details": {"audio_tokens": null, "cached_tokens": 512}, "prompt_cache_hit_tokens": 512, "prompt_cache_miss_tokens": 38}</x:v>
      </x:c>
      <x:c r="N313" s="30" t="str">
        <x:v>correct</x:v>
      </x:c>
      <x:c r="O313" s="30" t="str">
        <x:v>The model answer 'Stress impacting mental well-being' semantically conveys the same core information as the gold answer 'Increased Stress'—both indicate that stress is the relevant health status. The wording differs but the meaning is preserved without adding false or unsupported claims.</x:v>
      </x:c>
      <x:c r="P313" s="30" t="str">
        <x:v>LongCat-2.0</x:v>
      </x:c>
      <x:c r="Q313" s="30" t="str">
        <x:v>LongCat-2.0</x:v>
      </x:c>
      <x:c r="R313" s="30" t="n">
        <x:v>18152.54</x:v>
      </x:c>
      <x:c r="S313" s="30" t="str">
        <x:v>{"completion_tokens": 63, "prompt_tokens": 148,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14">
      <x:c r="A314" s="30" t="str">
        <x:v>memos_long:2809</x:v>
      </x:c>
      <x:c r="B314" s="30" t="str">
        <x:v>long</x:v>
      </x:c>
      <x:c r="C314" s="30" t="str">
        <x:v>Memory Conflict</x:v>
      </x:c>
      <x:c r="D314" s="30" t="n">
        <x:v>1</x:v>
      </x:c>
      <x:c r="E314" s="30" t="str">
        <x:v>Was Donald's mental health status stable and normal after his promotion on 2029-12-05?</x:v>
      </x:c>
      <x:c r="F314" s="30" t="str">
        <x:v>No, it changed to increased stress.</x:v>
      </x:c>
      <x:c r="G314" s="30" t="str">
        <x:v>No</x:v>
      </x:c>
      <x:c r="H314" s="30" t="str">
        <x:v>deepseek-v4-flash</x:v>
      </x:c>
      <x:c r="I314" s="30" t="str">
        <x:v>deepseek-v4-flash</x:v>
      </x:c>
      <x:c r="J314" s="30" t="str">
        <x:v>bb1e4d132b2b52e57a5ad05d463434dc12c443cadbf6e7c6d25cd520b31bb04f</x:v>
      </x:c>
      <x:c r="K314" s="30" t="str">
        <x:v>fdea62e94ce0c0c96e6030dbb3d6cf2d636957d42ddbd1f76e19271aa107ac68</x:v>
      </x:c>
      <x:c r="L314" s="30" t="n">
        <x:v>721.19</x:v>
      </x:c>
      <x:c r="M314" s="30" t="str">
        <x:v>{"completion_tokens": 1, "prompt_tokens": 549, "total_tokens": 550, "completion_tokens_details": null, "prompt_tokens_details": {"audio_tokens": null, "cached_tokens": 512}, "prompt_cache_hit_tokens": 512, "prompt_cache_miss_tokens": 37}</x:v>
      </x:c>
      <x:c r="N314" s="30" t="str">
        <x:v>omission</x:v>
      </x:c>
      <x:c r="O314" s="30" t="str">
        <x:v>The model answer 'No' is factually aligned with the gold answer but omits the key detail that his mental health status changed to increased stress, making it an incomplete subset of the gold answer.</x:v>
      </x:c>
      <x:c r="P314" s="30" t="str">
        <x:v>LongCat-2.0</x:v>
      </x:c>
      <x:c r="Q314" s="30" t="str">
        <x:v>LongCat-2.0</x:v>
      </x:c>
      <x:c r="R314" s="30" t="n">
        <x:v>2772.3</x:v>
      </x:c>
      <x:c r="S314" s="30" t="str">
        <x:v>{"completion_tokens": 52, "prompt_tokens": 152, "total_tokens": 204,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15">
      <x:c r="A315" s="30" t="str">
        <x:v>memos_long:2809</x:v>
      </x:c>
      <x:c r="B315" s="30" t="str">
        <x:v>long</x:v>
      </x:c>
      <x:c r="C315" s="30" t="str">
        <x:v>Memory Conflict</x:v>
      </x:c>
      <x:c r="D315" s="30" t="n">
        <x:v>2</x:v>
      </x:c>
      <x:c r="E315" s="30" t="str">
        <x:v>Was Donald's mental health status stable and normal after his promotion on 2029-12-05?</x:v>
      </x:c>
      <x:c r="F315" s="30" t="str">
        <x:v>No, it changed to increased stress.</x:v>
      </x:c>
      <x:c r="G315" s="30" t="str">
        <x:v>No</x:v>
      </x:c>
      <x:c r="H315" s="30" t="str">
        <x:v>deepseek-v4-flash</x:v>
      </x:c>
      <x:c r="I315" s="30" t="str">
        <x:v>deepseek-v4-flash</x:v>
      </x:c>
      <x:c r="J315" s="30" t="str">
        <x:v>bb1e4d132b2b52e57a5ad05d463434dc12c443cadbf6e7c6d25cd520b31bb04f</x:v>
      </x:c>
      <x:c r="K315" s="30" t="str">
        <x:v>fdea62e94ce0c0c96e6030dbb3d6cf2d636957d42ddbd1f76e19271aa107ac68</x:v>
      </x:c>
      <x:c r="L315" s="30" t="n">
        <x:v>755.82</x:v>
      </x:c>
      <x:c r="M315" s="30" t="str">
        <x:v>{"completion_tokens": 1, "prompt_tokens": 549, "total_tokens": 550, "completion_tokens_details": null, "prompt_tokens_details": {"audio_tokens": null, "cached_tokens": 512}, "prompt_cache_hit_tokens": 512, "prompt_cache_miss_tokens": 37}</x:v>
      </x:c>
      <x:c r="N315" s="30" t="str">
        <x:v>omission</x:v>
      </x:c>
      <x:c r="O315" s="30" t="str">
        <x:v>The model answer 'No' correctly indicates that Donald's mental health status was not stable and normal, but it omits the specific detail from the gold answer that his status changed to increased stress. This makes it an incomplete subset of the gold answer.</x:v>
      </x:c>
      <x:c r="P315" s="30" t="str">
        <x:v>LongCat-2.0</x:v>
      </x:c>
      <x:c r="Q315" s="30" t="str">
        <x:v>LongCat-2.0</x:v>
      </x:c>
      <x:c r="R315" s="30" t="n">
        <x:v>3471.68</x:v>
      </x:c>
      <x:c r="S315" s="30" t="str">
        <x:v>{"completion_tokens": 62, "prompt_tokens": 152,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6">
      <x:c r="A316" s="30" t="str">
        <x:v>memos_long:2809</x:v>
      </x:c>
      <x:c r="B316" s="30" t="str">
        <x:v>long</x:v>
      </x:c>
      <x:c r="C316" s="30" t="str">
        <x:v>Memory Conflict</x:v>
      </x:c>
      <x:c r="D316" s="30" t="n">
        <x:v>3</x:v>
      </x:c>
      <x:c r="E316" s="30" t="str">
        <x:v>Was Donald's mental health status stable and normal after his promotion on 2029-12-05?</x:v>
      </x:c>
      <x:c r="F316" s="30" t="str">
        <x:v>No, it changed to increased stress.</x:v>
      </x:c>
      <x:c r="G316" s="30" t="str">
        <x:v>No</x:v>
      </x:c>
      <x:c r="H316" s="30" t="str">
        <x:v>deepseek-v4-flash</x:v>
      </x:c>
      <x:c r="I316" s="30" t="str">
        <x:v>deepseek-v4-flash</x:v>
      </x:c>
      <x:c r="J316" s="30" t="str">
        <x:v>bb1e4d132b2b52e57a5ad05d463434dc12c443cadbf6e7c6d25cd520b31bb04f</x:v>
      </x:c>
      <x:c r="K316" s="30" t="str">
        <x:v>fdea62e94ce0c0c96e6030dbb3d6cf2d636957d42ddbd1f76e19271aa107ac68</x:v>
      </x:c>
      <x:c r="L316" s="30" t="n">
        <x:v>839.21</x:v>
      </x:c>
      <x:c r="M316" s="30" t="str">
        <x:v>{"completion_tokens": 1, "prompt_tokens": 549, "total_tokens": 550, "completion_tokens_details": null, "prompt_tokens_details": {"audio_tokens": null, "cached_tokens": 512}, "prompt_cache_hit_tokens": 512, "prompt_cache_miss_tokens": 37}</x:v>
      </x:c>
      <x:c r="N316" s="30" t="str">
        <x:v>omission</x:v>
      </x:c>
      <x:c r="O316" s="30" t="str">
        <x:v>The model answer 'No' is factually aligned with the gold answer but omits the key detail that his mental health status changed to increased stress, making it an incomplete subset of the gold answer.</x:v>
      </x:c>
      <x:c r="P316" s="30" t="str">
        <x:v>LongCat-2.0</x:v>
      </x:c>
      <x:c r="Q316" s="30" t="str">
        <x:v>LongCat-2.0</x:v>
      </x:c>
      <x:c r="R316" s="30" t="n">
        <x:v>4465.9</x:v>
      </x:c>
      <x:c r="S316" s="30" t="str">
        <x:v>{"completion_tokens": 52, "prompt_tokens": 152, "total_tokens": 204,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7">
      <x:c r="A317" s="30" t="str">
        <x:v>memos_long:2899</x:v>
      </x:c>
      <x:c r="B317" s="30" t="str">
        <x:v>long</x:v>
      </x:c>
      <x:c r="C317" s="30" t="str">
        <x:v>Basic Fact Recall</x:v>
      </x:c>
      <x:c r="D317" s="30" t="n">
        <x:v>1</x:v>
      </x:c>
      <x:c r="E317" s="30" t="str">
        <x:v>What is Donald Smith's preference regarding pets as of Oct 08, 2039?</x:v>
      </x:c>
      <x:c r="F317" s="30" t="str">
        <x:v>Donald Smith loves cats.</x:v>
      </x:c>
      <x:c r="G317" s="30" t="str">
        <x:v>Loves cats.</x:v>
      </x:c>
      <x:c r="H317" s="30" t="str">
        <x:v>deepseek-v4-flash</x:v>
      </x:c>
      <x:c r="I317" s="30" t="str">
        <x:v>deepseek-v4-flash</x:v>
      </x:c>
      <x:c r="J317" s="30" t="str">
        <x:v>3be3d37b1bdc482e4d9d5e4be905e0af8835f3bb5059aff97d98497b481b1613</x:v>
      </x:c>
      <x:c r="K317" s="30" t="str">
        <x:v>d56efa3ab6a848a27afb57e526849fe951fb5202ff4f11c98e8c42fdcdcdc953</x:v>
      </x:c>
      <x:c r="L317" s="30" t="n">
        <x:v>426.43</x:v>
      </x:c>
      <x:c r="M317" s="30" t="str">
        <x:v>{"completion_tokens": 4, "prompt_tokens": 548, "total_tokens": 552, "completion_tokens_details": null, "prompt_tokens_details": {"audio_tokens": null, "cached_tokens": 512}, "prompt_cache_hit_tokens": 512, "prompt_cache_miss_tokens": 36}</x:v>
      </x:c>
      <x:c r="N317" s="30" t="str">
        <x:v>correct</x:v>
      </x:c>
      <x:c r="O317" s="30" t="str">
        <x:v>The model answer 'Loves cats' semantically conveys the complete gold answer 'Donald Smith loves cats' with only minor wording differences, and does not add any false or unsupported claims.</x:v>
      </x:c>
      <x:c r="P317" s="30" t="str">
        <x:v>LongCat-2.0</x:v>
      </x:c>
      <x:c r="Q317" s="30" t="str">
        <x:v>LongCat-2.0</x:v>
      </x:c>
      <x:c r="R317" s="30" t="n">
        <x:v>4160.55</x:v>
      </x:c>
      <x:c r="S317" s="30" t="str">
        <x:v>{"completion_tokens": 48, "prompt_tokens": 147,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18">
      <x:c r="A318" s="30" t="str">
        <x:v>memos_long:2899</x:v>
      </x:c>
      <x:c r="B318" s="30" t="str">
        <x:v>long</x:v>
      </x:c>
      <x:c r="C318" s="30" t="str">
        <x:v>Basic Fact Recall</x:v>
      </x:c>
      <x:c r="D318" s="30" t="n">
        <x:v>2</x:v>
      </x:c>
      <x:c r="E318" s="30" t="str">
        <x:v>What is Donald Smith's preference regarding pets as of Oct 08, 2039?</x:v>
      </x:c>
      <x:c r="F318" s="30" t="str">
        <x:v>Donald Smith loves cats.</x:v>
      </x:c>
      <x:c r="G318" s="30" t="str">
        <x:v>Loves cats.</x:v>
      </x:c>
      <x:c r="H318" s="30" t="str">
        <x:v>deepseek-v4-flash</x:v>
      </x:c>
      <x:c r="I318" s="30" t="str">
        <x:v>deepseek-v4-flash</x:v>
      </x:c>
      <x:c r="J318" s="30" t="str">
        <x:v>3be3d37b1bdc482e4d9d5e4be905e0af8835f3bb5059aff97d98497b481b1613</x:v>
      </x:c>
      <x:c r="K318" s="30" t="str">
        <x:v>d56efa3ab6a848a27afb57e526849fe951fb5202ff4f11c98e8c42fdcdcdc953</x:v>
      </x:c>
      <x:c r="L318" s="30" t="n">
        <x:v>867.58</x:v>
      </x:c>
      <x:c r="M318" s="30" t="str">
        <x:v>{"completion_tokens": 4, "prompt_tokens": 548, "total_tokens": 552, "completion_tokens_details": null, "prompt_tokens_details": {"audio_tokens": null, "cached_tokens": 512}, "prompt_cache_hit_tokens": 512, "prompt_cache_miss_tokens": 36}</x:v>
      </x:c>
      <x:c r="N318" s="30" t="str">
        <x:v>correct</x:v>
      </x:c>
      <x:c r="O318" s="30" t="str">
        <x:v>The model answer 'Loves cats' semantically conveys the complete gold answer 'Donald Smith loves cats' with only minor wording differences, and does not add any false or unsupported information.</x:v>
      </x:c>
      <x:c r="P318" s="30" t="str">
        <x:v>LongCat-2.0</x:v>
      </x:c>
      <x:c r="Q318" s="30" t="str">
        <x:v>LongCat-2.0</x:v>
      </x:c>
      <x:c r="R318" s="30" t="n">
        <x:v>2635.91</x:v>
      </x:c>
      <x:c r="S318" s="30" t="str">
        <x:v>{"completion_tokens": 48, "prompt_tokens": 147,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19">
      <x:c r="A319" s="30" t="str">
        <x:v>memos_long:2899</x:v>
      </x:c>
      <x:c r="B319" s="30" t="str">
        <x:v>long</x:v>
      </x:c>
      <x:c r="C319" s="30" t="str">
        <x:v>Basic Fact Recall</x:v>
      </x:c>
      <x:c r="D319" s="30" t="n">
        <x:v>3</x:v>
      </x:c>
      <x:c r="E319" s="30" t="str">
        <x:v>What is Donald Smith's preference regarding pets as of Oct 08, 2039?</x:v>
      </x:c>
      <x:c r="F319" s="30" t="str">
        <x:v>Donald Smith loves cats.</x:v>
      </x:c>
      <x:c r="G319" s="30" t="str">
        <x:v>Loves cats.</x:v>
      </x:c>
      <x:c r="H319" s="30" t="str">
        <x:v>deepseek-v4-flash</x:v>
      </x:c>
      <x:c r="I319" s="30" t="str">
        <x:v>deepseek-v4-flash</x:v>
      </x:c>
      <x:c r="J319" s="30" t="str">
        <x:v>3be3d37b1bdc482e4d9d5e4be905e0af8835f3bb5059aff97d98497b481b1613</x:v>
      </x:c>
      <x:c r="K319" s="30" t="str">
        <x:v>d56efa3ab6a848a27afb57e526849fe951fb5202ff4f11c98e8c42fdcdcdc953</x:v>
      </x:c>
      <x:c r="L319" s="30" t="n">
        <x:v>743.53</x:v>
      </x:c>
      <x:c r="M319" s="30" t="str">
        <x:v>{"completion_tokens": 4, "prompt_tokens": 548, "total_tokens": 552, "completion_tokens_details": null, "prompt_tokens_details": {"audio_tokens": null, "cached_tokens": 512}, "prompt_cache_hit_tokens": 512, "prompt_cache_miss_tokens": 36}</x:v>
      </x:c>
      <x:c r="N319" s="30" t="str">
        <x:v>correct</x:v>
      </x:c>
      <x:c r="O319" s="30" t="str">
        <x:v>The model answer 'Loves cats' semantically conveys the same information as the gold answer 'Donald Smith loves cats,' with only minor wording differences and no false or unsupported claims.</x:v>
      </x:c>
      <x:c r="P319" s="30" t="str">
        <x:v>LongCat-2.0</x:v>
      </x:c>
      <x:c r="Q319" s="30" t="str">
        <x:v>LongCat-2.0</x:v>
      </x:c>
      <x:c r="R319" s="30" t="n">
        <x:v>2366.11</x:v>
      </x:c>
      <x:c r="S319" s="30" t="str">
        <x:v>{"completion_tokens": 47, "prompt_tokens": 147, "total_tokens": 194,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0">
      <x:c r="A320" s="30" t="str">
        <x:v>memos_long:2900</x:v>
      </x:c>
      <x:c r="B320" s="30" t="str">
        <x:v>long</x:v>
      </x:c>
      <x:c r="C320" s="30" t="str">
        <x:v>Basic Fact Recall</x:v>
      </x:c>
      <x:c r="D320" s="30" t="n">
        <x:v>1</x:v>
      </x:c>
      <x:c r="E320" s="30" t="str">
        <x:v>What change did Donald Smith make to his music preference on Mar 21, 2040?</x:v>
      </x:c>
      <x:c r="F320" s="30" t="str">
        <x:v>He updated his preference to liking techno music.</x:v>
      </x:c>
      <x:c r="G320" s="30" t="str">
        <x:v>Liked techno music.</x:v>
      </x:c>
      <x:c r="H320" s="30" t="str">
        <x:v>deepseek-v4-flash</x:v>
      </x:c>
      <x:c r="I320" s="30" t="str">
        <x:v>deepseek-v4-flash</x:v>
      </x:c>
      <x:c r="J320" s="30" t="str">
        <x:v>1df6ada26bbe58816fa5e656af30da327a2be036ea955ec638b71110005fc041</x:v>
      </x:c>
      <x:c r="K320" s="30" t="str">
        <x:v>9a9cb7650df70554bfc2fd8353b821b60224a4777491dd460d85109a4d354bcb</x:v>
      </x:c>
      <x:c r="L320" s="30" t="n">
        <x:v>805.16</x:v>
      </x:c>
      <x:c r="M320" s="30" t="str">
        <x:v>{"completion_tokens": 6, "prompt_tokens": 541, "total_tokens": 547, "completion_tokens_details": null, "prompt_tokens_details": {"audio_tokens": null, "cached_tokens": 512}, "prompt_cache_hit_tokens": 512, "prompt_cache_miss_tokens": 29}</x:v>
      </x:c>
      <x:c r="N320" s="30" t="str">
        <x:v>correct</x:v>
      </x:c>
      <x:c r="O320"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core meaning is complete and accurate.</x:v>
      </x:c>
      <x:c r="P320" s="30" t="str">
        <x:v>LongCat-2.0</x:v>
      </x:c>
      <x:c r="Q320" s="30" t="str">
        <x:v>LongCat-2.0</x:v>
      </x:c>
      <x:c r="R320" s="30" t="n">
        <x:v>3318.1</x:v>
      </x:c>
      <x:c r="S320" s="30" t="str">
        <x:v>{"completion_tokens": 73, "prompt_tokens": 155, "total_tokens": 228,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21">
      <x:c r="A321" s="30" t="str">
        <x:v>memos_long:2900</x:v>
      </x:c>
      <x:c r="B321" s="30" t="str">
        <x:v>long</x:v>
      </x:c>
      <x:c r="C321" s="30" t="str">
        <x:v>Basic Fact Recall</x:v>
      </x:c>
      <x:c r="D321" s="30" t="n">
        <x:v>2</x:v>
      </x:c>
      <x:c r="E321" s="30" t="str">
        <x:v>What change did Donald Smith make to his music preference on Mar 21, 2040?</x:v>
      </x:c>
      <x:c r="F321" s="30" t="str">
        <x:v>He updated his preference to liking techno music.</x:v>
      </x:c>
      <x:c r="G321" s="30" t="str">
        <x:v>Liked techno music.</x:v>
      </x:c>
      <x:c r="H321" s="30" t="str">
        <x:v>deepseek-v4-flash</x:v>
      </x:c>
      <x:c r="I321" s="30" t="str">
        <x:v>deepseek-v4-flash</x:v>
      </x:c>
      <x:c r="J321" s="30" t="str">
        <x:v>1df6ada26bbe58816fa5e656af30da327a2be036ea955ec638b71110005fc041</x:v>
      </x:c>
      <x:c r="K321" s="30" t="str">
        <x:v>9a9cb7650df70554bfc2fd8353b821b60224a4777491dd460d85109a4d354bcb</x:v>
      </x:c>
      <x:c r="L321" s="30" t="n">
        <x:v>825.16</x:v>
      </x:c>
      <x:c r="M321" s="30" t="str">
        <x:v>{"completion_tokens": 6, "prompt_tokens": 541, "total_tokens": 547, "completion_tokens_details": null, "prompt_tokens_details": {"audio_tokens": null, "cached_tokens": 512}, "prompt_cache_hit_tokens": 512, "prompt_cache_miss_tokens": 29}</x:v>
      </x:c>
      <x:c r="N321" s="30" t="str">
        <x:v>correct</x:v>
      </x:c>
      <x:c r="O321"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x:v>
      </x:c>
      <x:c r="P321" s="30" t="str">
        <x:v>LongCat-2.0</x:v>
      </x:c>
      <x:c r="Q321" s="30" t="str">
        <x:v>LongCat-2.0</x:v>
      </x:c>
      <x:c r="R321" s="30" t="n">
        <x:v>2872.7</x:v>
      </x:c>
      <x:c r="S321" s="30" t="str">
        <x:v>{"completion_tokens": 71, "prompt_tokens": 155,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2">
      <x:c r="A322" s="30" t="str">
        <x:v>memos_long:2900</x:v>
      </x:c>
      <x:c r="B322" s="30" t="str">
        <x:v>long</x:v>
      </x:c>
      <x:c r="C322" s="30" t="str">
        <x:v>Basic Fact Recall</x:v>
      </x:c>
      <x:c r="D322" s="30" t="n">
        <x:v>3</x:v>
      </x:c>
      <x:c r="E322" s="30" t="str">
        <x:v>What change did Donald Smith make to his music preference on Mar 21, 2040?</x:v>
      </x:c>
      <x:c r="F322" s="30" t="str">
        <x:v>He updated his preference to liking techno music.</x:v>
      </x:c>
      <x:c r="G322" s="30" t="str">
        <x:v>Liked techno music.</x:v>
      </x:c>
      <x:c r="H322" s="30" t="str">
        <x:v>deepseek-v4-flash</x:v>
      </x:c>
      <x:c r="I322" s="30" t="str">
        <x:v>deepseek-v4-flash</x:v>
      </x:c>
      <x:c r="J322" s="30" t="str">
        <x:v>1df6ada26bbe58816fa5e656af30da327a2be036ea955ec638b71110005fc041</x:v>
      </x:c>
      <x:c r="K322" s="30" t="str">
        <x:v>9a9cb7650df70554bfc2fd8353b821b60224a4777491dd460d85109a4d354bcb</x:v>
      </x:c>
      <x:c r="L322" s="30" t="n">
        <x:v>890.14</x:v>
      </x:c>
      <x:c r="M322" s="30" t="str">
        <x:v>{"completion_tokens": 6, "prompt_tokens": 541, "total_tokens": 547, "completion_tokens_details": null, "prompt_tokens_details": {"audio_tokens": null, "cached_tokens": 512}, "prompt_cache_hit_tokens": 512, "prompt_cache_miss_tokens": 29}</x:v>
      </x:c>
      <x:c r="N322" s="30" t="str">
        <x:v>correct</x:v>
      </x:c>
      <x:c r="O322" s="30" t="str">
        <x:v>The model answer 'Liked techno music' semantically conveys the same information as the gold answer 'He updated his preference to liking techno music.' Both indicate that Donald Smith's music preference changed to techno music on that date. The wording differs slightly but the meaning is complete and accurate.</x:v>
      </x:c>
      <x:c r="P322" s="30" t="str">
        <x:v>LongCat-2.0</x:v>
      </x:c>
      <x:c r="Q322" s="30" t="str">
        <x:v>LongCat-2.0</x:v>
      </x:c>
      <x:c r="R322" s="30" t="n">
        <x:v>3371.83</x:v>
      </x:c>
      <x:c r="S322" s="30" t="str">
        <x:v>{"completion_tokens": 71, "prompt_tokens": 155,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3">
      <x:c r="A323" s="30" t="str">
        <x:v>memos_long:2906</x:v>
      </x:c>
      <x:c r="B323" s="30" t="str">
        <x:v>long</x:v>
      </x:c>
      <x:c r="C323" s="30" t="str">
        <x:v>Generalization &amp; Application</x:v>
      </x:c>
      <x:c r="D323" s="30" t="n">
        <x:v>1</x:v>
      </x:c>
      <x:c r="E323" s="30" t="str">
        <x:v>What strategies might Donald Smith use to ensure his relative's legacy in 2041?</x:v>
      </x:c>
      <x:c r="F323" s="30" t="str">
        <x:v>Develop strategic plans and maintain strong network relationships.</x:v>
      </x:c>
      <x:c r="G323" s="30" t="str">
        <x:v>Strategic plans and political influence.</x:v>
      </x:c>
      <x:c r="H323" s="30" t="str">
        <x:v>deepseek-v4-flash</x:v>
      </x:c>
      <x:c r="I323" s="30" t="str">
        <x:v>deepseek-v4-flash</x:v>
      </x:c>
      <x:c r="J323" s="30" t="str">
        <x:v>03884db33153646c25f31dda2fd467cad916d1fd2af82bb6d7692ac1f5825212</x:v>
      </x:c>
      <x:c r="K323" s="30" t="str">
        <x:v>464aeaf691ef8488d1b7a154d5069db1e54736475a3230d2587f02c93305d34a</x:v>
      </x:c>
      <x:c r="L323" s="30" t="n">
        <x:v>649.19</x:v>
      </x:c>
      <x:c r="M323" s="30" t="str">
        <x:v>{"completion_tokens": 6, "prompt_tokens": 611, "total_tokens": 617, "completion_tokens_details": null, "prompt_tokens_details": {"audio_tokens": null, "cached_tokens": 512}, "prompt_cache_hit_tokens": 512, "prompt_cache_miss_tokens": 99}</x:v>
      </x:c>
      <x:c r="N323" s="30" t="str">
        <x:v>hallucination</x:v>
      </x:c>
      <x:c r="O323" s="30" t="str">
        <x:v>The model answer replaces 'maintain strong network relationships' with 'political influence,' which is a concrete claim not supported by the gold answer and changes the meaning of the strategy.</x:v>
      </x:c>
      <x:c r="P323" s="30" t="str">
        <x:v>LongCat-2.0</x:v>
      </x:c>
      <x:c r="Q323" s="30" t="str">
        <x:v>LongCat-2.0</x:v>
      </x:c>
      <x:c r="R323" s="30" t="n">
        <x:v>2661.56</x:v>
      </x:c>
      <x:c r="S323" s="30" t="str">
        <x:v>{"completion_tokens": 48, "prompt_tokens": 152, "total_tokens": 200,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24">
      <x:c r="A324" s="30" t="str">
        <x:v>memos_long:2906</x:v>
      </x:c>
      <x:c r="B324" s="30" t="str">
        <x:v>long</x:v>
      </x:c>
      <x:c r="C324" s="30" t="str">
        <x:v>Generalization &amp; Application</x:v>
      </x:c>
      <x:c r="D324" s="30" t="n">
        <x:v>2</x:v>
      </x:c>
      <x:c r="E324" s="30" t="str">
        <x:v>What strategies might Donald Smith use to ensure his relative's legacy in 2041?</x:v>
      </x:c>
      <x:c r="F324" s="30" t="str">
        <x:v>Develop strategic plans and maintain strong network relationships.</x:v>
      </x:c>
      <x:c r="G324" s="30" t="str">
        <x:v>Strategic plans and political influence.</x:v>
      </x:c>
      <x:c r="H324" s="30" t="str">
        <x:v>deepseek-v4-flash</x:v>
      </x:c>
      <x:c r="I324" s="30" t="str">
        <x:v>deepseek-v4-flash</x:v>
      </x:c>
      <x:c r="J324" s="30" t="str">
        <x:v>03884db33153646c25f31dda2fd467cad916d1fd2af82bb6d7692ac1f5825212</x:v>
      </x:c>
      <x:c r="K324" s="30" t="str">
        <x:v>464aeaf691ef8488d1b7a154d5069db1e54736475a3230d2587f02c93305d34a</x:v>
      </x:c>
      <x:c r="L324" s="30" t="n">
        <x:v>674.51</x:v>
      </x:c>
      <x:c r="M324" s="30" t="str">
        <x:v>{"completion_tokens": 6, "prompt_tokens": 611, "total_tokens": 617, "completion_tokens_details": null, "prompt_tokens_details": {"audio_tokens": null, "cached_tokens": 512}, "prompt_cache_hit_tokens": 512, "prompt_cache_miss_tokens": 99}</x:v>
      </x:c>
      <x:c r="N324" s="30" t="str">
        <x:v>hallucination</x:v>
      </x:c>
      <x:c r="O324" s="30" t="str">
        <x:v>The gold answer specifies 'strategic plans and maintain strong network relationships.' The model answer includes 'strategic plans' (a partial match) but replaces 'maintain strong network relationships' with 'political influence,' which is a concrete claim not supported by the gold answer and alters the meaning of the second strategy.</x:v>
      </x:c>
      <x:c r="P324" s="30" t="str">
        <x:v>LongCat-2.0</x:v>
      </x:c>
      <x:c r="Q324" s="30" t="str">
        <x:v>LongCat-2.0</x:v>
      </x:c>
      <x:c r="R324" s="30" t="n">
        <x:v>3124.63</x:v>
      </x:c>
      <x:c r="S324" s="30" t="str">
        <x:v>{"completion_tokens": 77, "prompt_tokens": 152,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5">
      <x:c r="A325" s="30" t="str">
        <x:v>memos_long:2906</x:v>
      </x:c>
      <x:c r="B325" s="30" t="str">
        <x:v>long</x:v>
      </x:c>
      <x:c r="C325" s="30" t="str">
        <x:v>Generalization &amp; Application</x:v>
      </x:c>
      <x:c r="D325" s="30" t="n">
        <x:v>3</x:v>
      </x:c>
      <x:c r="E325" s="30" t="str">
        <x:v>What strategies might Donald Smith use to ensure his relative's legacy in 2041?</x:v>
      </x:c>
      <x:c r="F325" s="30" t="str">
        <x:v>Develop strategic plans and maintain strong network relationships.</x:v>
      </x:c>
      <x:c r="G325" s="30" t="str">
        <x:v>Strategic plans and political influence.</x:v>
      </x:c>
      <x:c r="H325" s="30" t="str">
        <x:v>deepseek-v4-flash</x:v>
      </x:c>
      <x:c r="I325" s="30" t="str">
        <x:v>deepseek-v4-flash</x:v>
      </x:c>
      <x:c r="J325" s="30" t="str">
        <x:v>03884db33153646c25f31dda2fd467cad916d1fd2af82bb6d7692ac1f5825212</x:v>
      </x:c>
      <x:c r="K325" s="30" t="str">
        <x:v>464aeaf691ef8488d1b7a154d5069db1e54736475a3230d2587f02c93305d34a</x:v>
      </x:c>
      <x:c r="L325" s="30" t="n">
        <x:v>735.98</x:v>
      </x:c>
      <x:c r="M325" s="30" t="str">
        <x:v>{"completion_tokens": 6, "prompt_tokens": 611, "total_tokens": 617, "completion_tokens_details": null, "prompt_tokens_details": {"audio_tokens": null, "cached_tokens": 512}, "prompt_cache_hit_tokens": 512, "prompt_cache_miss_tokens": 99}</x:v>
      </x:c>
      <x:c r="N325" s="30" t="str">
        <x:v>hallucination</x:v>
      </x:c>
      <x:c r="O325" s="30" t="str">
        <x:v>The model answer replaces 'maintain strong network relationships' with 'political influence,' which is a concrete claim not supported by the gold answer and changes the meaning of the strategy.</x:v>
      </x:c>
      <x:c r="P325" s="30" t="str">
        <x:v>LongCat-2.0</x:v>
      </x:c>
      <x:c r="Q325" s="30" t="str">
        <x:v>LongCat-2.0</x:v>
      </x:c>
      <x:c r="R325" s="30" t="n">
        <x:v>6380.62</x:v>
      </x:c>
      <x:c r="S325" s="30" t="str">
        <x:v>{"completion_tokens": 48, "prompt_tokens": 152,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6">
      <x:c r="A326" s="30" t="str">
        <x:v>memos_long:2942</x:v>
      </x:c>
      <x:c r="B326" s="30" t="str">
        <x:v>long</x:v>
      </x:c>
      <x:c r="C326" s="30" t="str">
        <x:v>Generalization &amp; Application</x:v>
      </x:c>
      <x:c r="D326" s="30" t="n">
        <x:v>1</x:v>
      </x:c>
      <x:c r="E326" s="30" t="str">
        <x:v>What type of restaurant might Karen Brown enjoy visiting in the future, considering her evolving food preferences as of 2026-04-22?</x:v>
      </x:c>
      <x:c r="F326" s="30" t="str">
        <x:v>Restaurants offering social and stress-relief experiences.</x:v>
      </x:c>
      <x:c r="G326" s="30" t="str">
        <x:v>Fast food restaurants</x:v>
      </x:c>
      <x:c r="H326" s="30" t="str">
        <x:v>deepseek-v4-flash</x:v>
      </x:c>
      <x:c r="I326" s="30" t="str">
        <x:v>deepseek-v4-flash</x:v>
      </x:c>
      <x:c r="J326" s="30" t="str">
        <x:v>80e3b555b64a5daf1d2892c1eb63ac8288976eb769a072974541c42a4fc9bf4c</x:v>
      </x:c>
      <x:c r="K326" s="30" t="str">
        <x:v>9b4ee150f9f4c0ec995fff1a69edd87b081d42181040f5e88546ccebbcc95701</x:v>
      </x:c>
      <x:c r="L326" s="30" t="n">
        <x:v>622.84</x:v>
      </x:c>
      <x:c r="M326" s="30" t="str">
        <x:v>{"completion_tokens": 3, "prompt_tokens": 661, "total_tokens": 664, "completion_tokens_details": null, "prompt_tokens_details": {"audio_tokens": null, "cached_tokens": 640}, "prompt_cache_hit_tokens": 640, "prompt_cache_miss_tokens": 21}</x:v>
      </x:c>
      <x:c r="N326" s="30" t="str">
        <x:v>hallucination</x:v>
      </x:c>
      <x:c r="O326" s="30" t="str">
        <x:v>The gold answer specifies restaurants offering social and stress-relief experiences, while the model answer claims fast food restaurants, which is a concrete answer that contradicts the gold answer.</x:v>
      </x:c>
      <x:c r="P326" s="30" t="str">
        <x:v>LongCat-2.0</x:v>
      </x:c>
      <x:c r="Q326" s="30" t="str">
        <x:v>LongCat-2.0</x:v>
      </x:c>
      <x:c r="R326" s="30" t="n">
        <x:v>2418.96</x:v>
      </x:c>
      <x:c r="S326" s="30" t="str">
        <x:v>{"completion_tokens": 46, "prompt_tokens": 163,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27">
      <x:c r="A327" s="30" t="str">
        <x:v>memos_long:2942</x:v>
      </x:c>
      <x:c r="B327" s="30" t="str">
        <x:v>long</x:v>
      </x:c>
      <x:c r="C327" s="30" t="str">
        <x:v>Generalization &amp; Application</x:v>
      </x:c>
      <x:c r="D327" s="30" t="n">
        <x:v>2</x:v>
      </x:c>
      <x:c r="E327" s="30" t="str">
        <x:v>What type of restaurant might Karen Brown enjoy visiting in the future, considering her evolving food preferences as of 2026-04-22?</x:v>
      </x:c>
      <x:c r="F327" s="30" t="str">
        <x:v>Restaurants offering social and stress-relief experiences.</x:v>
      </x:c>
      <x:c r="G327" s="30" t="str">
        <x:v>Fast food restaurants</x:v>
      </x:c>
      <x:c r="H327" s="30" t="str">
        <x:v>deepseek-v4-flash</x:v>
      </x:c>
      <x:c r="I327" s="30" t="str">
        <x:v>deepseek-v4-flash</x:v>
      </x:c>
      <x:c r="J327" s="30" t="str">
        <x:v>80e3b555b64a5daf1d2892c1eb63ac8288976eb769a072974541c42a4fc9bf4c</x:v>
      </x:c>
      <x:c r="K327" s="30" t="str">
        <x:v>9b4ee150f9f4c0ec995fff1a69edd87b081d42181040f5e88546ccebbcc95701</x:v>
      </x:c>
      <x:c r="L327" s="30" t="n">
        <x:v>665.4</x:v>
      </x:c>
      <x:c r="M327" s="30" t="str">
        <x:v>{"completion_tokens": 3, "prompt_tokens": 661, "total_tokens": 664, "completion_tokens_details": null, "prompt_tokens_details": {"audio_tokens": null, "cached_tokens": 640}, "prompt_cache_hit_tokens": 640, "prompt_cache_miss_tokens": 21}</x:v>
      </x:c>
      <x:c r="N327" s="30" t="str">
        <x:v>hallucination</x:v>
      </x:c>
      <x:c r="O327" s="30" t="str">
        <x:v>The gold answer specifies restaurants offering social and stress-relief experiences, while the model answer states 'Fast food restaurants,' which is a concrete claim that contradicts the gold answer and is unsupported by it.</x:v>
      </x:c>
      <x:c r="P327" s="30" t="str">
        <x:v>LongCat-2.0</x:v>
      </x:c>
      <x:c r="Q327" s="30" t="str">
        <x:v>LongCat-2.0</x:v>
      </x:c>
      <x:c r="R327" s="30" t="n">
        <x:v>2543.31</x:v>
      </x:c>
      <x:c r="S327" s="30" t="str">
        <x:v>{"completion_tokens": 52, "prompt_tokens": 163,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8">
      <x:c r="A328" s="30" t="str">
        <x:v>memos_long:2942</x:v>
      </x:c>
      <x:c r="B328" s="30" t="str">
        <x:v>long</x:v>
      </x:c>
      <x:c r="C328" s="30" t="str">
        <x:v>Generalization &amp; Application</x:v>
      </x:c>
      <x:c r="D328" s="30" t="n">
        <x:v>3</x:v>
      </x:c>
      <x:c r="E328" s="30" t="str">
        <x:v>What type of restaurant might Karen Brown enjoy visiting in the future, considering her evolving food preferences as of 2026-04-22?</x:v>
      </x:c>
      <x:c r="F328" s="30" t="str">
        <x:v>Restaurants offering social and stress-relief experiences.</x:v>
      </x:c>
      <x:c r="G328" s="30" t="str">
        <x:v>Fast food restaurants</x:v>
      </x:c>
      <x:c r="H328" s="30" t="str">
        <x:v>deepseek-v4-flash</x:v>
      </x:c>
      <x:c r="I328" s="30" t="str">
        <x:v>deepseek-v4-flash</x:v>
      </x:c>
      <x:c r="J328" s="30" t="str">
        <x:v>80e3b555b64a5daf1d2892c1eb63ac8288976eb769a072974541c42a4fc9bf4c</x:v>
      </x:c>
      <x:c r="K328" s="30" t="str">
        <x:v>9b4ee150f9f4c0ec995fff1a69edd87b081d42181040f5e88546ccebbcc95701</x:v>
      </x:c>
      <x:c r="L328" s="30" t="n">
        <x:v>772.48</x:v>
      </x:c>
      <x:c r="M328" s="30" t="str">
        <x:v>{"completion_tokens": 3, "prompt_tokens": 661, "total_tokens": 664, "completion_tokens_details": null, "prompt_tokens_details": {"audio_tokens": null, "cached_tokens": 640}, "prompt_cache_hit_tokens": 640, "prompt_cache_miss_tokens": 21}</x:v>
      </x:c>
      <x:c r="N328" s="30" t="str">
        <x:v>hallucination</x:v>
      </x:c>
      <x:c r="O328" s="30" t="str">
        <x:v>The gold answer specifies restaurants offering social and stress-relief experiences, while the model answer states 'Fast food restaurants,' which is a concrete answer that contradicts the gold answer and is unsupported.</x:v>
      </x:c>
      <x:c r="P328" s="30" t="str">
        <x:v>LongCat-2.0</x:v>
      </x:c>
      <x:c r="Q328" s="30" t="str">
        <x:v>LongCat-2.0</x:v>
      </x:c>
      <x:c r="R328" s="30" t="n">
        <x:v>2967.55</x:v>
      </x:c>
      <x:c r="S328" s="30" t="str">
        <x:v>{"completion_tokens": 50, "prompt_tokens": 163,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29">
      <x:c r="A329" s="30" t="str">
        <x:v>memos_long:2945</x:v>
      </x:c>
      <x:c r="B329" s="30" t="str">
        <x:v>long</x:v>
      </x:c>
      <x:c r="C329" s="30" t="str">
        <x:v>Memory Conflict</x:v>
      </x:c>
      <x:c r="D329" s="30" t="n">
        <x:v>1</x:v>
      </x:c>
      <x:c r="E329" s="30" t="str">
        <x:v>Did Karen Brown express a dislike for small dogs during her visit on Nov 09, 2026?</x:v>
      </x:c>
      <x:c r="F329" s="30" t="str">
        <x:v>No, Karen reconsidered her dislike for large dogs, not small dogs.</x:v>
      </x:c>
      <x:c r="G329" s="30" t="str">
        <x:v>No, she did not.</x:v>
      </x:c>
      <x:c r="H329" s="30" t="str">
        <x:v>deepseek-v4-flash</x:v>
      </x:c>
      <x:c r="I329" s="30" t="str">
        <x:v>deepseek-v4-flash</x:v>
      </x:c>
      <x:c r="J329" s="30" t="str">
        <x:v>084b1f9e37ac8f44a0383f4c661474268162fdcd0b4ea172b33171249291e3b7</x:v>
      </x:c>
      <x:c r="K329" s="30" t="str">
        <x:v>84d69568e028b0bd4778b43c5393a81e3fc771ee792ec030ad787a2c4ba4ba1c</x:v>
      </x:c>
      <x:c r="L329" s="30" t="n">
        <x:v>667.87</x:v>
      </x:c>
      <x:c r="M329" s="30" t="str">
        <x:v>{"completion_tokens": 6, "prompt_tokens": 582, "total_tokens": 588, "completion_tokens_details": null, "prompt_tokens_details": {"audio_tokens": null, "cached_tokens": 512}, "prompt_cache_hit_tokens": 512, "prompt_cache_miss_tokens": 70}</x:v>
      </x:c>
      <x:c r="N329" s="30" t="str">
        <x:v>omission</x:v>
      </x:c>
      <x:c r="O329" s="30" t="str">
        <x:v>The model answer 'No, she did not' is factually consistent with the gold answer but omits the key detail that Karen reconsidered her dislike for large dogs, not small dogs. It provides only an incomplete subset of the gold answer without adding a concrete false claim.</x:v>
      </x:c>
      <x:c r="P329" s="30" t="str">
        <x:v>LongCat-2.0</x:v>
      </x:c>
      <x:c r="Q329" s="30" t="str">
        <x:v>LongCat-2.0</x:v>
      </x:c>
      <x:c r="R329" s="30" t="n">
        <x:v>5023.09</x:v>
      </x:c>
      <x:c r="S329" s="30" t="str">
        <x:v>{"completion_tokens": 67, "prompt_tokens": 162,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0">
      <x:c r="A330" s="30" t="str">
        <x:v>memos_long:2945</x:v>
      </x:c>
      <x:c r="B330" s="30" t="str">
        <x:v>long</x:v>
      </x:c>
      <x:c r="C330" s="30" t="str">
        <x:v>Memory Conflict</x:v>
      </x:c>
      <x:c r="D330" s="30" t="n">
        <x:v>2</x:v>
      </x:c>
      <x:c r="E330" s="30" t="str">
        <x:v>Did Karen Brown express a dislike for small dogs during her visit on Nov 09, 2026?</x:v>
      </x:c>
      <x:c r="F330" s="30" t="str">
        <x:v>No, Karen reconsidered her dislike for large dogs, not small dogs.</x:v>
      </x:c>
      <x:c r="G330" s="30" t="str">
        <x:v>No, she did not.</x:v>
      </x:c>
      <x:c r="H330" s="30" t="str">
        <x:v>deepseek-v4-flash</x:v>
      </x:c>
      <x:c r="I330" s="30" t="str">
        <x:v>deepseek-v4-flash</x:v>
      </x:c>
      <x:c r="J330" s="30" t="str">
        <x:v>084b1f9e37ac8f44a0383f4c661474268162fdcd0b4ea172b33171249291e3b7</x:v>
      </x:c>
      <x:c r="K330" s="30" t="str">
        <x:v>84d69568e028b0bd4778b43c5393a81e3fc771ee792ec030ad787a2c4ba4ba1c</x:v>
      </x:c>
      <x:c r="L330" s="30" t="n">
        <x:v>664.41</x:v>
      </x:c>
      <x:c r="M330" s="30" t="str">
        <x:v>{"completion_tokens": 6, "prompt_tokens": 582, "total_tokens": 588, "completion_tokens_details": null, "prompt_tokens_details": {"audio_tokens": null, "cached_tokens": 512}, "prompt_cache_hit_tokens": 512, "prompt_cache_miss_tokens": 70}</x:v>
      </x:c>
      <x:c r="N330" s="30" t="str">
        <x:v>omission</x:v>
      </x:c>
      <x:c r="O330" s="30" t="str">
        <x:v>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x:v>
      </x:c>
      <x:c r="P330" s="30" t="str">
        <x:v>LongCat-2.0</x:v>
      </x:c>
      <x:c r="Q330" s="30" t="str">
        <x:v>LongCat-2.0</x:v>
      </x:c>
      <x:c r="R330" s="30" t="n">
        <x:v>5480.12</x:v>
      </x:c>
      <x:c r="S330" s="30" t="str">
        <x:v>{"completion_tokens": 73, "prompt_tokens": 162,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1">
      <x:c r="A331" s="30" t="str">
        <x:v>memos_long:2945</x:v>
      </x:c>
      <x:c r="B331" s="30" t="str">
        <x:v>long</x:v>
      </x:c>
      <x:c r="C331" s="30" t="str">
        <x:v>Memory Conflict</x:v>
      </x:c>
      <x:c r="D331" s="30" t="n">
        <x:v>3</x:v>
      </x:c>
      <x:c r="E331" s="30" t="str">
        <x:v>Did Karen Brown express a dislike for small dogs during her visit on Nov 09, 2026?</x:v>
      </x:c>
      <x:c r="F331" s="30" t="str">
        <x:v>No, Karen reconsidered her dislike for large dogs, not small dogs.</x:v>
      </x:c>
      <x:c r="G331" s="30" t="str">
        <x:v>No, she did not.</x:v>
      </x:c>
      <x:c r="H331" s="30" t="str">
        <x:v>deepseek-v4-flash</x:v>
      </x:c>
      <x:c r="I331" s="30" t="str">
        <x:v>deepseek-v4-flash</x:v>
      </x:c>
      <x:c r="J331" s="30" t="str">
        <x:v>084b1f9e37ac8f44a0383f4c661474268162fdcd0b4ea172b33171249291e3b7</x:v>
      </x:c>
      <x:c r="K331" s="30" t="str">
        <x:v>84d69568e028b0bd4778b43c5393a81e3fc771ee792ec030ad787a2c4ba4ba1c</x:v>
      </x:c>
      <x:c r="L331" s="30" t="n">
        <x:v>552.01</x:v>
      </x:c>
      <x:c r="M331" s="30" t="str">
        <x:v>{"completion_tokens": 6, "prompt_tokens": 582, "total_tokens": 588, "completion_tokens_details": null, "prompt_tokens_details": {"audio_tokens": null, "cached_tokens": 512}, "prompt_cache_hit_tokens": 512, "prompt_cache_miss_tokens": 70}</x:v>
      </x:c>
      <x:c r="N331" s="30" t="str">
        <x:v>omission</x:v>
      </x:c>
      <x:c r="O331" s="30" t="str">
        <x:v>The model answer 'No, she did not' is factually consistent with the gold answer but omits the key detail that Karen reconsidered her dislike for large dogs, not small dogs. It provides only an incomplete subset of the gold answer without adding a false claim, which fits the definition of omission.</x:v>
      </x:c>
      <x:c r="P331" s="30" t="str">
        <x:v>LongCat-2.0</x:v>
      </x:c>
      <x:c r="Q331" s="30" t="str">
        <x:v>LongCat-2.0</x:v>
      </x:c>
      <x:c r="R331" s="30" t="n">
        <x:v>3442.17</x:v>
      </x:c>
      <x:c r="S331" s="30" t="str">
        <x:v>{"completion_tokens": 73, "prompt_tokens": 162, "total_tokens": 235,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32">
      <x:c r="A332" s="30" t="str">
        <x:v>memos_long:2981</x:v>
      </x:c>
      <x:c r="B332" s="30" t="str">
        <x:v>long</x:v>
      </x:c>
      <x:c r="C332" s="30" t="str">
        <x:v>Generalization &amp; Application</x:v>
      </x:c>
      <x:c r="D332" s="30" t="n">
        <x:v>1</x:v>
      </x:c>
      <x:c r="E332" s="30" t="str">
        <x:v>How might Karen's supportive network as of 2030-01-20 assist her in achieving her career goals?</x:v>
      </x:c>
      <x:c r="F332" s="30" t="str">
        <x:v>It offers emotional and practical assistance.</x:v>
      </x:c>
      <x:c r="G332" s="30" t="str">
        <x:v>Providing emotional and practical assistance.</x:v>
      </x:c>
      <x:c r="H332" s="30" t="str">
        <x:v>deepseek-v4-flash</x:v>
      </x:c>
      <x:c r="I332" s="30" t="str">
        <x:v>deepseek-v4-flash</x:v>
      </x:c>
      <x:c r="J332" s="30" t="str">
        <x:v>d6e4173e5828d5d4ba83372a958d0e35460498c3718e773674e87a5e46698a0b</x:v>
      </x:c>
      <x:c r="K332" s="30" t="str">
        <x:v>8925b65ac27d40ba53eeb87415a706c10d7b50108e3c2214f466ebaebd7f38ba</x:v>
      </x:c>
      <x:c r="L332" s="30" t="n">
        <x:v>727.5</x:v>
      </x:c>
      <x:c r="M332" s="30" t="str">
        <x:v>{"completion_tokens": 7, "prompt_tokens": 624, "total_tokens": 631, "completion_tokens_details": null, "prompt_tokens_details": {"audio_tokens": null, "cached_tokens": 512}, "prompt_cache_hit_tokens": 512, "prompt_cache_miss_tokens": 112}</x:v>
      </x:c>
      <x:c r="N332" s="30" t="str">
        <x:v>correct</x:v>
      </x:c>
      <x:c r="O332" s="30" t="str">
        <x:v>The model answer 'Providing emotional and practical assistance' semantically matches the gold answer 'It offers emotional and practical assistance,' conveying the same complete meaning with only minor wording differences.</x:v>
      </x:c>
      <x:c r="P332" s="30" t="str">
        <x:v>LongCat-2.0</x:v>
      </x:c>
      <x:c r="Q332" s="30" t="str">
        <x:v>LongCat-2.0</x:v>
      </x:c>
      <x:c r="R332" s="30" t="n">
        <x:v>2141.52</x:v>
      </x:c>
      <x:c r="S332"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3">
      <x:c r="A333" s="30" t="str">
        <x:v>memos_long:2981</x:v>
      </x:c>
      <x:c r="B333" s="30" t="str">
        <x:v>long</x:v>
      </x:c>
      <x:c r="C333" s="30" t="str">
        <x:v>Generalization &amp; Application</x:v>
      </x:c>
      <x:c r="D333" s="30" t="n">
        <x:v>2</x:v>
      </x:c>
      <x:c r="E333" s="30" t="str">
        <x:v>How might Karen's supportive network as of 2030-01-20 assist her in achieving her career goals?</x:v>
      </x:c>
      <x:c r="F333" s="30" t="str">
        <x:v>It offers emotional and practical assistance.</x:v>
      </x:c>
      <x:c r="G333" s="30" t="str">
        <x:v>Providing emotional and practical assistance.</x:v>
      </x:c>
      <x:c r="H333" s="30" t="str">
        <x:v>deepseek-v4-flash</x:v>
      </x:c>
      <x:c r="I333" s="30" t="str">
        <x:v>deepseek-v4-flash</x:v>
      </x:c>
      <x:c r="J333" s="30" t="str">
        <x:v>d6e4173e5828d5d4ba83372a958d0e35460498c3718e773674e87a5e46698a0b</x:v>
      </x:c>
      <x:c r="K333" s="30" t="str">
        <x:v>8925b65ac27d40ba53eeb87415a706c10d7b50108e3c2214f466ebaebd7f38ba</x:v>
      </x:c>
      <x:c r="L333" s="30" t="n">
        <x:v>653.07</x:v>
      </x:c>
      <x:c r="M333" s="30" t="str">
        <x:v>{"completion_tokens": 7, "prompt_tokens": 624, "total_tokens": 631, "completion_tokens_details": null, "prompt_tokens_details": {"audio_tokens": null, "cached_tokens": 512}, "prompt_cache_hit_tokens": 512, "prompt_cache_miss_tokens": 112}</x:v>
      </x:c>
      <x:c r="N333" s="30" t="str">
        <x:v>correct</x:v>
      </x:c>
      <x:c r="O333" s="30" t="str">
        <x:v>The model answer 'Providing emotional and practical assistance' semantically matches the gold answer 'It offers emotional and practical assistance,' conveying the same complete meaning with only minor wording differences.</x:v>
      </x:c>
      <x:c r="P333" s="30" t="str">
        <x:v>LongCat-2.0</x:v>
      </x:c>
      <x:c r="Q333" s="30" t="str">
        <x:v>LongCat-2.0</x:v>
      </x:c>
      <x:c r="R333" s="30" t="n">
        <x:v>1843.54</x:v>
      </x:c>
      <x:c r="S333"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4">
      <x:c r="A334" s="30" t="str">
        <x:v>memos_long:2981</x:v>
      </x:c>
      <x:c r="B334" s="30" t="str">
        <x:v>long</x:v>
      </x:c>
      <x:c r="C334" s="30" t="str">
        <x:v>Generalization &amp; Application</x:v>
      </x:c>
      <x:c r="D334" s="30" t="n">
        <x:v>3</x:v>
      </x:c>
      <x:c r="E334" s="30" t="str">
        <x:v>How might Karen's supportive network as of 2030-01-20 assist her in achieving her career goals?</x:v>
      </x:c>
      <x:c r="F334" s="30" t="str">
        <x:v>It offers emotional and practical assistance.</x:v>
      </x:c>
      <x:c r="G334" s="30" t="str">
        <x:v>Providing emotional and practical assistance.</x:v>
      </x:c>
      <x:c r="H334" s="30" t="str">
        <x:v>deepseek-v4-flash</x:v>
      </x:c>
      <x:c r="I334" s="30" t="str">
        <x:v>deepseek-v4-flash</x:v>
      </x:c>
      <x:c r="J334" s="30" t="str">
        <x:v>d6e4173e5828d5d4ba83372a958d0e35460498c3718e773674e87a5e46698a0b</x:v>
      </x:c>
      <x:c r="K334" s="30" t="str">
        <x:v>8925b65ac27d40ba53eeb87415a706c10d7b50108e3c2214f466ebaebd7f38ba</x:v>
      </x:c>
      <x:c r="L334" s="30" t="n">
        <x:v>588.83</x:v>
      </x:c>
      <x:c r="M334" s="30" t="str">
        <x:v>{"completion_tokens": 7, "prompt_tokens": 624, "total_tokens": 631, "completion_tokens_details": null, "prompt_tokens_details": {"audio_tokens": null, "cached_tokens": 512}, "prompt_cache_hit_tokens": 512, "prompt_cache_miss_tokens": 112}</x:v>
      </x:c>
      <x:c r="N334" s="30" t="str">
        <x:v>correct</x:v>
      </x:c>
      <x:c r="O334" s="30" t="str">
        <x:v>The model answer 'Providing emotional and practical assistance' semantically matches the gold answer 'It offers emotional and practical assistance.' Both convey the same complete meaning with only minor wording differences.</x:v>
      </x:c>
      <x:c r="P334" s="30" t="str">
        <x:v>LongCat-2.0</x:v>
      </x:c>
      <x:c r="Q334" s="30" t="str">
        <x:v>LongCat-2.0</x:v>
      </x:c>
      <x:c r="R334" s="30" t="n">
        <x:v>2419.39</x:v>
      </x:c>
      <x:c r="S334" s="30" t="str">
        <x:v>{"completion_tokens": 48, "prompt_tokens": 158,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35">
      <x:c r="A335" s="30" t="str">
        <x:v>memos_long:2988</x:v>
      </x:c>
      <x:c r="B335" s="30" t="str">
        <x:v>long</x:v>
      </x:c>
      <x:c r="C335" s="30" t="str">
        <x:v>Basic Fact Recall</x:v>
      </x:c>
      <x:c r="D335" s="30" t="n">
        <x:v>1</x:v>
      </x:c>
      <x:c r="E335" s="30" t="str">
        <x:v>What pet preference did Karen Brown change on Feb 24, 2030?</x:v>
      </x:c>
      <x:c r="F335" s="30" t="str">
        <x:v>Karen Brown changed her preference from cats to seeking more companionship.</x:v>
      </x:c>
      <x:c r="G335" s="30" t="str">
        <x:v>Cats</x:v>
      </x:c>
      <x:c r="H335" s="30" t="str">
        <x:v>deepseek-v4-flash</x:v>
      </x:c>
      <x:c r="I335" s="30" t="str">
        <x:v>deepseek-v4-flash</x:v>
      </x:c>
      <x:c r="J335" s="30" t="str">
        <x:v>fc9f6a81db5db224d44dd620f3734f2f0b74e0769992ae84eca79e69f0f9565f</x:v>
      </x:c>
      <x:c r="K335" s="30" t="str">
        <x:v>7717ce9c5c989a3dda84e5dadde5ecd6bad6a11fdfa14f8a57e9ea9b965846f5</x:v>
      </x:c>
      <x:c r="L335" s="30" t="n">
        <x:v>739.93</x:v>
      </x:c>
      <x:c r="M335" s="30" t="str">
        <x:v>{"completion_tokens": 2, "prompt_tokens": 541, "total_tokens": 543, "completion_tokens_details": null, "prompt_tokens_details": {"audio_tokens": null, "cached_tokens": 512}, "prompt_cache_hit_tokens": 512, "prompt_cache_miss_tokens": 29}</x:v>
      </x:c>
      <x:c r="N335" s="30" t="str">
        <x:v>omission</x:v>
      </x:c>
      <x:c r="O335" s="30" t="str">
        <x:v>The model answer 'Cats' only provides a partial subset of the gold answer, which states that Karen Brown changed her preference from cats to seeking more companionship. The model answer does not mention the change or the new preference, making it incomplete without adding a concrete false claim.</x:v>
      </x:c>
      <x:c r="P335" s="30" t="str">
        <x:v>LongCat-2.0</x:v>
      </x:c>
      <x:c r="Q335" s="30" t="str">
        <x:v>LongCat-2.0</x:v>
      </x:c>
      <x:c r="R335" s="30" t="n">
        <x:v>3442.72</x:v>
      </x:c>
      <x:c r="S335" s="30" t="str">
        <x:v>{"completion_tokens": 68, "prompt_tokens": 152,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6">
      <x:c r="A336" s="30" t="str">
        <x:v>memos_long:2988</x:v>
      </x:c>
      <x:c r="B336" s="30" t="str">
        <x:v>long</x:v>
      </x:c>
      <x:c r="C336" s="30" t="str">
        <x:v>Basic Fact Recall</x:v>
      </x:c>
      <x:c r="D336" s="30" t="n">
        <x:v>2</x:v>
      </x:c>
      <x:c r="E336" s="30" t="str">
        <x:v>What pet preference did Karen Brown change on Feb 24, 2030?</x:v>
      </x:c>
      <x:c r="F336" s="30" t="str">
        <x:v>Karen Brown changed her preference from cats to seeking more companionship.</x:v>
      </x:c>
      <x:c r="G336" s="30" t="str">
        <x:v>Cats</x:v>
      </x:c>
      <x:c r="H336" s="30" t="str">
        <x:v>deepseek-v4-flash</x:v>
      </x:c>
      <x:c r="I336" s="30" t="str">
        <x:v>deepseek-v4-flash</x:v>
      </x:c>
      <x:c r="J336" s="30" t="str">
        <x:v>fc9f6a81db5db224d44dd620f3734f2f0b74e0769992ae84eca79e69f0f9565f</x:v>
      </x:c>
      <x:c r="K336" s="30" t="str">
        <x:v>7717ce9c5c989a3dda84e5dadde5ecd6bad6a11fdfa14f8a57e9ea9b965846f5</x:v>
      </x:c>
      <x:c r="L336" s="30" t="n">
        <x:v>711.6</x:v>
      </x:c>
      <x:c r="M336" s="30" t="str">
        <x:v>{"completion_tokens": 2, "prompt_tokens": 541, "total_tokens": 543, "completion_tokens_details": null, "prompt_tokens_details": {"audio_tokens": null, "cached_tokens": 512}, "prompt_cache_hit_tokens": 512, "prompt_cache_miss_tokens": 29}</x:v>
      </x:c>
      <x:c r="N336" s="30" t="str">
        <x:v>omission</x:v>
      </x:c>
      <x:c r="O336" s="30" t="str">
        <x:v>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x:v>
      </x:c>
      <x:c r="P336" s="30" t="str">
        <x:v>LongCat-2.0</x:v>
      </x:c>
      <x:c r="Q336" s="30" t="str">
        <x:v>LongCat-2.0</x:v>
      </x:c>
      <x:c r="R336" s="30" t="n">
        <x:v>3175.43</x:v>
      </x:c>
      <x:c r="S336" s="30" t="str">
        <x:v>{"completion_tokens": 75, "prompt_tokens": 152,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37">
      <x:c r="A337" s="30" t="str">
        <x:v>memos_long:2988</x:v>
      </x:c>
      <x:c r="B337" s="30" t="str">
        <x:v>long</x:v>
      </x:c>
      <x:c r="C337" s="30" t="str">
        <x:v>Basic Fact Recall</x:v>
      </x:c>
      <x:c r="D337" s="30" t="n">
        <x:v>3</x:v>
      </x:c>
      <x:c r="E337" s="30" t="str">
        <x:v>What pet preference did Karen Brown change on Feb 24, 2030?</x:v>
      </x:c>
      <x:c r="F337" s="30" t="str">
        <x:v>Karen Brown changed her preference from cats to seeking more companionship.</x:v>
      </x:c>
      <x:c r="G337" s="30" t="str">
        <x:v>Cats</x:v>
      </x:c>
      <x:c r="H337" s="30" t="str">
        <x:v>deepseek-v4-flash</x:v>
      </x:c>
      <x:c r="I337" s="30" t="str">
        <x:v>deepseek-v4-flash</x:v>
      </x:c>
      <x:c r="J337" s="30" t="str">
        <x:v>fc9f6a81db5db224d44dd620f3734f2f0b74e0769992ae84eca79e69f0f9565f</x:v>
      </x:c>
      <x:c r="K337" s="30" t="str">
        <x:v>7717ce9c5c989a3dda84e5dadde5ecd6bad6a11fdfa14f8a57e9ea9b965846f5</x:v>
      </x:c>
      <x:c r="L337" s="30" t="n">
        <x:v>759.93</x:v>
      </x:c>
      <x:c r="M337" s="30" t="str">
        <x:v>{"completion_tokens": 2, "prompt_tokens": 541, "total_tokens": 543, "completion_tokens_details": null, "prompt_tokens_details": {"audio_tokens": null, "cached_tokens": 512}, "prompt_cache_hit_tokens": 512, "prompt_cache_miss_tokens": 29}</x:v>
      </x:c>
      <x:c r="N337" s="30" t="str">
        <x:v>omission</x:v>
      </x:c>
      <x:c r="O337" s="30" t="str">
        <x:v>The model answer 'Cats' only provides a partial subset of the gold answer, which states that Karen Brown changed her preference from cats to seeking more companionship. The model answer does not capture the full semantic content of the gold answer, nor does it add a concrete false claim, so it is an omission.</x:v>
      </x:c>
      <x:c r="P337" s="30" t="str">
        <x:v>LongCat-2.0</x:v>
      </x:c>
      <x:c r="Q337" s="30" t="str">
        <x:v>LongCat-2.0</x:v>
      </x:c>
      <x:c r="R337" s="30" t="n">
        <x:v>2840.52</x:v>
      </x:c>
      <x:c r="S337" s="30" t="str">
        <x:v>{"completion_tokens": 75, "prompt_tokens": 152,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38">
      <x:c r="A338" s="30" t="str">
        <x:v>memos_long:3007</x:v>
      </x:c>
      <x:c r="B338" s="30" t="str">
        <x:v>long</x:v>
      </x:c>
      <x:c r="C338" s="30" t="str">
        <x:v>Generalization &amp; Application</x:v>
      </x:c>
      <x:c r="D338" s="30" t="n">
        <x:v>1</x:v>
      </x:c>
      <x:c r="E338" s="30" t="str">
        <x:v>Based on Karen Brown's recent culinary experiments, what new cuisine could she explore next?</x:v>
      </x:c>
      <x:c r="F338" s="30" t="str">
        <x:v>Karen might explore Italian cuisine.</x:v>
      </x:c>
      <x:c r="G338" s="30" t="str">
        <x:v>Asian or Mediterranean cuisine.</x:v>
      </x:c>
      <x:c r="H338" s="30" t="str">
        <x:v>deepseek-v4-flash</x:v>
      </x:c>
      <x:c r="I338" s="30" t="str">
        <x:v>deepseek-v4-flash</x:v>
      </x:c>
      <x:c r="J338" s="30" t="str">
        <x:v>8c96a64995c543bab0ab5b2f493f8a1eafa029576f649296462c5ab7b6850a5d</x:v>
      </x:c>
      <x:c r="K338" s="30" t="str">
        <x:v>631e09a50d99a1070944aefea4986e13c9f7063005fc9560b1faf96da6973867</x:v>
      </x:c>
      <x:c r="L338" s="30" t="n">
        <x:v>822.97</x:v>
      </x:c>
      <x:c r="M338" s="30" t="str">
        <x:v>{"completion_tokens": 5, "prompt_tokens": 614, "total_tokens": 619, "completion_tokens_details": null, "prompt_tokens_details": {"audio_tokens": null, "cached_tokens": 512}, "prompt_cache_hit_tokens": 512, "prompt_cache_miss_tokens": 102}</x:v>
      </x:c>
      <x:c r="N338" s="30" t="str">
        <x:v>hallucination</x:v>
      </x:c>
      <x:c r="O338" s="30" t="str">
        <x:v>The gold answer specifies Italian cuisine as the next exploration. The model answer provides 'Asian or Mediterranean cuisine,' which are concrete suggestions that contradict the gold answer and are unsupported by it.</x:v>
      </x:c>
      <x:c r="P338" s="30" t="str">
        <x:v>LongCat-2.0</x:v>
      </x:c>
      <x:c r="Q338" s="30" t="str">
        <x:v>LongCat-2.0</x:v>
      </x:c>
      <x:c r="R338" s="30" t="n">
        <x:v>2440</x:v>
      </x:c>
      <x:c r="S338" s="30" t="str">
        <x:v>{"completion_tokens": 49, "prompt_tokens": 145, "total_tokens": 194,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39">
      <x:c r="A339" s="30" t="str">
        <x:v>memos_long:3007</x:v>
      </x:c>
      <x:c r="B339" s="30" t="str">
        <x:v>long</x:v>
      </x:c>
      <x:c r="C339" s="30" t="str">
        <x:v>Generalization &amp; Application</x:v>
      </x:c>
      <x:c r="D339" s="30" t="n">
        <x:v>2</x:v>
      </x:c>
      <x:c r="E339" s="30" t="str">
        <x:v>Based on Karen Brown's recent culinary experiments, what new cuisine could she explore next?</x:v>
      </x:c>
      <x:c r="F339" s="30" t="str">
        <x:v>Karen might explore Italian cuisine.</x:v>
      </x:c>
      <x:c r="G339" s="30" t="str">
        <x:v>Asian or Mediterranean cuisine.</x:v>
      </x:c>
      <x:c r="H339" s="30" t="str">
        <x:v>deepseek-v4-flash</x:v>
      </x:c>
      <x:c r="I339" s="30" t="str">
        <x:v>deepseek-v4-flash</x:v>
      </x:c>
      <x:c r="J339" s="30" t="str">
        <x:v>8c96a64995c543bab0ab5b2f493f8a1eafa029576f649296462c5ab7b6850a5d</x:v>
      </x:c>
      <x:c r="K339" s="30" t="str">
        <x:v>631e09a50d99a1070944aefea4986e13c9f7063005fc9560b1faf96da6973867</x:v>
      </x:c>
      <x:c r="L339" s="30" t="n">
        <x:v>862.59</x:v>
      </x:c>
      <x:c r="M339" s="30" t="str">
        <x:v>{"completion_tokens": 5, "prompt_tokens": 614, "total_tokens": 619, "completion_tokens_details": null, "prompt_tokens_details": {"audio_tokens": null, "cached_tokens": 512}, "prompt_cache_hit_tokens": 512, "prompt_cache_miss_tokens": 102}</x:v>
      </x:c>
      <x:c r="N339" s="30" t="str">
        <x:v>hallucination</x:v>
      </x:c>
      <x:c r="O339" s="30" t="str">
        <x:v>The gold answer specifies Italian cuisine as the next exploration. The model answer suggests Asian or Mediterranean cuisine, which are concrete alternatives that contradict the specific gold answer of Italian cuisine.</x:v>
      </x:c>
      <x:c r="P339" s="30" t="str">
        <x:v>LongCat-2.0</x:v>
      </x:c>
      <x:c r="Q339" s="30" t="str">
        <x:v>LongCat-2.0</x:v>
      </x:c>
      <x:c r="R339" s="30" t="n">
        <x:v>2133.51</x:v>
      </x:c>
      <x:c r="S339" s="30" t="str">
        <x:v>{"completion_tokens": 47, "prompt_tokens": 145,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0">
      <x:c r="A340" s="30" t="str">
        <x:v>memos_long:3007</x:v>
      </x:c>
      <x:c r="B340" s="30" t="str">
        <x:v>long</x:v>
      </x:c>
      <x:c r="C340" s="30" t="str">
        <x:v>Generalization &amp; Application</x:v>
      </x:c>
      <x:c r="D340" s="30" t="n">
        <x:v>3</x:v>
      </x:c>
      <x:c r="E340" s="30" t="str">
        <x:v>Based on Karen Brown's recent culinary experiments, what new cuisine could she explore next?</x:v>
      </x:c>
      <x:c r="F340" s="30" t="str">
        <x:v>Karen might explore Italian cuisine.</x:v>
      </x:c>
      <x:c r="G340" s="30" t="str">
        <x:v>Asian or Mediterranean cuisine.</x:v>
      </x:c>
      <x:c r="H340" s="30" t="str">
        <x:v>deepseek-v4-flash</x:v>
      </x:c>
      <x:c r="I340" s="30" t="str">
        <x:v>deepseek-v4-flash</x:v>
      </x:c>
      <x:c r="J340" s="30" t="str">
        <x:v>8c96a64995c543bab0ab5b2f493f8a1eafa029576f649296462c5ab7b6850a5d</x:v>
      </x:c>
      <x:c r="K340" s="30" t="str">
        <x:v>631e09a50d99a1070944aefea4986e13c9f7063005fc9560b1faf96da6973867</x:v>
      </x:c>
      <x:c r="L340" s="30" t="n">
        <x:v>873.56</x:v>
      </x:c>
      <x:c r="M340" s="30" t="str">
        <x:v>{"completion_tokens": 5, "prompt_tokens": 614, "total_tokens": 619, "completion_tokens_details": null, "prompt_tokens_details": {"audio_tokens": null, "cached_tokens": 512}, "prompt_cache_hit_tokens": 512, "prompt_cache_miss_tokens": 102}</x:v>
      </x:c>
      <x:c r="N340" s="30" t="str">
        <x:v>hallucination</x:v>
      </x:c>
      <x:c r="O340" s="30" t="str">
        <x:v>The gold answer specifies Italian cuisine as the next cuisine Karen might explore. The model answer provides 'Asian or Mediterranean cuisine,' which are concrete suggestions that contradict the specific gold answer and are not supported by it.</x:v>
      </x:c>
      <x:c r="P340" s="30" t="str">
        <x:v>LongCat-2.0</x:v>
      </x:c>
      <x:c r="Q340" s="30" t="str">
        <x:v>LongCat-2.0</x:v>
      </x:c>
      <x:c r="R340" s="30" t="n">
        <x:v>2229.38</x:v>
      </x:c>
      <x:c r="S340" s="30" t="str">
        <x:v>{"completion_tokens": 54, "prompt_tokens": 145,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1">
      <x:c r="A341" s="30" t="str">
        <x:v>memos_long:3013</x:v>
      </x:c>
      <x:c r="B341" s="30" t="str">
        <x:v>long</x:v>
      </x:c>
      <x:c r="C341" s="30" t="str">
        <x:v>Generalization &amp; Application</x:v>
      </x:c>
      <x:c r="D341" s="30" t="n">
        <x:v>1</x:v>
      </x:c>
      <x:c r="E341" s="30" t="str">
        <x:v>How might Karen leverage her increased salary to enhance her platform development in 2034?</x:v>
      </x:c>
      <x:c r="F341" s="30" t="str">
        <x:v>Invest in AI-driven analytics and innovative solutions.</x:v>
      </x:c>
      <x:c r="G341" s="30" t="str">
        <x:v>Invest in AI-driven platform development.</x:v>
      </x:c>
      <x:c r="H341" s="30" t="str">
        <x:v>deepseek-v4-flash</x:v>
      </x:c>
      <x:c r="I341" s="30" t="str">
        <x:v>deepseek-v4-flash</x:v>
      </x:c>
      <x:c r="J341" s="30" t="str">
        <x:v>09e928689c8a1e8197ea0b8d38c6d2f8fc33dbc08e26af5270b161e531a2aca0</x:v>
      </x:c>
      <x:c r="K341" s="30" t="str">
        <x:v>e97645347e622d15ec477f3398a21fad353480e228fe2e3b3dcecc2d4f035347</x:v>
      </x:c>
      <x:c r="L341" s="30" t="n">
        <x:v>665.88</x:v>
      </x:c>
      <x:c r="M341" s="30" t="str">
        <x:v>{"completion_tokens": 7, "prompt_tokens": 602, "total_tokens": 609, "completion_tokens_details": null, "prompt_tokens_details": {"audio_tokens": null, "cached_tokens": 512}, "prompt_cache_hit_tokens": 512, "prompt_cache_miss_tokens": 90}</x:v>
      </x:c>
      <x:c r="N341" s="30" t="str">
        <x:v>omission</x:v>
      </x:c>
      <x:c r="O341" s="30" t="str">
        <x:v>The model answer mentions 'AI-driven platform development' but omits the 'innovative solutions' component of the gold answer, making it an incomplete subset.</x:v>
      </x:c>
      <x:c r="P341" s="30" t="str">
        <x:v>LongCat-2.0</x:v>
      </x:c>
      <x:c r="Q341" s="30" t="str">
        <x:v>LongCat-2.0</x:v>
      </x:c>
      <x:c r="R341" s="30" t="n">
        <x:v>2260.07</x:v>
      </x:c>
      <x:c r="S341" s="30" t="str">
        <x:v>{"completion_tokens": 44, "prompt_tokens": 152,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2">
      <x:c r="A342" s="30" t="str">
        <x:v>memos_long:3013</x:v>
      </x:c>
      <x:c r="B342" s="30" t="str">
        <x:v>long</x:v>
      </x:c>
      <x:c r="C342" s="30" t="str">
        <x:v>Generalization &amp; Application</x:v>
      </x:c>
      <x:c r="D342" s="30" t="n">
        <x:v>2</x:v>
      </x:c>
      <x:c r="E342" s="30" t="str">
        <x:v>How might Karen leverage her increased salary to enhance her platform development in 2034?</x:v>
      </x:c>
      <x:c r="F342" s="30" t="str">
        <x:v>Invest in AI-driven analytics and innovative solutions.</x:v>
      </x:c>
      <x:c r="G342" s="30" t="str">
        <x:v>Invest in AI-driven solutions.</x:v>
      </x:c>
      <x:c r="H342" s="30" t="str">
        <x:v>deepseek-v4-flash</x:v>
      </x:c>
      <x:c r="I342" s="30" t="str">
        <x:v>deepseek-v4-flash</x:v>
      </x:c>
      <x:c r="J342" s="30" t="str">
        <x:v>09e928689c8a1e8197ea0b8d38c6d2f8fc33dbc08e26af5270b161e531a2aca0</x:v>
      </x:c>
      <x:c r="K342" s="30" t="str">
        <x:v>e97645347e622d15ec477f3398a21fad353480e228fe2e3b3dcecc2d4f035347</x:v>
      </x:c>
      <x:c r="L342" s="30" t="n">
        <x:v>817.67</x:v>
      </x:c>
      <x:c r="M342" s="30" t="str">
        <x:v>{"completion_tokens": 6, "prompt_tokens": 602, "total_tokens": 608, "completion_tokens_details": null, "prompt_tokens_details": {"audio_tokens": null, "cached_tokens": 512}, "prompt_cache_hit_tokens": 512, "prompt_cache_miss_tokens": 90}</x:v>
      </x:c>
      <x:c r="N342" s="30" t="str">
        <x:v>omission</x:v>
      </x:c>
      <x:c r="O342" s="30" t="str">
        <x:v>The model answer 'Invest in AI-driven solutions' captures part of the gold answer but omits 'analytics and innovative', which are key components of the complete gold answer. No false claim is added, but the answer is incomplete.</x:v>
      </x:c>
      <x:c r="P342" s="30" t="str">
        <x:v>LongCat-2.0</x:v>
      </x:c>
      <x:c r="Q342" s="30" t="str">
        <x:v>LongCat-2.0</x:v>
      </x:c>
      <x:c r="R342" s="30" t="n">
        <x:v>7186.04</x:v>
      </x:c>
      <x:c r="S342" s="30" t="str">
        <x:v>{"completion_tokens": 58, "prompt_tokens": 151,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43">
      <x:c r="A343" s="30" t="str">
        <x:v>memos_long:3013</x:v>
      </x:c>
      <x:c r="B343" s="30" t="str">
        <x:v>long</x:v>
      </x:c>
      <x:c r="C343" s="30" t="str">
        <x:v>Generalization &amp; Application</x:v>
      </x:c>
      <x:c r="D343" s="30" t="n">
        <x:v>3</x:v>
      </x:c>
      <x:c r="E343" s="30" t="str">
        <x:v>How might Karen leverage her increased salary to enhance her platform development in 2034?</x:v>
      </x:c>
      <x:c r="F343" s="30" t="str">
        <x:v>Invest in AI-driven analytics and innovative solutions.</x:v>
      </x:c>
      <x:c r="G343" s="30" t="str">
        <x:v>Invest in AI-driven platform development.</x:v>
      </x:c>
      <x:c r="H343" s="30" t="str">
        <x:v>deepseek-v4-flash</x:v>
      </x:c>
      <x:c r="I343" s="30" t="str">
        <x:v>deepseek-v4-flash</x:v>
      </x:c>
      <x:c r="J343" s="30" t="str">
        <x:v>09e928689c8a1e8197ea0b8d38c6d2f8fc33dbc08e26af5270b161e531a2aca0</x:v>
      </x:c>
      <x:c r="K343" s="30" t="str">
        <x:v>e97645347e622d15ec477f3398a21fad353480e228fe2e3b3dcecc2d4f035347</x:v>
      </x:c>
      <x:c r="L343" s="30" t="n">
        <x:v>612.89</x:v>
      </x:c>
      <x:c r="M343" s="30" t="str">
        <x:v>{"completion_tokens": 7, "prompt_tokens": 602, "total_tokens": 609, "completion_tokens_details": null, "prompt_tokens_details": {"audio_tokens": null, "cached_tokens": 512}, "prompt_cache_hit_tokens": 512, "prompt_cache_miss_tokens": 90}</x:v>
      </x:c>
      <x:c r="N343" s="30" t="str">
        <x:v>omission</x:v>
      </x:c>
      <x:c r="O343" s="30" t="str">
        <x:v>The model answer mentions 'AI-driven platform development' but omits the 'innovative solutions' component of the gold answer, making it an incomplete subset.</x:v>
      </x:c>
      <x:c r="P343" s="30" t="str">
        <x:v>LongCat-2.0</x:v>
      </x:c>
      <x:c r="Q343" s="30" t="str">
        <x:v>LongCat-2.0</x:v>
      </x:c>
      <x:c r="R343" s="30" t="n">
        <x:v>2219.65</x:v>
      </x:c>
      <x:c r="S343" s="30" t="str">
        <x:v>{"completion_tokens": 44, "prompt_tokens": 152, "total_tokens": 196,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44">
      <x:c r="A344" s="30" t="str">
        <x:v>memos_long:3026</x:v>
      </x:c>
      <x:c r="B344" s="30" t="str">
        <x:v>long</x:v>
      </x:c>
      <x:c r="C344" s="30" t="str">
        <x:v>Generalization &amp; Application</x:v>
      </x:c>
      <x:c r="D344" s="30" t="n">
        <x:v>1</x:v>
      </x:c>
      <x:c r="E344" s="30" t="str">
        <x:v>What herbal tea blend might Karen explore next based on her preferences noted on Feb 02, 2035?</x:v>
      </x:c>
      <x:c r="F344" s="30" t="str">
        <x:v>Chamomile tea for calming and focus enhancement.</x:v>
      </x:c>
      <x:c r="G344" s="30" t="str">
        <x:v>Other herbal blends</x:v>
      </x:c>
      <x:c r="H344" s="30" t="str">
        <x:v>deepseek-v4-flash</x:v>
      </x:c>
      <x:c r="I344" s="30" t="str">
        <x:v>deepseek-v4-flash</x:v>
      </x:c>
      <x:c r="J344" s="30" t="str">
        <x:v>3e0606deea370c4cac950f1fe87f5a8ae45f2a09797f32e622b66e3d7b5a64f4</x:v>
      </x:c>
      <x:c r="K344" s="30" t="str">
        <x:v>86b066073eda65d61eda623284c806441356b2ef0e42f580f302b421f67bbb2d</x:v>
      </x:c>
      <x:c r="L344" s="30" t="n">
        <x:v>708.94</x:v>
      </x:c>
      <x:c r="M344" s="30" t="str">
        <x:v>{"completion_tokens": 3, "prompt_tokens": 602, "total_tokens": 605, "completion_tokens_details": null, "prompt_tokens_details": {"audio_tokens": null, "cached_tokens": 512}, "prompt_cache_hit_tokens": 512, "prompt_cache_miss_tokens": 90}</x:v>
      </x:c>
      <x:c r="N344" s="30" t="str">
        <x:v>omission</x:v>
      </x:c>
      <x:c r="O344" s="30" t="str">
        <x:v>The model answer 'Other herbal blends' is vague and does not provide the specific herbal tea blend (chamomile tea for calming and focus enhancement) given in the gold answer. It gives only an incomplete, generic response without adding a concrete false claim, which fits the definition of omission.</x:v>
      </x:c>
      <x:c r="P344" s="30" t="str">
        <x:v>LongCat-2.0</x:v>
      </x:c>
      <x:c r="Q344" s="30" t="str">
        <x:v>LongCat-2.0</x:v>
      </x:c>
      <x:c r="R344" s="30" t="n">
        <x:v>3246.86</x:v>
      </x:c>
      <x:c r="S344" s="30" t="str">
        <x:v>{"completion_tokens": 71, "prompt_tokens": 157,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5">
      <x:c r="A345" s="30" t="str">
        <x:v>memos_long:3026</x:v>
      </x:c>
      <x:c r="B345" s="30" t="str">
        <x:v>long</x:v>
      </x:c>
      <x:c r="C345" s="30" t="str">
        <x:v>Generalization &amp; Application</x:v>
      </x:c>
      <x:c r="D345" s="30" t="n">
        <x:v>2</x:v>
      </x:c>
      <x:c r="E345" s="30" t="str">
        <x:v>What herbal tea blend might Karen explore next based on her preferences noted on Feb 02, 2035?</x:v>
      </x:c>
      <x:c r="F345" s="30" t="str">
        <x:v>Chamomile tea for calming and focus enhancement.</x:v>
      </x:c>
      <x:c r="G345" s="30" t="str">
        <x:v>Other herbal blends</x:v>
      </x:c>
      <x:c r="H345" s="30" t="str">
        <x:v>deepseek-v4-flash</x:v>
      </x:c>
      <x:c r="I345" s="30" t="str">
        <x:v>deepseek-v4-flash</x:v>
      </x:c>
      <x:c r="J345" s="30" t="str">
        <x:v>3e0606deea370c4cac950f1fe87f5a8ae45f2a09797f32e622b66e3d7b5a64f4</x:v>
      </x:c>
      <x:c r="K345" s="30" t="str">
        <x:v>86b066073eda65d61eda623284c806441356b2ef0e42f580f302b421f67bbb2d</x:v>
      </x:c>
      <x:c r="L345" s="30" t="n">
        <x:v>868.79</x:v>
      </x:c>
      <x:c r="M345" s="30" t="str">
        <x:v>{"completion_tokens": 3, "prompt_tokens": 602, "total_tokens": 605, "completion_tokens_details": null, "prompt_tokens_details": {"audio_tokens": null, "cached_tokens": 512}, "prompt_cache_hit_tokens": 512, "prompt_cache_miss_tokens": 90}</x:v>
      </x:c>
      <x:c r="N345" s="30" t="str">
        <x:v>omission</x:v>
      </x:c>
      <x:c r="O345" s="30" t="str">
        <x:v>The model answer 'Other herbal blends' is vague and does not provide the specific herbal tea blend (chamomile tea for calming and focus enhancement) given in the gold answer. It offers no concrete or complete information, making it an omission.</x:v>
      </x:c>
      <x:c r="P345" s="30" t="str">
        <x:v>LongCat-2.0</x:v>
      </x:c>
      <x:c r="Q345" s="30" t="str">
        <x:v>LongCat-2.0</x:v>
      </x:c>
      <x:c r="R345" s="30" t="n">
        <x:v>3318.8</x:v>
      </x:c>
      <x:c r="S345" s="30" t="str">
        <x:v>{"completion_tokens": 62, "prompt_tokens": 157,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6">
      <x:c r="A346" s="30" t="str">
        <x:v>memos_long:3026</x:v>
      </x:c>
      <x:c r="B346" s="30" t="str">
        <x:v>long</x:v>
      </x:c>
      <x:c r="C346" s="30" t="str">
        <x:v>Generalization &amp; Application</x:v>
      </x:c>
      <x:c r="D346" s="30" t="n">
        <x:v>3</x:v>
      </x:c>
      <x:c r="E346" s="30" t="str">
        <x:v>What herbal tea blend might Karen explore next based on her preferences noted on Feb 02, 2035?</x:v>
      </x:c>
      <x:c r="F346" s="30" t="str">
        <x:v>Chamomile tea for calming and focus enhancement.</x:v>
      </x:c>
      <x:c r="G346" s="30" t="str">
        <x:v>Other herbal blends</x:v>
      </x:c>
      <x:c r="H346" s="30" t="str">
        <x:v>deepseek-v4-flash</x:v>
      </x:c>
      <x:c r="I346" s="30" t="str">
        <x:v>deepseek-v4-flash</x:v>
      </x:c>
      <x:c r="J346" s="30" t="str">
        <x:v>3e0606deea370c4cac950f1fe87f5a8ae45f2a09797f32e622b66e3d7b5a64f4</x:v>
      </x:c>
      <x:c r="K346" s="30" t="str">
        <x:v>86b066073eda65d61eda623284c806441356b2ef0e42f580f302b421f67bbb2d</x:v>
      </x:c>
      <x:c r="L346" s="30" t="n">
        <x:v>668.39</x:v>
      </x:c>
      <x:c r="M346" s="30" t="str">
        <x:v>{"completion_tokens": 3, "prompt_tokens": 602, "total_tokens": 605, "completion_tokens_details": null, "prompt_tokens_details": {"audio_tokens": null, "cached_tokens": 512}, "prompt_cache_hit_tokens": 512, "prompt_cache_miss_tokens": 90}</x:v>
      </x:c>
      <x:c r="N346" s="30" t="str">
        <x:v>omission</x:v>
      </x:c>
      <x:c r="O346" s="30" t="str">
        <x:v>The model answer 'Other herbal blends' is vague and does not provide the specific herbal tea blend (chamomile tea for calming and focus enhancement) given in the gold answer. It offers no concrete or complete information matching the gold answer, making it an omission.</x:v>
      </x:c>
      <x:c r="P346" s="30" t="str">
        <x:v>LongCat-2.0</x:v>
      </x:c>
      <x:c r="Q346" s="30" t="str">
        <x:v>LongCat-2.0</x:v>
      </x:c>
      <x:c r="R346" s="30" t="n">
        <x:v>2956.73</x:v>
      </x:c>
      <x:c r="S346" s="30" t="str">
        <x:v>{"completion_tokens": 66, "prompt_tokens": 157,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47">
      <x:c r="A347" s="30" t="str">
        <x:v>memos_long:3035</x:v>
      </x:c>
      <x:c r="B347" s="30" t="str">
        <x:v>long</x:v>
      </x:c>
      <x:c r="C347" s="30" t="str">
        <x:v>Multi-hop Inference</x:v>
      </x:c>
      <x:c r="D347" s="30" t="n">
        <x:v>1</x:v>
      </x:c>
      <x:c r="E347" s="30" t="str">
        <x:v>How did Karen's savings buffer contribute to her entrepreneurial transition after February 28, 2035?</x:v>
      </x:c>
      <x:c r="F347" s="30" t="str">
        <x:v>Provided financial stability during career transition.</x:v>
      </x:c>
      <x:c r="G347" s="30" t="str">
        <x:v>Provided financial security.</x:v>
      </x:c>
      <x:c r="H347" s="30" t="str">
        <x:v>deepseek-v4-flash</x:v>
      </x:c>
      <x:c r="I347" s="30" t="str">
        <x:v>deepseek-v4-flash</x:v>
      </x:c>
      <x:c r="J347" s="30" t="str">
        <x:v>90fea1d83ee7f0a97ed35bf04f4cabe51684d9b161ebc421f0f6c13a9ee25f3c</x:v>
      </x:c>
      <x:c r="K347" s="30" t="str">
        <x:v>35b237c49d3a0eae611dad5385eb1f3da707b5b1d315ddd83ddb374eb7716f68</x:v>
      </x:c>
      <x:c r="L347" s="30" t="n">
        <x:v>867.48</x:v>
      </x:c>
      <x:c r="M347" s="30" t="str">
        <x:v>{"completion_tokens": 4, "prompt_tokens": 568, "total_tokens": 572, "completion_tokens_details": null, "prompt_tokens_details": {"audio_tokens": null, "cached_tokens": 512}, "prompt_cache_hit_tokens": 512, "prompt_cache_miss_tokens": 56}</x:v>
      </x:c>
      <x:c r="N347" s="30" t="str">
        <x:v>correct</x:v>
      </x:c>
      <x:c r="O347"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x:v>
      </x:c>
      <x:c r="P347" s="30" t="str">
        <x:v>LongCat-2.0</x:v>
      </x:c>
      <x:c r="Q347" s="30" t="str">
        <x:v>LongCat-2.0</x:v>
      </x:c>
      <x:c r="R347" s="30" t="n">
        <x:v>3060.32</x:v>
      </x:c>
      <x:c r="S347"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48">
      <x:c r="A348" s="30" t="str">
        <x:v>memos_long:3035</x:v>
      </x:c>
      <x:c r="B348" s="30" t="str">
        <x:v>long</x:v>
      </x:c>
      <x:c r="C348" s="30" t="str">
        <x:v>Multi-hop Inference</x:v>
      </x:c>
      <x:c r="D348" s="30" t="n">
        <x:v>2</x:v>
      </x:c>
      <x:c r="E348" s="30" t="str">
        <x:v>How did Karen's savings buffer contribute to her entrepreneurial transition after February 28, 2035?</x:v>
      </x:c>
      <x:c r="F348" s="30" t="str">
        <x:v>Provided financial stability during career transition.</x:v>
      </x:c>
      <x:c r="G348" s="30" t="str">
        <x:v>Provided financial security.</x:v>
      </x:c>
      <x:c r="H348" s="30" t="str">
        <x:v>deepseek-v4-flash</x:v>
      </x:c>
      <x:c r="I348" s="30" t="str">
        <x:v>deepseek-v4-flash</x:v>
      </x:c>
      <x:c r="J348" s="30" t="str">
        <x:v>90fea1d83ee7f0a97ed35bf04f4cabe51684d9b161ebc421f0f6c13a9ee25f3c</x:v>
      </x:c>
      <x:c r="K348" s="30" t="str">
        <x:v>35b237c49d3a0eae611dad5385eb1f3da707b5b1d315ddd83ddb374eb7716f68</x:v>
      </x:c>
      <x:c r="L348" s="30" t="n">
        <x:v>713.18</x:v>
      </x:c>
      <x:c r="M348" s="30" t="str">
        <x:v>{"completion_tokens": 4, "prompt_tokens": 568, "total_tokens": 572, "completion_tokens_details": null, "prompt_tokens_details": {"audio_tokens": null, "cached_tokens": 512}, "prompt_cache_hit_tokens": 512, "prompt_cache_miss_tokens": 56}</x:v>
      </x:c>
      <x:c r="N348" s="30" t="str">
        <x:v>correct</x:v>
      </x:c>
      <x:c r="O348"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unsupported material.</x:v>
      </x:c>
      <x:c r="P348" s="30" t="str">
        <x:v>LongCat-2.0</x:v>
      </x:c>
      <x:c r="Q348" s="30" t="str">
        <x:v>LongCat-2.0</x:v>
      </x:c>
      <x:c r="R348" s="30" t="n">
        <x:v>3233.47</x:v>
      </x:c>
      <x:c r="S348" s="30" t="str">
        <x:v>{"completion_tokens": 63, "prompt_tokens": 151,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49">
      <x:c r="A349" s="30" t="str">
        <x:v>memos_long:3035</x:v>
      </x:c>
      <x:c r="B349" s="30" t="str">
        <x:v>long</x:v>
      </x:c>
      <x:c r="C349" s="30" t="str">
        <x:v>Multi-hop Inference</x:v>
      </x:c>
      <x:c r="D349" s="30" t="n">
        <x:v>3</x:v>
      </x:c>
      <x:c r="E349" s="30" t="str">
        <x:v>How did Karen's savings buffer contribute to her entrepreneurial transition after February 28, 2035?</x:v>
      </x:c>
      <x:c r="F349" s="30" t="str">
        <x:v>Provided financial stability during career transition.</x:v>
      </x:c>
      <x:c r="G349" s="30" t="str">
        <x:v>Provided financial security.</x:v>
      </x:c>
      <x:c r="H349" s="30" t="str">
        <x:v>deepseek-v4-flash</x:v>
      </x:c>
      <x:c r="I349" s="30" t="str">
        <x:v>deepseek-v4-flash</x:v>
      </x:c>
      <x:c r="J349" s="30" t="str">
        <x:v>90fea1d83ee7f0a97ed35bf04f4cabe51684d9b161ebc421f0f6c13a9ee25f3c</x:v>
      </x:c>
      <x:c r="K349" s="30" t="str">
        <x:v>35b237c49d3a0eae611dad5385eb1f3da707b5b1d315ddd83ddb374eb7716f68</x:v>
      </x:c>
      <x:c r="L349" s="30" t="n">
        <x:v>764.58</x:v>
      </x:c>
      <x:c r="M349" s="30" t="str">
        <x:v>{"completion_tokens": 4, "prompt_tokens": 568, "total_tokens": 572, "completion_tokens_details": null, "prompt_tokens_details": {"audio_tokens": null, "cached_tokens": 512}, "prompt_cache_hit_tokens": 512, "prompt_cache_miss_tokens": 56}</x:v>
      </x:c>
      <x:c r="N349" s="30" t="str">
        <x:v>correct</x:v>
      </x:c>
      <x:c r="O349"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contradiction or missing information.</x:v>
      </x:c>
      <x:c r="P349" s="30" t="str">
        <x:v>LongCat-2.0</x:v>
      </x:c>
      <x:c r="Q349" s="30" t="str">
        <x:v>LongCat-2.0</x:v>
      </x:c>
      <x:c r="R349" s="30" t="n">
        <x:v>2716.87</x:v>
      </x:c>
      <x:c r="S349"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0">
      <x:c r="A350" s="30" t="str">
        <x:v>memos_long:3038</x:v>
      </x:c>
      <x:c r="B350" s="30" t="str">
        <x:v>long</x:v>
      </x:c>
      <x:c r="C350" s="30" t="str">
        <x:v>Generalization &amp; Application</x:v>
      </x:c>
      <x:c r="D350" s="30" t="n">
        <x:v>1</x:v>
      </x:c>
      <x:c r="E350" s="30" t="str">
        <x:v>What new cooking method might Karen Brown explore after March 10, 2036, to enhance her meals?</x:v>
      </x:c>
      <x:c r="F350" s="30" t="str">
        <x:v>Karen might explore smoking other types of foods.</x:v>
      </x:c>
      <x:c r="G350" s="30" t="str">
        <x:v>Smoking salmon at home.</x:v>
      </x:c>
      <x:c r="H350" s="30" t="str">
        <x:v>deepseek-v4-flash</x:v>
      </x:c>
      <x:c r="I350" s="30" t="str">
        <x:v>deepseek-v4-flash</x:v>
      </x:c>
      <x:c r="J350" s="30" t="str">
        <x:v>537e8dba92c9ab8a6be0d41a93ca3dc9a0175b6bafe6c9559080a8d371aee671</x:v>
      </x:c>
      <x:c r="K350" s="30" t="str">
        <x:v>f4fc258907811cced28aa7f7b9ec0931fe0b8838e4ceb571a4747c8428b1f689</x:v>
      </x:c>
      <x:c r="L350" s="30" t="n">
        <x:v>810.15</x:v>
      </x:c>
      <x:c r="M350" s="30" t="str">
        <x:v>{"completion_tokens": 6, "prompt_tokens": 574, "total_tokens": 580, "completion_tokens_details": null, "prompt_tokens_details": {"audio_tokens": null, "cached_tokens": 512}, "prompt_cache_hit_tokens": 512, "prompt_cache_miss_tokens": 62}</x:v>
      </x:c>
      <x:c r="N350" s="30" t="str">
        <x:v>omission</x:v>
      </x:c>
      <x:c r="O350" s="30" t="str">
        <x:v>The gold answer is 'smoking other types of foods,' which is a general statement about exploring smoking as a cooking method for various foods. The model answer 'Smoking salmon at home' provides only a single specific example (salmon) rather than the broader concept of 'other types of foods.' While salmon is a type of food, the answer narrows the scope to just one food item and adds the unsupported detail 'at home,' failing to capture the complete semantic meaning of the gold answer about exploring smoking other types of foods in general.</x:v>
      </x:c>
      <x:c r="P350" s="30" t="str">
        <x:v>LongCat-2.0</x:v>
      </x:c>
      <x:c r="Q350" s="30" t="str">
        <x:v>LongCat-2.0</x:v>
      </x:c>
      <x:c r="R350" s="30" t="n">
        <x:v>4509.74</x:v>
      </x:c>
      <x:c r="S350" s="30" t="str">
        <x:v>{"completion_tokens": 121, "prompt_tokens": 157, "total_tokens": 278,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1">
      <x:c r="A351" s="30" t="str">
        <x:v>memos_long:3038</x:v>
      </x:c>
      <x:c r="B351" s="30" t="str">
        <x:v>long</x:v>
      </x:c>
      <x:c r="C351" s="30" t="str">
        <x:v>Generalization &amp; Application</x:v>
      </x:c>
      <x:c r="D351" s="30" t="n">
        <x:v>2</x:v>
      </x:c>
      <x:c r="E351" s="30" t="str">
        <x:v>What new cooking method might Karen Brown explore after March 10, 2036, to enhance her meals?</x:v>
      </x:c>
      <x:c r="F351" s="30" t="str">
        <x:v>Karen might explore smoking other types of foods.</x:v>
      </x:c>
      <x:c r="G351" s="30" t="str">
        <x:v>Smoking salmon at home.</x:v>
      </x:c>
      <x:c r="H351" s="30" t="str">
        <x:v>deepseek-v4-flash</x:v>
      </x:c>
      <x:c r="I351" s="30" t="str">
        <x:v>deepseek-v4-flash</x:v>
      </x:c>
      <x:c r="J351" s="30" t="str">
        <x:v>537e8dba92c9ab8a6be0d41a93ca3dc9a0175b6bafe6c9559080a8d371aee671</x:v>
      </x:c>
      <x:c r="K351" s="30" t="str">
        <x:v>f4fc258907811cced28aa7f7b9ec0931fe0b8838e4ceb571a4747c8428b1f689</x:v>
      </x:c>
      <x:c r="L351" s="30" t="n">
        <x:v>603.14</x:v>
      </x:c>
      <x:c r="M351" s="30" t="str">
        <x:v>{"completion_tokens": 6, "prompt_tokens": 574, "total_tokens": 580, "completion_tokens_details": null, "prompt_tokens_details": {"audio_tokens": null, "cached_tokens": 512}, "prompt_cache_hit_tokens": 512, "prompt_cache_miss_tokens": 62}</x:v>
      </x:c>
      <x:c r="N351" s="30" t="str">
        <x:v>omission</x:v>
      </x:c>
      <x:c r="O351" s="30" t="str">
        <x:v>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x:v>
      </x:c>
      <x:c r="P351" s="30" t="str">
        <x:v>LongCat-2.0</x:v>
      </x:c>
      <x:c r="Q351" s="30" t="str">
        <x:v>LongCat-2.0</x:v>
      </x:c>
      <x:c r="R351" s="30" t="n">
        <x:v>4278.3</x:v>
      </x:c>
      <x:c r="S351" s="30" t="str">
        <x:v>{"completion_tokens": 137, "prompt_tokens": 157, "total_tokens": 294,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52">
      <x:c r="A352" s="30" t="str">
        <x:v>memos_long:3038</x:v>
      </x:c>
      <x:c r="B352" s="30" t="str">
        <x:v>long</x:v>
      </x:c>
      <x:c r="C352" s="30" t="str">
        <x:v>Generalization &amp; Application</x:v>
      </x:c>
      <x:c r="D352" s="30" t="n">
        <x:v>3</x:v>
      </x:c>
      <x:c r="E352" s="30" t="str">
        <x:v>What new cooking method might Karen Brown explore after March 10, 2036, to enhance her meals?</x:v>
      </x:c>
      <x:c r="F352" s="30" t="str">
        <x:v>Karen might explore smoking other types of foods.</x:v>
      </x:c>
      <x:c r="G352" s="30" t="str">
        <x:v>Smoking salmon at home.</x:v>
      </x:c>
      <x:c r="H352" s="30" t="str">
        <x:v>deepseek-v4-flash</x:v>
      </x:c>
      <x:c r="I352" s="30" t="str">
        <x:v>deepseek-v4-flash</x:v>
      </x:c>
      <x:c r="J352" s="30" t="str">
        <x:v>537e8dba92c9ab8a6be0d41a93ca3dc9a0175b6bafe6c9559080a8d371aee671</x:v>
      </x:c>
      <x:c r="K352" s="30" t="str">
        <x:v>f4fc258907811cced28aa7f7b9ec0931fe0b8838e4ceb571a4747c8428b1f689</x:v>
      </x:c>
      <x:c r="L352" s="30" t="n">
        <x:v>682.69</x:v>
      </x:c>
      <x:c r="M352" s="30" t="str">
        <x:v>{"completion_tokens": 6, "prompt_tokens": 574, "total_tokens": 580, "completion_tokens_details": null, "prompt_tokens_details": {"audio_tokens": null, "cached_tokens": 512}, "prompt_cache_hit_tokens": 512, "prompt_cache_miss_tokens": 62}</x:v>
      </x:c>
      <x:c r="N352" s="30" t="str">
        <x:v>omission</x:v>
      </x:c>
      <x:c r="O352" s="30" t="str">
        <x:v>The gold answer states that Karen might explore smoking other types of foods, which is a general category. The model answer specifies 'smoking salmon at home,' which is a concrete example of smoking other types of foods. While salmon is a type of food that could be smoked, the model answer narrows the scope to a specific food item and adds the detail 'at home,' which is not mentioned in the gold answer. However, the key issue is that the model answer does not fully capture the general idea of 'other types of foods' and instead provides a specific instance, making it an incomplete subset of the gold answer.</x:v>
      </x:c>
      <x:c r="P352" s="30" t="str">
        <x:v>LongCat-2.0</x:v>
      </x:c>
      <x:c r="Q352" s="30" t="str">
        <x:v>LongCat-2.0</x:v>
      </x:c>
      <x:c r="R352" s="30" t="n">
        <x:v>4199.83</x:v>
      </x:c>
      <x:c r="S352" s="30" t="str">
        <x:v>{"completion_tokens": 137, "prompt_tokens": 157, "total_tokens": 294,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3">
      <x:c r="A353" s="30" t="str">
        <x:v>memos_long:3043</x:v>
      </x:c>
      <x:c r="B353" s="30" t="str">
        <x:v>long</x:v>
      </x:c>
      <x:c r="C353" s="30" t="str">
        <x:v>Basic Fact Recall</x:v>
      </x:c>
      <x:c r="D353" s="30" t="n">
        <x:v>1</x:v>
      </x:c>
      <x:c r="E353" s="30" t="str">
        <x:v>What pet preference did Karen Brown update on Sep 26, 2036?</x:v>
      </x:c>
      <x:c r="F353" s="30" t="str">
        <x:v>Socially interactive pets for more emotional support.</x:v>
      </x:c>
      <x:c r="G353" s="30" t="str">
        <x:v>Socially interactive pets</x:v>
      </x:c>
      <x:c r="H353" s="30" t="str">
        <x:v>deepseek-v4-flash</x:v>
      </x:c>
      <x:c r="I353" s="30" t="str">
        <x:v>deepseek-v4-flash</x:v>
      </x:c>
      <x:c r="J353" s="30" t="str">
        <x:v>587b7d2274801502bf7db631e5390ef5fbf49dd25b1a04fc2da16df47f6e5bd4</x:v>
      </x:c>
      <x:c r="K353" s="30" t="str">
        <x:v>a5df5937f1553400a40594f2b80ef38c9ef8f591f0f42e8669ec6c6a19e193cb</x:v>
      </x:c>
      <x:c r="L353" s="30" t="n">
        <x:v>515.11</x:v>
      </x:c>
      <x:c r="M353" s="30" t="str">
        <x:v>{"completion_tokens": 4, "prompt_tokens": 533, "total_tokens": 537, "completion_tokens_details": null, "prompt_tokens_details": {"audio_tokens": null, "cached_tokens": 512}, "prompt_cache_hit_tokens": 512, "prompt_cache_miss_tokens": 21}</x:v>
      </x:c>
      <x:c r="N353" s="30" t="str">
        <x:v>omission</x:v>
      </x:c>
      <x:c r="O353" s="30" t="str">
        <x:v>The model answer 'Socially interactive pets' captures part of the gold answer but omits the key purpose 'for more emotional support,' making it an incomplete subset of the full answer.</x:v>
      </x:c>
      <x:c r="P353" s="30" t="str">
        <x:v>LongCat-2.0</x:v>
      </x:c>
      <x:c r="Q353" s="30" t="str">
        <x:v>LongCat-2.0</x:v>
      </x:c>
      <x:c r="R353" s="30" t="n">
        <x:v>2688.85</x:v>
      </x:c>
      <x:c r="S353" s="30" t="str">
        <x:v>{"completion_tokens": 49, "prompt_tokens": 150, "total_tokens": 199,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54">
      <x:c r="A354" s="30" t="str">
        <x:v>memos_long:3043</x:v>
      </x:c>
      <x:c r="B354" s="30" t="str">
        <x:v>long</x:v>
      </x:c>
      <x:c r="C354" s="30" t="str">
        <x:v>Basic Fact Recall</x:v>
      </x:c>
      <x:c r="D354" s="30" t="n">
        <x:v>2</x:v>
      </x:c>
      <x:c r="E354" s="30" t="str">
        <x:v>What pet preference did Karen Brown update on Sep 26, 2036?</x:v>
      </x:c>
      <x:c r="F354" s="30" t="str">
        <x:v>Socially interactive pets for more emotional support.</x:v>
      </x:c>
      <x:c r="G354" s="30" t="str">
        <x:v>Socially interactive pets</x:v>
      </x:c>
      <x:c r="H354" s="30" t="str">
        <x:v>deepseek-v4-flash</x:v>
      </x:c>
      <x:c r="I354" s="30" t="str">
        <x:v>deepseek-v4-flash</x:v>
      </x:c>
      <x:c r="J354" s="30" t="str">
        <x:v>587b7d2274801502bf7db631e5390ef5fbf49dd25b1a04fc2da16df47f6e5bd4</x:v>
      </x:c>
      <x:c r="K354" s="30" t="str">
        <x:v>a5df5937f1553400a40594f2b80ef38c9ef8f591f0f42e8669ec6c6a19e193cb</x:v>
      </x:c>
      <x:c r="L354" s="30" t="n">
        <x:v>775.53</x:v>
      </x:c>
      <x:c r="M354" s="30" t="str">
        <x:v>{"completion_tokens": 4, "prompt_tokens": 533, "total_tokens": 537, "completion_tokens_details": null, "prompt_tokens_details": {"audio_tokens": null, "cached_tokens": 512}, "prompt_cache_hit_tokens": 512, "prompt_cache_miss_tokens": 21}</x:v>
      </x:c>
      <x:c r="N354" s="30" t="str">
        <x:v>omission</x:v>
      </x:c>
      <x:c r="O354" s="30" t="str">
        <x:v>The model answer 'Socially interactive pets' captures part of the gold answer but omits the key purpose 'for more emotional support,' making it an incomplete subset of the full answer.</x:v>
      </x:c>
      <x:c r="P354" s="30" t="str">
        <x:v>LongCat-2.0</x:v>
      </x:c>
      <x:c r="Q354" s="30" t="str">
        <x:v>LongCat-2.0</x:v>
      </x:c>
      <x:c r="R354" s="30" t="n">
        <x:v>1995.31</x:v>
      </x:c>
      <x:c r="S354" s="30" t="str">
        <x:v>{"completion_tokens": 49, "prompt_tokens": 150,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5">
      <x:c r="A355" s="30" t="str">
        <x:v>memos_long:3043</x:v>
      </x:c>
      <x:c r="B355" s="30" t="str">
        <x:v>long</x:v>
      </x:c>
      <x:c r="C355" s="30" t="str">
        <x:v>Basic Fact Recall</x:v>
      </x:c>
      <x:c r="D355" s="30" t="n">
        <x:v>3</x:v>
      </x:c>
      <x:c r="E355" s="30" t="str">
        <x:v>What pet preference did Karen Brown update on Sep 26, 2036?</x:v>
      </x:c>
      <x:c r="F355" s="30" t="str">
        <x:v>Socially interactive pets for more emotional support.</x:v>
      </x:c>
      <x:c r="G355" s="30" t="str">
        <x:v>Socially interactive pets</x:v>
      </x:c>
      <x:c r="H355" s="30" t="str">
        <x:v>deepseek-v4-flash</x:v>
      </x:c>
      <x:c r="I355" s="30" t="str">
        <x:v>deepseek-v4-flash</x:v>
      </x:c>
      <x:c r="J355" s="30" t="str">
        <x:v>587b7d2274801502bf7db631e5390ef5fbf49dd25b1a04fc2da16df47f6e5bd4</x:v>
      </x:c>
      <x:c r="K355" s="30" t="str">
        <x:v>a5df5937f1553400a40594f2b80ef38c9ef8f591f0f42e8669ec6c6a19e193cb</x:v>
      </x:c>
      <x:c r="L355" s="30" t="n">
        <x:v>655.54</x:v>
      </x:c>
      <x:c r="M355" s="30" t="str">
        <x:v>{"completion_tokens": 4, "prompt_tokens": 533, "total_tokens": 537, "completion_tokens_details": null, "prompt_tokens_details": {"audio_tokens": null, "cached_tokens": 512}, "prompt_cache_hit_tokens": 512, "prompt_cache_miss_tokens": 21}</x:v>
      </x:c>
      <x:c r="N355" s="30" t="str">
        <x:v>omission</x:v>
      </x:c>
      <x:c r="O355" s="30" t="str">
        <x:v>The model answer 'Socially interactive pets' captures part of the gold answer but omits the key purpose 'for more emotional support,' making it an incomplete subset of the full answer.</x:v>
      </x:c>
      <x:c r="P355" s="30" t="str">
        <x:v>LongCat-2.0</x:v>
      </x:c>
      <x:c r="Q355" s="30" t="str">
        <x:v>LongCat-2.0</x:v>
      </x:c>
      <x:c r="R355" s="30" t="n">
        <x:v>2372.29</x:v>
      </x:c>
      <x:c r="S355" s="30" t="str">
        <x:v>{"completion_tokens": 49, "prompt_tokens": 150,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6">
      <x:c r="A356" s="30" t="str">
        <x:v>memos_long:3048</x:v>
      </x:c>
      <x:c r="B356" s="30" t="str">
        <x:v>long</x:v>
      </x:c>
      <x:c r="C356" s="30" t="str">
        <x:v>Generalization &amp; Application</x:v>
      </x:c>
      <x:c r="D356" s="30" t="n">
        <x:v>1</x:v>
      </x:c>
      <x:c r="E356" s="30" t="str">
        <x:v>What new sport could Karen Brown consider to further enhance her personal growth after November 1, 2037?</x:v>
      </x:c>
      <x:c r="F356" s="30" t="str">
        <x:v>Triathlon, as it includes swimming, running, and cycling.</x:v>
      </x:c>
      <x:c r="G356" s="30" t="str">
        <x:v>Competitive swimming</x:v>
      </x:c>
      <x:c r="H356" s="30" t="str">
        <x:v>deepseek-v4-flash</x:v>
      </x:c>
      <x:c r="I356" s="30" t="str">
        <x:v>deepseek-v4-flash</x:v>
      </x:c>
      <x:c r="J356" s="30" t="str">
        <x:v>da3121ca79e5dc1a8dc9c706e6de4c979788c7082a118f442a3bf4e7d95e0f2a</x:v>
      </x:c>
      <x:c r="K356" s="30" t="str">
        <x:v>0b664a538efdfa89a1d014fc37badcfa921facdd1037e417298fd519ab7afe36</x:v>
      </x:c>
      <x:c r="L356" s="30" t="n">
        <x:v>601.78</x:v>
      </x:c>
      <x:c r="M356" s="30" t="str">
        <x:v>{"completion_tokens": 3, "prompt_tokens": 602, "total_tokens": 605, "completion_tokens_details": null, "prompt_tokens_details": {"audio_tokens": null, "cached_tokens": 512}, "prompt_cache_hit_tokens": 512, "prompt_cache_miss_tokens": 90}</x:v>
      </x:c>
      <x:c r="N356" s="30" t="str">
        <x:v>omission</x:v>
      </x:c>
      <x:c r="O356"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356" s="30" t="str">
        <x:v>LongCat-2.0</x:v>
      </x:c>
      <x:c r="Q356" s="30" t="str">
        <x:v>LongCat-2.0</x:v>
      </x:c>
      <x:c r="R356" s="30" t="n">
        <x:v>3177.44</x:v>
      </x:c>
      <x:c r="S356" s="30" t="str">
        <x:v>{"completion_tokens": 90, "prompt_tokens": 158,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7">
      <x:c r="A357" s="30" t="str">
        <x:v>memos_long:3048</x:v>
      </x:c>
      <x:c r="B357" s="30" t="str">
        <x:v>long</x:v>
      </x:c>
      <x:c r="C357" s="30" t="str">
        <x:v>Generalization &amp; Application</x:v>
      </x:c>
      <x:c r="D357" s="30" t="n">
        <x:v>2</x:v>
      </x:c>
      <x:c r="E357" s="30" t="str">
        <x:v>What new sport could Karen Brown consider to further enhance her personal growth after November 1, 2037?</x:v>
      </x:c>
      <x:c r="F357" s="30" t="str">
        <x:v>Triathlon, as it includes swimming, running, and cycling.</x:v>
      </x:c>
      <x:c r="G357" s="30" t="str">
        <x:v>Competitive swimming</x:v>
      </x:c>
      <x:c r="H357" s="30" t="str">
        <x:v>deepseek-v4-flash</x:v>
      </x:c>
      <x:c r="I357" s="30" t="str">
        <x:v>deepseek-v4-flash</x:v>
      </x:c>
      <x:c r="J357" s="30" t="str">
        <x:v>da3121ca79e5dc1a8dc9c706e6de4c979788c7082a118f442a3bf4e7d95e0f2a</x:v>
      </x:c>
      <x:c r="K357" s="30" t="str">
        <x:v>0b664a538efdfa89a1d014fc37badcfa921facdd1037e417298fd519ab7afe36</x:v>
      </x:c>
      <x:c r="L357" s="30" t="n">
        <x:v>585.72</x:v>
      </x:c>
      <x:c r="M357" s="30" t="str">
        <x:v>{"completion_tokens": 3, "prompt_tokens": 602, "total_tokens": 605, "completion_tokens_details": null, "prompt_tokens_details": {"audio_tokens": null, "cached_tokens": 512}, "prompt_cache_hit_tokens": 512, "prompt_cache_miss_tokens": 90}</x:v>
      </x:c>
      <x:c r="N357" s="30" t="str">
        <x:v>omission</x:v>
      </x:c>
      <x:c r="O357"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357" s="30" t="str">
        <x:v>LongCat-2.0</x:v>
      </x:c>
      <x:c r="Q357" s="30" t="str">
        <x:v>LongCat-2.0</x:v>
      </x:c>
      <x:c r="R357" s="30" t="n">
        <x:v>3260.56</x:v>
      </x:c>
      <x:c r="S357" s="30" t="str">
        <x:v>{"completion_tokens": 90, "prompt_tokens": 158, "total_tokens": 248,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58">
      <x:c r="A358" s="30" t="str">
        <x:v>memos_long:3048</x:v>
      </x:c>
      <x:c r="B358" s="30" t="str">
        <x:v>long</x:v>
      </x:c>
      <x:c r="C358" s="30" t="str">
        <x:v>Generalization &amp; Application</x:v>
      </x:c>
      <x:c r="D358" s="30" t="n">
        <x:v>3</x:v>
      </x:c>
      <x:c r="E358" s="30" t="str">
        <x:v>What new sport could Karen Brown consider to further enhance her personal growth after November 1, 2037?</x:v>
      </x:c>
      <x:c r="F358" s="30" t="str">
        <x:v>Triathlon, as it includes swimming, running, and cycling.</x:v>
      </x:c>
      <x:c r="G358" s="30" t="str">
        <x:v>Competitive swimming</x:v>
      </x:c>
      <x:c r="H358" s="30" t="str">
        <x:v>deepseek-v4-flash</x:v>
      </x:c>
      <x:c r="I358" s="30" t="str">
        <x:v>deepseek-v4-flash</x:v>
      </x:c>
      <x:c r="J358" s="30" t="str">
        <x:v>da3121ca79e5dc1a8dc9c706e6de4c979788c7082a118f442a3bf4e7d95e0f2a</x:v>
      </x:c>
      <x:c r="K358" s="30" t="str">
        <x:v>0b664a538efdfa89a1d014fc37badcfa921facdd1037e417298fd519ab7afe36</x:v>
      </x:c>
      <x:c r="L358" s="30" t="n">
        <x:v>790.82</x:v>
      </x:c>
      <x:c r="M358" s="30" t="str">
        <x:v>{"completion_tokens": 3, "prompt_tokens": 602, "total_tokens": 605, "completion_tokens_details": null, "prompt_tokens_details": {"audio_tokens": null, "cached_tokens": 512}, "prompt_cache_hit_tokens": 512, "prompt_cache_miss_tokens": 90}</x:v>
      </x:c>
      <x:c r="N358" s="30" t="str">
        <x:v>omission</x:v>
      </x:c>
      <x:c r="O358"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358" s="30" t="str">
        <x:v>LongCat-2.0</x:v>
      </x:c>
      <x:c r="Q358" s="30" t="str">
        <x:v>LongCat-2.0</x:v>
      </x:c>
      <x:c r="R358" s="30" t="n">
        <x:v>5744.34</x:v>
      </x:c>
      <x:c r="S358" s="30" t="str">
        <x:v>{"completion_tokens": 90, "prompt_tokens": 158,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59">
      <x:c r="A359" s="30" t="str">
        <x:v>memos_long:3071</x:v>
      </x:c>
      <x:c r="B359" s="30" t="str">
        <x:v>long</x:v>
      </x:c>
      <x:c r="C359" s="30" t="str">
        <x:v>Generalization &amp; Application</x:v>
      </x:c>
      <x:c r="D359" s="30" t="n">
        <x:v>1</x:v>
      </x:c>
      <x:c r="E359" s="30" t="str">
        <x:v>How can Karen integrate meditation into her fitness routine to enhance overall well-being?</x:v>
      </x:c>
      <x:c r="F359" s="30" t="str">
        <x:v>Combine meditation with yoga sessions for mental clarity and peace.</x:v>
      </x:c>
      <x:c r="G359" s="30" t="str">
        <x:v>Combine meditation with exercise.</x:v>
      </x:c>
      <x:c r="H359" s="30" t="str">
        <x:v>deepseek-v4-flash</x:v>
      </x:c>
      <x:c r="I359" s="30" t="str">
        <x:v>deepseek-v4-flash</x:v>
      </x:c>
      <x:c r="J359" s="30" t="str">
        <x:v>b57636bb93cd18849fdf0a17bc18d36be654ed542efe54e907e2de3c5e9be406</x:v>
      </x:c>
      <x:c r="K359" s="30" t="str">
        <x:v>d70044c7b6c767d4f3f62e3d128e7ab4edd97e9196c9bbf3e6384c401eec79d1</x:v>
      </x:c>
      <x:c r="L359" s="30" t="n">
        <x:v>562.6</x:v>
      </x:c>
      <x:c r="M359" s="30" t="str">
        <x:v>{"completion_tokens": 5, "prompt_tokens": 645, "total_tokens": 650, "completion_tokens_details": null, "prompt_tokens_details": {"audio_tokens": null, "cached_tokens": 640}, "prompt_cache_hit_tokens": 640, "prompt_cache_miss_tokens": 5}</x:v>
      </x:c>
      <x:c r="N359" s="30" t="str">
        <x:v>omission</x:v>
      </x:c>
      <x:c r="O359"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x:v>
      </x:c>
      <x:c r="P359" s="30" t="str">
        <x:v>LongCat-2.0</x:v>
      </x:c>
      <x:c r="Q359" s="30" t="str">
        <x:v>LongCat-2.0</x:v>
      </x:c>
      <x:c r="R359" s="30" t="n">
        <x:v>3279.76</x:v>
      </x:c>
      <x:c r="S359" s="30" t="str">
        <x:v>{"completion_tokens": 90, "prompt_tokens": 148, "total_tokens": 238,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60">
      <x:c r="A360" s="30" t="str">
        <x:v>memos_long:3071</x:v>
      </x:c>
      <x:c r="B360" s="30" t="str">
        <x:v>long</x:v>
      </x:c>
      <x:c r="C360" s="30" t="str">
        <x:v>Generalization &amp; Application</x:v>
      </x:c>
      <x:c r="D360" s="30" t="n">
        <x:v>2</x:v>
      </x:c>
      <x:c r="E360" s="30" t="str">
        <x:v>How can Karen integrate meditation into her fitness routine to enhance overall well-being?</x:v>
      </x:c>
      <x:c r="F360" s="30" t="str">
        <x:v>Combine meditation with yoga sessions for mental clarity and peace.</x:v>
      </x:c>
      <x:c r="G360" s="30" t="str">
        <x:v>Combine meditation with exercise.</x:v>
      </x:c>
      <x:c r="H360" s="30" t="str">
        <x:v>deepseek-v4-flash</x:v>
      </x:c>
      <x:c r="I360" s="30" t="str">
        <x:v>deepseek-v4-flash</x:v>
      </x:c>
      <x:c r="J360" s="30" t="str">
        <x:v>b57636bb93cd18849fdf0a17bc18d36be654ed542efe54e907e2de3c5e9be406</x:v>
      </x:c>
      <x:c r="K360" s="30" t="str">
        <x:v>d70044c7b6c767d4f3f62e3d128e7ab4edd97e9196c9bbf3e6384c401eec79d1</x:v>
      </x:c>
      <x:c r="L360" s="30" t="n">
        <x:v>774.07</x:v>
      </x:c>
      <x:c r="M360" s="30" t="str">
        <x:v>{"completion_tokens": 5, "prompt_tokens": 645, "total_tokens": 650, "completion_tokens_details": null, "prompt_tokens_details": {"audio_tokens": null, "cached_tokens": 640}, "prompt_cache_hit_tokens": 640, "prompt_cache_miss_tokens": 5}</x:v>
      </x:c>
      <x:c r="N360" s="30" t="str">
        <x:v>omission</x:v>
      </x:c>
      <x:c r="O360"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any false claim, so it is not a hallucination, but it fails to provide the complete semantic content of the gold answer.</x:v>
      </x:c>
      <x:c r="P360" s="30" t="str">
        <x:v>LongCat-2.0</x:v>
      </x:c>
      <x:c r="Q360" s="30" t="str">
        <x:v>LongCat-2.0</x:v>
      </x:c>
      <x:c r="R360" s="30" t="n">
        <x:v>3589.15</x:v>
      </x:c>
      <x:c r="S360" s="30" t="str">
        <x:v>{"completion_tokens": 100, "prompt_tokens": 148,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1">
      <x:c r="A361" s="30" t="str">
        <x:v>memos_long:3071</x:v>
      </x:c>
      <x:c r="B361" s="30" t="str">
        <x:v>long</x:v>
      </x:c>
      <x:c r="C361" s="30" t="str">
        <x:v>Generalization &amp; Application</x:v>
      </x:c>
      <x:c r="D361" s="30" t="n">
        <x:v>3</x:v>
      </x:c>
      <x:c r="E361" s="30" t="str">
        <x:v>How can Karen integrate meditation into her fitness routine to enhance overall well-being?</x:v>
      </x:c>
      <x:c r="F361" s="30" t="str">
        <x:v>Combine meditation with yoga sessions for mental clarity and peace.</x:v>
      </x:c>
      <x:c r="G361" s="30" t="str">
        <x:v>Combine meditation with exercise.</x:v>
      </x:c>
      <x:c r="H361" s="30" t="str">
        <x:v>deepseek-v4-flash</x:v>
      </x:c>
      <x:c r="I361" s="30" t="str">
        <x:v>deepseek-v4-flash</x:v>
      </x:c>
      <x:c r="J361" s="30" t="str">
        <x:v>b57636bb93cd18849fdf0a17bc18d36be654ed542efe54e907e2de3c5e9be406</x:v>
      </x:c>
      <x:c r="K361" s="30" t="str">
        <x:v>d70044c7b6c767d4f3f62e3d128e7ab4edd97e9196c9bbf3e6384c401eec79d1</x:v>
      </x:c>
      <x:c r="L361" s="30" t="n">
        <x:v>566.81</x:v>
      </x:c>
      <x:c r="M361" s="30" t="str">
        <x:v>{"completion_tokens": 5, "prompt_tokens": 645, "total_tokens": 650, "completion_tokens_details": null, "prompt_tokens_details": {"audio_tokens": null, "cached_tokens": 640}, "prompt_cache_hit_tokens": 640, "prompt_cache_miss_tokens": 5}</x:v>
      </x:c>
      <x:c r="N361" s="30" t="str">
        <x:v>omission</x:v>
      </x:c>
      <x:c r="O361" s="30" t="str">
        <x:v>The model answer 'Combine meditation with exercise' is a vague, incomplete subset of the gold answer. The gold answer specifically mentions combining meditation with yoga sessions for mental clarity and peace, while the model answer only mentions 'exercise' without specifying yoga or the benefits of mental clarity and peace. It does not add a concrete false claim, so it is an omission rather than a hallucination.</x:v>
      </x:c>
      <x:c r="P361" s="30" t="str">
        <x:v>LongCat-2.0</x:v>
      </x:c>
      <x:c r="Q361" s="30" t="str">
        <x:v>LongCat-2.0</x:v>
      </x:c>
      <x:c r="R361" s="30" t="n">
        <x:v>3244.86</x:v>
      </x:c>
      <x:c r="S361" s="30" t="str">
        <x:v>{"completion_tokens": 90, "prompt_tokens": 148,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2">
      <x:c r="A362" s="30" t="str">
        <x:v>memos_long:3075</x:v>
      </x:c>
      <x:c r="B362" s="30" t="str">
        <x:v>long</x:v>
      </x:c>
      <x:c r="C362" s="30" t="str">
        <x:v>Multi-hop Inference</x:v>
      </x:c>
      <x:c r="D362" s="30" t="n">
        <x:v>1</x:v>
      </x:c>
      <x:c r="E362" s="30" t="str">
        <x:v>How did Karen's strategic partnerships evolve from Feb 15, 2040, to Jun 16, 2040, and impact her platform?</x:v>
      </x:c>
      <x:c r="F362" s="30" t="str">
        <x:v>They facilitated advancements in features and scalability.</x:v>
      </x:c>
      <x:c r="G362" s="30" t="str">
        <x:v>Enhanced features and scalability.</x:v>
      </x:c>
      <x:c r="H362" s="30" t="str">
        <x:v>deepseek-v4-flash</x:v>
      </x:c>
      <x:c r="I362" s="30" t="str">
        <x:v>deepseek-v4-flash</x:v>
      </x:c>
      <x:c r="J362" s="30" t="str">
        <x:v>acfd6ca685b6adf09d16ed077028af5fe946dc9034a9edbf1c4e4237bc7bdeff</x:v>
      </x:c>
      <x:c r="K362" s="30" t="str">
        <x:v>904a1b6812d08bc10c7ff7781ad650604af60d2b6b43e20fb3d94d8083270449</x:v>
      </x:c>
      <x:c r="L362" s="30" t="n">
        <x:v>884.9</x:v>
      </x:c>
      <x:c r="M362" s="30" t="str">
        <x:v>{"completion_tokens": 5, "prompt_tokens": 633, "total_tokens": 638, "completion_tokens_details": null, "prompt_tokens_details": {"audio_tokens": null, "cached_tokens": 512}, "prompt_cache_hit_tokens": 512, "prompt_cache_miss_tokens": 121}</x:v>
      </x:c>
      <x:c r="N362" s="30" t="str">
        <x:v>correct</x:v>
      </x:c>
      <x:c r="O362" s="30" t="str">
        <x:v>The model answer 'Enhanced features and scalability' semantically captures the complete meaning of the gold answer 'They facilitated advancements in features and scalability.' Both convey that the partnerships led to improvements in features and scalability, with only minor wording differences.</x:v>
      </x:c>
      <x:c r="P362" s="30" t="str">
        <x:v>LongCat-2.0</x:v>
      </x:c>
      <x:c r="Q362" s="30" t="str">
        <x:v>LongCat-2.0</x:v>
      </x:c>
      <x:c r="R362" s="30" t="n">
        <x:v>2529.82</x:v>
      </x:c>
      <x:c r="S362" s="30" t="str">
        <x:v>{"completion_tokens": 59, "prompt_tokens": 167,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3">
      <x:c r="A363" s="30" t="str">
        <x:v>memos_long:3075</x:v>
      </x:c>
      <x:c r="B363" s="30" t="str">
        <x:v>long</x:v>
      </x:c>
      <x:c r="C363" s="30" t="str">
        <x:v>Multi-hop Inference</x:v>
      </x:c>
      <x:c r="D363" s="30" t="n">
        <x:v>2</x:v>
      </x:c>
      <x:c r="E363" s="30" t="str">
        <x:v>How did Karen's strategic partnerships evolve from Feb 15, 2040, to Jun 16, 2040, and impact her platform?</x:v>
      </x:c>
      <x:c r="F363" s="30" t="str">
        <x:v>They facilitated advancements in features and scalability.</x:v>
      </x:c>
      <x:c r="G363" s="30" t="str">
        <x:v>Enhanced features and scalability.</x:v>
      </x:c>
      <x:c r="H363" s="30" t="str">
        <x:v>deepseek-v4-flash</x:v>
      </x:c>
      <x:c r="I363" s="30" t="str">
        <x:v>deepseek-v4-flash</x:v>
      </x:c>
      <x:c r="J363" s="30" t="str">
        <x:v>acfd6ca685b6adf09d16ed077028af5fe946dc9034a9edbf1c4e4237bc7bdeff</x:v>
      </x:c>
      <x:c r="K363" s="30" t="str">
        <x:v>904a1b6812d08bc10c7ff7781ad650604af60d2b6b43e20fb3d94d8083270449</x:v>
      </x:c>
      <x:c r="L363" s="30" t="n">
        <x:v>968.81</x:v>
      </x:c>
      <x:c r="M363" s="30" t="str">
        <x:v>{"completion_tokens": 5, "prompt_tokens": 633, "total_tokens": 638, "completion_tokens_details": null, "prompt_tokens_details": {"audio_tokens": null, "cached_tokens": 512}, "prompt_cache_hit_tokens": 512, "prompt_cache_miss_tokens": 121}</x:v>
      </x:c>
      <x:c r="N363" s="30" t="str">
        <x:v>correct</x:v>
      </x:c>
      <x:c r="O363" s="30" t="str">
        <x:v>The model answer 'Enhanced features and scalability' captures the complete semantic meaning of the gold answer 'They facilitated advancements in features and scalability.' Both convey that the partnerships led to improvements in features and scalability, with only minor wording differences.</x:v>
      </x:c>
      <x:c r="P363" s="30" t="str">
        <x:v>LongCat-2.0</x:v>
      </x:c>
      <x:c r="Q363" s="30" t="str">
        <x:v>LongCat-2.0</x:v>
      </x:c>
      <x:c r="R363" s="30" t="n">
        <x:v>3848.36</x:v>
      </x:c>
      <x:c r="S363" s="30" t="str">
        <x:v>{"completion_tokens": 58, "prompt_tokens": 167,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4">
      <x:c r="A364" s="30" t="str">
        <x:v>memos_long:3075</x:v>
      </x:c>
      <x:c r="B364" s="30" t="str">
        <x:v>long</x:v>
      </x:c>
      <x:c r="C364" s="30" t="str">
        <x:v>Multi-hop Inference</x:v>
      </x:c>
      <x:c r="D364" s="30" t="n">
        <x:v>3</x:v>
      </x:c>
      <x:c r="E364" s="30" t="str">
        <x:v>How did Karen's strategic partnerships evolve from Feb 15, 2040, to Jun 16, 2040, and impact her platform?</x:v>
      </x:c>
      <x:c r="F364" s="30" t="str">
        <x:v>They facilitated advancements in features and scalability.</x:v>
      </x:c>
      <x:c r="G364" s="30" t="str">
        <x:v>Enhanced features and scalability.</x:v>
      </x:c>
      <x:c r="H364" s="30" t="str">
        <x:v>deepseek-v4-flash</x:v>
      </x:c>
      <x:c r="I364" s="30" t="str">
        <x:v>deepseek-v4-flash</x:v>
      </x:c>
      <x:c r="J364" s="30" t="str">
        <x:v>acfd6ca685b6adf09d16ed077028af5fe946dc9034a9edbf1c4e4237bc7bdeff</x:v>
      </x:c>
      <x:c r="K364" s="30" t="str">
        <x:v>904a1b6812d08bc10c7ff7781ad650604af60d2b6b43e20fb3d94d8083270449</x:v>
      </x:c>
      <x:c r="L364" s="30" t="n">
        <x:v>703.77</x:v>
      </x:c>
      <x:c r="M364" s="30" t="str">
        <x:v>{"completion_tokens": 5, "prompt_tokens": 633, "total_tokens": 638, "completion_tokens_details": null, "prompt_tokens_details": {"audio_tokens": null, "cached_tokens": 512}, "prompt_cache_hit_tokens": 512, "prompt_cache_miss_tokens": 121}</x:v>
      </x:c>
      <x:c r="N364" s="30" t="str">
        <x:v>correct</x:v>
      </x:c>
      <x:c r="O364" s="30" t="str">
        <x:v>The model answer 'Enhanced features and scalability' semantically captures the complete meaning of the gold answer 'They facilitated advancements in features and scalability,' with only minor wording differences and no missing or contradictory information.</x:v>
      </x:c>
      <x:c r="P364" s="30" t="str">
        <x:v>LongCat-2.0</x:v>
      </x:c>
      <x:c r="Q364" s="30" t="str">
        <x:v>LongCat-2.0</x:v>
      </x:c>
      <x:c r="R364" s="30" t="n">
        <x:v>1898.03</x:v>
      </x:c>
      <x:c r="S364" s="30" t="str">
        <x:v>{"completion_tokens": 52, "prompt_tokens": 167, "total_tokens": 219,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65">
      <x:c r="A365" s="30" t="str">
        <x:v>memos_long:3087</x:v>
      </x:c>
      <x:c r="B365" s="30" t="str">
        <x:v>long</x:v>
      </x:c>
      <x:c r="C365" s="30" t="str">
        <x:v>Multi-hop Inference</x:v>
      </x:c>
      <x:c r="D365" s="30" t="n">
        <x:v>1</x:v>
      </x:c>
      <x:c r="E365" s="30" t="str">
        <x:v>How does Karen Brown's network contribute to her entrepreneurial journey as of Jul 01, 2041?</x:v>
      </x:c>
      <x:c r="F365" s="30" t="str">
        <x:v>Provides strategic advice and emotional support.</x:v>
      </x:c>
      <x:c r="G365" s="30" t="str">
        <x:v>Provides resources and support.</x:v>
      </x:c>
      <x:c r="H365" s="30" t="str">
        <x:v>deepseek-v4-flash</x:v>
      </x:c>
      <x:c r="I365" s="30" t="str">
        <x:v>deepseek-v4-flash</x:v>
      </x:c>
      <x:c r="J365" s="30" t="str">
        <x:v>682522e27c96f6e2a525a43eea4ede9a38e619b6dbd0b565954dc0338fd5aea7</x:v>
      </x:c>
      <x:c r="K365" s="30" t="str">
        <x:v>1ac9085d161f152f76ff228f50bb1eed6242665985cfe9eb4eb6a3d74950a2ce</x:v>
      </x:c>
      <x:c r="L365" s="30" t="n">
        <x:v>810.96</x:v>
      </x:c>
      <x:c r="M365" s="30" t="str">
        <x:v>{"completion_tokens": 5, "prompt_tokens": 579, "total_tokens": 584, "completion_tokens_details": null, "prompt_tokens_details": {"audio_tokens": null, "cached_tokens": 512}, "prompt_cache_hit_tokens": 512, "prompt_cache_miss_tokens": 67}</x:v>
      </x:c>
      <x:c r="N365" s="30" t="str">
        <x:v>omission</x:v>
      </x:c>
      <x:c r="O365" s="30" t="str">
        <x:v>The model answer 'Provides resources and support' captures part of the gold answer (support) but omits the specific types of support mentioned in the gold answer: 'strategic advice' and 'emotional support.' While 'support' is present, the model replaces the specific, concrete details with the vague term 'resources,' which is not supported by the gold answer. This constitutes an incomplete subset of the gold answer.</x:v>
      </x:c>
      <x:c r="P365" s="30" t="str">
        <x:v>LongCat-2.0</x:v>
      </x:c>
      <x:c r="Q365" s="30" t="str">
        <x:v>LongCat-2.0</x:v>
      </x:c>
      <x:c r="R365" s="30" t="n">
        <x:v>3484.09</x:v>
      </x:c>
      <x:c r="S365" s="30" t="str">
        <x:v>{"completion_tokens": 97, "prompt_tokens": 153, "total_tokens": 250,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6">
      <x:c r="A366" s="30" t="str">
        <x:v>memos_long:3087</x:v>
      </x:c>
      <x:c r="B366" s="30" t="str">
        <x:v>long</x:v>
      </x:c>
      <x:c r="C366" s="30" t="str">
        <x:v>Multi-hop Inference</x:v>
      </x:c>
      <x:c r="D366" s="30" t="n">
        <x:v>2</x:v>
      </x:c>
      <x:c r="E366" s="30" t="str">
        <x:v>How does Karen Brown's network contribute to her entrepreneurial journey as of Jul 01, 2041?</x:v>
      </x:c>
      <x:c r="F366" s="30" t="str">
        <x:v>Provides strategic advice and emotional support.</x:v>
      </x:c>
      <x:c r="G366" s="30" t="str">
        <x:v>Provides resources and support.</x:v>
      </x:c>
      <x:c r="H366" s="30" t="str">
        <x:v>deepseek-v4-flash</x:v>
      </x:c>
      <x:c r="I366" s="30" t="str">
        <x:v>deepseek-v4-flash</x:v>
      </x:c>
      <x:c r="J366" s="30" t="str">
        <x:v>682522e27c96f6e2a525a43eea4ede9a38e619b6dbd0b565954dc0338fd5aea7</x:v>
      </x:c>
      <x:c r="K366" s="30" t="str">
        <x:v>1ac9085d161f152f76ff228f50bb1eed6242665985cfe9eb4eb6a3d74950a2ce</x:v>
      </x:c>
      <x:c r="L366" s="30" t="n">
        <x:v>561.6</x:v>
      </x:c>
      <x:c r="M366" s="30" t="str">
        <x:v>{"completion_tokens": 5, "prompt_tokens": 579, "total_tokens": 584, "completion_tokens_details": null, "prompt_tokens_details": {"audio_tokens": null, "cached_tokens": 512}, "prompt_cache_hit_tokens": 512, "prompt_cache_miss_tokens": 67}</x:v>
      </x:c>
      <x:c r="N366" s="30" t="str">
        <x:v>omission</x:v>
      </x:c>
      <x:c r="O366" s="30" t="str">
        <x:v>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an incomplete subset of the gold answer.</x:v>
      </x:c>
      <x:c r="P366" s="30" t="str">
        <x:v>LongCat-2.0</x:v>
      </x:c>
      <x:c r="Q366" s="30" t="str">
        <x:v>LongCat-2.0</x:v>
      </x:c>
      <x:c r="R366" s="30" t="n">
        <x:v>4403.07</x:v>
      </x:c>
      <x:c r="S366" s="30" t="str">
        <x:v>{"completion_tokens": 99, "prompt_tokens": 153, "total_tokens": 252,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67">
      <x:c r="A367" s="30" t="str">
        <x:v>memos_long:3087</x:v>
      </x:c>
      <x:c r="B367" s="30" t="str">
        <x:v>long</x:v>
      </x:c>
      <x:c r="C367" s="30" t="str">
        <x:v>Multi-hop Inference</x:v>
      </x:c>
      <x:c r="D367" s="30" t="n">
        <x:v>3</x:v>
      </x:c>
      <x:c r="E367" s="30" t="str">
        <x:v>How does Karen Brown's network contribute to her entrepreneurial journey as of Jul 01, 2041?</x:v>
      </x:c>
      <x:c r="F367" s="30" t="str">
        <x:v>Provides strategic advice and emotional support.</x:v>
      </x:c>
      <x:c r="G367" s="30" t="str">
        <x:v>Provides resources and support.</x:v>
      </x:c>
      <x:c r="H367" s="30" t="str">
        <x:v>deepseek-v4-flash</x:v>
      </x:c>
      <x:c r="I367" s="30" t="str">
        <x:v>deepseek-v4-flash</x:v>
      </x:c>
      <x:c r="J367" s="30" t="str">
        <x:v>682522e27c96f6e2a525a43eea4ede9a38e619b6dbd0b565954dc0338fd5aea7</x:v>
      </x:c>
      <x:c r="K367" s="30" t="str">
        <x:v>1ac9085d161f152f76ff228f50bb1eed6242665985cfe9eb4eb6a3d74950a2ce</x:v>
      </x:c>
      <x:c r="L367" s="30" t="n">
        <x:v>543.85</x:v>
      </x:c>
      <x:c r="M367" s="30" t="str">
        <x:v>{"completion_tokens": 5, "prompt_tokens": 579, "total_tokens": 584, "completion_tokens_details": null, "prompt_tokens_details": {"audio_tokens": null, "cached_tokens": 512}, "prompt_cache_hit_tokens": 512, "prompt_cache_miss_tokens": 67}</x:v>
      </x:c>
      <x:c r="N367" s="30" t="str">
        <x:v>omission</x:v>
      </x:c>
      <x:c r="O367" s="30" t="str">
        <x:v>The model answer 'Provides resources and support' captures part of the gold answer (support) but omits the specific types of support mentioned in the gold answer: 'strategic advice' and 'emotional support.' While 'support' is a broader term that could encompass emotional support, the model replaces 'strategic advice' with 'resources,' which is not semantically equivalent and represents a loss of specific information from the gold answer. This constitutes an incomplete subset of the gold answer.</x:v>
      </x:c>
      <x:c r="P367" s="30" t="str">
        <x:v>LongCat-2.0</x:v>
      </x:c>
      <x:c r="Q367" s="30" t="str">
        <x:v>LongCat-2.0</x:v>
      </x:c>
      <x:c r="R367" s="30" t="n">
        <x:v>4160.34</x:v>
      </x:c>
      <x:c r="S367" s="30" t="str">
        <x:v>{"completion_tokens": 111, "prompt_tokens": 153, "total_tokens": 264,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8">
      <x:c r="A368" s="30" t="str">
        <x:v>memos_long:310</x:v>
      </x:c>
      <x:c r="B368" s="30" t="str">
        <x:v>long</x:v>
      </x:c>
      <x:c r="C368" s="30" t="str">
        <x:v>Dynamic Update</x:v>
      </x:c>
      <x:c r="D368" s="30" t="n">
        <x:v>1</x:v>
      </x:c>
      <x:c r="E368" s="30" t="str">
        <x:v>How has Johnson Joseph's physical health status changed by August 10, 2039?</x:v>
      </x:c>
      <x:c r="F368" s="30" t="str">
        <x:v>Changed from 'Good' to 'Excellent'.</x:v>
      </x:c>
      <x:c r="G368" s="30" t="str">
        <x:v>Excellent</x:v>
      </x:c>
      <x:c r="H368" s="30" t="str">
        <x:v>deepseek-v4-flash</x:v>
      </x:c>
      <x:c r="I368" s="30" t="str">
        <x:v>deepseek-v4-flash</x:v>
      </x:c>
      <x:c r="J368" s="30" t="str">
        <x:v>a74a42aef8845335d4210e482de3985bf0cbe121283a9956b09e855346740701</x:v>
      </x:c>
      <x:c r="K368" s="30" t="str">
        <x:v>23e154f2a589d769b4a16d1337b3b322a7adccfc2477df8f658ca9c8e546e485</x:v>
      </x:c>
      <x:c r="L368" s="30" t="n">
        <x:v>981.65</x:v>
      </x:c>
      <x:c r="M368" s="30" t="str">
        <x:v>{"completion_tokens": 1, "prompt_tokens": 540, "total_tokens": 541, "completion_tokens_details": null, "prompt_tokens_details": {"audio_tokens": null, "cached_tokens": 512}, "prompt_cache_hit_tokens": 512, "prompt_cache_miss_tokens": 28}</x:v>
      </x:c>
      <x:c r="N368" s="30" t="str">
        <x:v>omission</x:v>
      </x:c>
      <x:c r="O368" s="30" t="str">
        <x:v>The gold answer specifies a change from 'Good' to 'Excellent', which includes both the starting state and the resulting state. The model answer only provides 'Excellent', which is an incomplete subset of the full answer and omits the 'from Good' portion of the change.</x:v>
      </x:c>
      <x:c r="P368" s="30" t="str">
        <x:v>LongCat-2.0</x:v>
      </x:c>
      <x:c r="Q368" s="30" t="str">
        <x:v>LongCat-2.0</x:v>
      </x:c>
      <x:c r="R368" s="30" t="n">
        <x:v>3271.72</x:v>
      </x:c>
      <x:c r="S368" s="30" t="str">
        <x:v>{"completion_tokens": 67, "prompt_tokens": 149,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69">
      <x:c r="A369" s="30" t="str">
        <x:v>memos_long:310</x:v>
      </x:c>
      <x:c r="B369" s="30" t="str">
        <x:v>long</x:v>
      </x:c>
      <x:c r="C369" s="30" t="str">
        <x:v>Dynamic Update</x:v>
      </x:c>
      <x:c r="D369" s="30" t="n">
        <x:v>2</x:v>
      </x:c>
      <x:c r="E369" s="30" t="str">
        <x:v>How has Johnson Joseph's physical health status changed by August 10, 2039?</x:v>
      </x:c>
      <x:c r="F369" s="30" t="str">
        <x:v>Changed from 'Good' to 'Excellent'.</x:v>
      </x:c>
      <x:c r="G369" s="30" t="str">
        <x:v>Excellent</x:v>
      </x:c>
      <x:c r="H369" s="30" t="str">
        <x:v>deepseek-v4-flash</x:v>
      </x:c>
      <x:c r="I369" s="30" t="str">
        <x:v>deepseek-v4-flash</x:v>
      </x:c>
      <x:c r="J369" s="30" t="str">
        <x:v>a74a42aef8845335d4210e482de3985bf0cbe121283a9956b09e855346740701</x:v>
      </x:c>
      <x:c r="K369" s="30" t="str">
        <x:v>23e154f2a589d769b4a16d1337b3b322a7adccfc2477df8f658ca9c8e546e485</x:v>
      </x:c>
      <x:c r="L369" s="30" t="n">
        <x:v>923.43</x:v>
      </x:c>
      <x:c r="M369" s="30" t="str">
        <x:v>{"completion_tokens": 1, "prompt_tokens": 540, "total_tokens": 541, "completion_tokens_details": null, "prompt_tokens_details": {"audio_tokens": null, "cached_tokens": 512}, "prompt_cache_hit_tokens": 512, "prompt_cache_miss_tokens": 28}</x:v>
      </x:c>
      <x:c r="N369" s="30" t="str">
        <x:v>omission</x:v>
      </x:c>
      <x:c r="O369" s="30" t="str">
        <x:v>The gold answer specifies a change from 'Good' to 'Excellent', which includes both the starting state and the resulting state. The model answer only provides 'Excellent', omitting the 'from Good' portion of the change, making it an incomplete subset of the gold answer.</x:v>
      </x:c>
      <x:c r="P369" s="30" t="str">
        <x:v>LongCat-2.0</x:v>
      </x:c>
      <x:c r="Q369" s="30" t="str">
        <x:v>LongCat-2.0</x:v>
      </x:c>
      <x:c r="R369" s="30" t="n">
        <x:v>3272.56</x:v>
      </x:c>
      <x:c r="S369" s="30" t="str">
        <x:v>{"completion_tokens": 67, "prompt_tokens": 149,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70">
      <x:c r="A370" s="30" t="str">
        <x:v>memos_long:310</x:v>
      </x:c>
      <x:c r="B370" s="30" t="str">
        <x:v>long</x:v>
      </x:c>
      <x:c r="C370" s="30" t="str">
        <x:v>Dynamic Update</x:v>
      </x:c>
      <x:c r="D370" s="30" t="n">
        <x:v>3</x:v>
      </x:c>
      <x:c r="E370" s="30" t="str">
        <x:v>How has Johnson Joseph's physical health status changed by August 10, 2039?</x:v>
      </x:c>
      <x:c r="F370" s="30" t="str">
        <x:v>Changed from 'Good' to 'Excellent'.</x:v>
      </x:c>
      <x:c r="G370" s="30" t="str">
        <x:v>Excellent</x:v>
      </x:c>
      <x:c r="H370" s="30" t="str">
        <x:v>deepseek-v4-flash</x:v>
      </x:c>
      <x:c r="I370" s="30" t="str">
        <x:v>deepseek-v4-flash</x:v>
      </x:c>
      <x:c r="J370" s="30" t="str">
        <x:v>a74a42aef8845335d4210e482de3985bf0cbe121283a9956b09e855346740701</x:v>
      </x:c>
      <x:c r="K370" s="30" t="str">
        <x:v>23e154f2a589d769b4a16d1337b3b322a7adccfc2477df8f658ca9c8e546e485</x:v>
      </x:c>
      <x:c r="L370" s="30" t="n">
        <x:v>512.21</x:v>
      </x:c>
      <x:c r="M370" s="30" t="str">
        <x:v>{"completion_tokens": 1, "prompt_tokens": 540, "total_tokens": 541, "completion_tokens_details": null, "prompt_tokens_details": {"audio_tokens": null, "cached_tokens": 512}, "prompt_cache_hit_tokens": 512, "prompt_cache_miss_tokens": 28}</x:v>
      </x:c>
      <x:c r="N370" s="30" t="str">
        <x:v>omission</x:v>
      </x:c>
      <x:c r="O370" s="30" t="str">
        <x:v>The gold answer specifies a change from 'Good' to 'Excellent', which includes both the starting state and the resulting state. The model answer only provides 'Excellent', which is an incomplete subset of the full answer and omits the 'from Good' portion of the change.</x:v>
      </x:c>
      <x:c r="P370" s="30" t="str">
        <x:v>LongCat-2.0</x:v>
      </x:c>
      <x:c r="Q370" s="30" t="str">
        <x:v>LongCat-2.0</x:v>
      </x:c>
      <x:c r="R370" s="30" t="n">
        <x:v>3806.75</x:v>
      </x:c>
      <x:c r="S370" s="30" t="str">
        <x:v>{"completion_tokens": 67, "prompt_tokens": 149,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1">
      <x:c r="A371" s="30" t="str">
        <x:v>memos_long:3107</x:v>
      </x:c>
      <x:c r="B371" s="30" t="str">
        <x:v>long</x:v>
      </x:c>
      <x:c r="C371" s="30" t="str">
        <x:v>Multi-hop Inference</x:v>
      </x:c>
      <x:c r="D371" s="30" t="n">
        <x:v>1</x:v>
      </x:c>
      <x:c r="E371" s="30" t="str">
        <x:v>How did Barbara Jones's work-life balance evolve between Dec 15, 2025, and May 01, 2026?</x:v>
      </x:c>
      <x:c r="F371" s="30" t="str">
        <x:v>Achieved sustainable work-life balance</x:v>
      </x:c>
      <x:c r="G371" s="30" t="str">
        <x:v>Improved, prioritized self-care.</x:v>
      </x:c>
      <x:c r="H371" s="30" t="str">
        <x:v>deepseek-v4-flash</x:v>
      </x:c>
      <x:c r="I371" s="30" t="str">
        <x:v>deepseek-v4-flash</x:v>
      </x:c>
      <x:c r="J371" s="30" t="str">
        <x:v>3b7dba3f3d487c6f1a9e6db55f22438789a0047fda9dd83dbee19fedbd78d784</x:v>
      </x:c>
      <x:c r="K371" s="30" t="str">
        <x:v>903db56196b29c04b67c84fdeefaf8c3caa7f2d1543cc293c4219f6cf6326db4</x:v>
      </x:c>
      <x:c r="L371" s="30" t="n">
        <x:v>933.34</x:v>
      </x:c>
      <x:c r="M371" s="30" t="str">
        <x:v>{"completion_tokens": 6, "prompt_tokens": 583, "total_tokens": 589, "completion_tokens_details": null, "prompt_tokens_details": {"audio_tokens": null, "cached_tokens": 512}, "prompt_cache_hit_tokens": 512, "prompt_cache_miss_tokens": 71}</x:v>
      </x:c>
      <x:c r="N371" s="30" t="str">
        <x:v>omission</x:v>
      </x:c>
      <x:c r="O371" s="30"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P371" s="30" t="str">
        <x:v>LongCat-2.0</x:v>
      </x:c>
      <x:c r="Q371" s="30" t="str">
        <x:v>LongCat-2.0</x:v>
      </x:c>
      <x:c r="R371" s="30" t="n">
        <x:v>8948.79</x:v>
      </x:c>
      <x:c r="S371" s="30" t="str">
        <x:v>{"completion_tokens": 74, "prompt_tokens": 165, "total_tokens": 239,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2">
      <x:c r="A372" s="30" t="str">
        <x:v>memos_long:3107</x:v>
      </x:c>
      <x:c r="B372" s="30" t="str">
        <x:v>long</x:v>
      </x:c>
      <x:c r="C372" s="30" t="str">
        <x:v>Multi-hop Inference</x:v>
      </x:c>
      <x:c r="D372" s="30" t="n">
        <x:v>2</x:v>
      </x:c>
      <x:c r="E372" s="30" t="str">
        <x:v>How did Barbara Jones's work-life balance evolve between Dec 15, 2025, and May 01, 2026?</x:v>
      </x:c>
      <x:c r="F372" s="30" t="str">
        <x:v>Achieved sustainable work-life balance</x:v>
      </x:c>
      <x:c r="G372" s="30" t="str">
        <x:v>Improved, prioritized self-care.</x:v>
      </x:c>
      <x:c r="H372" s="30" t="str">
        <x:v>deepseek-v4-flash</x:v>
      </x:c>
      <x:c r="I372" s="30" t="str">
        <x:v>deepseek-v4-flash</x:v>
      </x:c>
      <x:c r="J372" s="30" t="str">
        <x:v>3b7dba3f3d487c6f1a9e6db55f22438789a0047fda9dd83dbee19fedbd78d784</x:v>
      </x:c>
      <x:c r="K372" s="30" t="str">
        <x:v>903db56196b29c04b67c84fdeefaf8c3caa7f2d1543cc293c4219f6cf6326db4</x:v>
      </x:c>
      <x:c r="L372" s="30" t="n">
        <x:v>717.47</x:v>
      </x:c>
      <x:c r="M372" s="30" t="str">
        <x:v>{"completion_tokens": 6, "prompt_tokens": 583, "total_tokens": 589, "completion_tokens_details": null, "prompt_tokens_details": {"audio_tokens": null, "cached_tokens": 512}, "prompt_cache_hit_tokens": 512, "prompt_cache_miss_tokens": 71}</x:v>
      </x:c>
      <x:c r="N372" s="30" t="str">
        <x:v>omission</x:v>
      </x:c>
      <x:c r="O372" s="30"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P372" s="30" t="str">
        <x:v>LongCat-2.0</x:v>
      </x:c>
      <x:c r="Q372" s="30" t="str">
        <x:v>LongCat-2.0</x:v>
      </x:c>
      <x:c r="R372" s="30" t="n">
        <x:v>9190.14</x:v>
      </x:c>
      <x:c r="S372" s="30" t="str">
        <x:v>{"completion_tokens": 74, "prompt_tokens": 165, "total_tokens": 239,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3">
      <x:c r="A373" s="30" t="str">
        <x:v>memos_long:3107</x:v>
      </x:c>
      <x:c r="B373" s="30" t="str">
        <x:v>long</x:v>
      </x:c>
      <x:c r="C373" s="30" t="str">
        <x:v>Multi-hop Inference</x:v>
      </x:c>
      <x:c r="D373" s="30" t="n">
        <x:v>3</x:v>
      </x:c>
      <x:c r="E373" s="30" t="str">
        <x:v>How did Barbara Jones's work-life balance evolve between Dec 15, 2025, and May 01, 2026?</x:v>
      </x:c>
      <x:c r="F373" s="30" t="str">
        <x:v>Achieved sustainable work-life balance</x:v>
      </x:c>
      <x:c r="G373" s="30" t="str">
        <x:v>Improved, prioritized self-care.</x:v>
      </x:c>
      <x:c r="H373" s="30" t="str">
        <x:v>deepseek-v4-flash</x:v>
      </x:c>
      <x:c r="I373" s="30" t="str">
        <x:v>deepseek-v4-flash</x:v>
      </x:c>
      <x:c r="J373" s="30" t="str">
        <x:v>3b7dba3f3d487c6f1a9e6db55f22438789a0047fda9dd83dbee19fedbd78d784</x:v>
      </x:c>
      <x:c r="K373" s="30" t="str">
        <x:v>903db56196b29c04b67c84fdeefaf8c3caa7f2d1543cc293c4219f6cf6326db4</x:v>
      </x:c>
      <x:c r="L373" s="30" t="n">
        <x:v>710.61</x:v>
      </x:c>
      <x:c r="M373" s="30" t="str">
        <x:v>{"completion_tokens": 6, "prompt_tokens": 583, "total_tokens": 589, "completion_tokens_details": null, "prompt_tokens_details": {"audio_tokens": null, "cached_tokens": 512}, "prompt_cache_hit_tokens": 512, "prompt_cache_miss_tokens": 71}</x:v>
      </x:c>
      <x:c r="N373" s="30" t="str">
        <x:v>omission</x:v>
      </x:c>
      <x:c r="O373" s="30" t="str">
        <x:v>The model answer 'Improved, prioritized self-care' captures a partial aspect of the gold answer but does not semantically convey the complete meaning of 'Achieved sustainable work-life balance.' It omits the key concept of sustainability and the achievement of balance, providing only an incomplete subset of the gold answer.</x:v>
      </x:c>
      <x:c r="P373" s="30" t="str">
        <x:v>LongCat-2.0</x:v>
      </x:c>
      <x:c r="Q373" s="30" t="str">
        <x:v>LongCat-2.0</x:v>
      </x:c>
      <x:c r="R373" s="30" t="n">
        <x:v>9061.24</x:v>
      </x:c>
      <x:c r="S373" s="30" t="str">
        <x:v>{"completion_tokens": 74, "prompt_tokens": 165, "total_tokens": 239,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4">
      <x:c r="A374" s="30" t="str">
        <x:v>memos_long:3121</x:v>
      </x:c>
      <x:c r="B374" s="30" t="str">
        <x:v>long</x:v>
      </x:c>
      <x:c r="C374" s="30" t="str">
        <x:v>Basic Fact Recall</x:v>
      </x:c>
      <x:c r="D374" s="30" t="n">
        <x:v>1</x:v>
      </x:c>
      <x:c r="E374" s="30" t="str">
        <x:v>What chronic condition was Barbara Jones diagnosed with by September 01, 2027?</x:v>
      </x:c>
      <x:c r="F374" s="30" t="str">
        <x:v>Chronic Fatigue Syndrome</x:v>
      </x:c>
      <x:c r="G374" s="30" t="str">
        <x:v>Chronic Fatigue Syndrome</x:v>
      </x:c>
      <x:c r="H374" s="30" t="str">
        <x:v>deepseek-v4-flash</x:v>
      </x:c>
      <x:c r="I374" s="30" t="str">
        <x:v>deepseek-v4-flash</x:v>
      </x:c>
      <x:c r="J374" s="30" t="str">
        <x:v>60cbecc40bb1843bae3bedd9b752a69d2fcbe5ff2402d2e479ddd33fbaa2e5d9</x:v>
      </x:c>
      <x:c r="K374" s="30" t="str">
        <x:v>9a37c4d36bef544c5bfb12c8d66cfe66d122c465da1ac82bead7ceb8001a3ef6</x:v>
      </x:c>
      <x:c r="L374" s="30" t="n">
        <x:v>818.6</x:v>
      </x:c>
      <x:c r="M374" s="30" t="str">
        <x:v>{"completion_tokens": 3, "prompt_tokens": 538, "total_tokens": 541, "completion_tokens_details": null, "prompt_tokens_details": {"audio_tokens": null, "cached_tokens": 512}, "prompt_cache_hit_tokens": 512, "prompt_cache_miss_tokens": 26}</x:v>
      </x:c>
      <x:c r="N374" s="30" t="str">
        <x:v>correct</x:v>
      </x:c>
      <x:c r="O374" s="30" t="str">
        <x:v>The model answer 'Chronic Fatigue Syndrome' exactly matches the benchmark gold answer, providing the complete and correct chronic condition Barbara Jones was diagnosed with.</x:v>
      </x:c>
      <x:c r="P374" s="30" t="str">
        <x:v>LongCat-2.0</x:v>
      </x:c>
      <x:c r="Q374" s="30" t="str">
        <x:v>LongCat-2.0</x:v>
      </x:c>
      <x:c r="R374" s="30" t="n">
        <x:v>1795.15</x:v>
      </x:c>
      <x:c r="S374" s="30" t="str">
        <x:v>{"completion_tokens": 41, "prompt_tokens": 149, "total_tokens": 190,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75">
      <x:c r="A375" s="30" t="str">
        <x:v>memos_long:3121</x:v>
      </x:c>
      <x:c r="B375" s="30" t="str">
        <x:v>long</x:v>
      </x:c>
      <x:c r="C375" s="30" t="str">
        <x:v>Basic Fact Recall</x:v>
      </x:c>
      <x:c r="D375" s="30" t="n">
        <x:v>2</x:v>
      </x:c>
      <x:c r="E375" s="30" t="str">
        <x:v>What chronic condition was Barbara Jones diagnosed with by September 01, 2027?</x:v>
      </x:c>
      <x:c r="F375" s="30" t="str">
        <x:v>Chronic Fatigue Syndrome</x:v>
      </x:c>
      <x:c r="G375" s="30" t="str">
        <x:v>Chronic Fatigue Syndrome</x:v>
      </x:c>
      <x:c r="H375" s="30" t="str">
        <x:v>deepseek-v4-flash</x:v>
      </x:c>
      <x:c r="I375" s="30" t="str">
        <x:v>deepseek-v4-flash</x:v>
      </x:c>
      <x:c r="J375" s="30" t="str">
        <x:v>60cbecc40bb1843bae3bedd9b752a69d2fcbe5ff2402d2e479ddd33fbaa2e5d9</x:v>
      </x:c>
      <x:c r="K375" s="30" t="str">
        <x:v>9a37c4d36bef544c5bfb12c8d66cfe66d122c465da1ac82bead7ceb8001a3ef6</x:v>
      </x:c>
      <x:c r="L375" s="30" t="n">
        <x:v>820.97</x:v>
      </x:c>
      <x:c r="M375" s="30" t="str">
        <x:v>{"completion_tokens": 3, "prompt_tokens": 538, "total_tokens": 541, "completion_tokens_details": null, "prompt_tokens_details": {"audio_tokens": null, "cached_tokens": 512}, "prompt_cache_hit_tokens": 512, "prompt_cache_miss_tokens": 26}</x:v>
      </x:c>
      <x:c r="N375" s="30" t="str">
        <x:v>correct</x:v>
      </x:c>
      <x:c r="O375" s="30" t="str">
        <x:v>The model answer 'Chronic Fatigue Syndrome' exactly matches the benchmark gold answer, providing the complete and correct information.</x:v>
      </x:c>
      <x:c r="P375" s="30" t="str">
        <x:v>LongCat-2.0</x:v>
      </x:c>
      <x:c r="Q375" s="30" t="str">
        <x:v>LongCat-2.0</x:v>
      </x:c>
      <x:c r="R375" s="30" t="n">
        <x:v>1606.73</x:v>
      </x:c>
      <x:c r="S375" s="30" t="str">
        <x:v>{"completion_tokens": 35, "prompt_tokens": 149, "total_tokens": 184,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76">
      <x:c r="A376" s="30" t="str">
        <x:v>memos_long:3121</x:v>
      </x:c>
      <x:c r="B376" s="30" t="str">
        <x:v>long</x:v>
      </x:c>
      <x:c r="C376" s="30" t="str">
        <x:v>Basic Fact Recall</x:v>
      </x:c>
      <x:c r="D376" s="30" t="n">
        <x:v>3</x:v>
      </x:c>
      <x:c r="E376" s="30" t="str">
        <x:v>What chronic condition was Barbara Jones diagnosed with by September 01, 2027?</x:v>
      </x:c>
      <x:c r="F376" s="30" t="str">
        <x:v>Chronic Fatigue Syndrome</x:v>
      </x:c>
      <x:c r="G376" s="30" t="str">
        <x:v>Chronic Fatigue Syndrome</x:v>
      </x:c>
      <x:c r="H376" s="30" t="str">
        <x:v>deepseek-v4-flash</x:v>
      </x:c>
      <x:c r="I376" s="30" t="str">
        <x:v>deepseek-v4-flash</x:v>
      </x:c>
      <x:c r="J376" s="30" t="str">
        <x:v>60cbecc40bb1843bae3bedd9b752a69d2fcbe5ff2402d2e479ddd33fbaa2e5d9</x:v>
      </x:c>
      <x:c r="K376" s="30" t="str">
        <x:v>9a37c4d36bef544c5bfb12c8d66cfe66d122c465da1ac82bead7ceb8001a3ef6</x:v>
      </x:c>
      <x:c r="L376" s="30" t="n">
        <x:v>808.99</x:v>
      </x:c>
      <x:c r="M376" s="30" t="str">
        <x:v>{"completion_tokens": 3, "prompt_tokens": 538, "total_tokens": 541, "completion_tokens_details": null, "prompt_tokens_details": {"audio_tokens": null, "cached_tokens": 512}, "prompt_cache_hit_tokens": 512, "prompt_cache_miss_tokens": 26}</x:v>
      </x:c>
      <x:c r="N376" s="30" t="str">
        <x:v>correct</x:v>
      </x:c>
      <x:c r="O376" s="30" t="str">
        <x:v>The model answer 'Chronic Fatigue Syndrome' exactly matches the benchmark gold answer, providing the complete and correct information.</x:v>
      </x:c>
      <x:c r="P376" s="30" t="str">
        <x:v>LongCat-2.0</x:v>
      </x:c>
      <x:c r="Q376" s="30" t="str">
        <x:v>LongCat-2.0</x:v>
      </x:c>
      <x:c r="R376" s="30" t="n">
        <x:v>2139.04</x:v>
      </x:c>
      <x:c r="S376" s="30" t="str">
        <x:v>{"completion_tokens": 35, "prompt_tokens": 149, "total_tokens": 184,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77">
      <x:c r="A377" s="30" t="str">
        <x:v>memos_long:3125</x:v>
      </x:c>
      <x:c r="B377" s="30" t="str">
        <x:v>long</x:v>
      </x:c>
      <x:c r="C377" s="30" t="str">
        <x:v>Dynamic Update</x:v>
      </x:c>
      <x:c r="D377" s="30" t="n">
        <x:v>1</x:v>
      </x:c>
      <x:c r="E377" s="30" t="str">
        <x:v>What is the latest diagnosis Barbara Jones received by Sep 01, 2027?</x:v>
      </x:c>
      <x:c r="F377" s="30" t="str">
        <x:v>Chronic Fatigue Syndrome</x:v>
      </x:c>
      <x:c r="G377" s="30" t="str">
        <x:v>Chronic Fatigue Syndrome</x:v>
      </x:c>
      <x:c r="H377" s="30" t="str">
        <x:v>deepseek-v4-flash</x:v>
      </x:c>
      <x:c r="I377" s="30" t="str">
        <x:v>deepseek-v4-flash</x:v>
      </x:c>
      <x:c r="J377" s="30" t="str">
        <x:v>60cbecc40bb1843bae3bedd9b752a69d2fcbe5ff2402d2e479ddd33fbaa2e5d9</x:v>
      </x:c>
      <x:c r="K377" s="30" t="str">
        <x:v>05c912b16c0c5b95263a0179233faeeb7252e87e5dd1ef36ede36ee32a115df1</x:v>
      </x:c>
      <x:c r="L377" s="30" t="n">
        <x:v>878.37</x:v>
      </x:c>
      <x:c r="M377" s="30" t="str">
        <x:v>{"completion_tokens": 3, "prompt_tokens": 538, "total_tokens": 541, "completion_tokens_details": null, "prompt_tokens_details": {"audio_tokens": null, "cached_tokens": 512}, "prompt_cache_hit_tokens": 512, "prompt_cache_miss_tokens": 26}</x:v>
      </x:c>
      <x:c r="N377" s="30" t="str">
        <x:v>correct</x:v>
      </x:c>
      <x:c r="O377" s="30" t="str">
        <x:v>The model answer 'Chronic Fatigue Syndrome' exactly matches the benchmark gold answer, providing the complete and correct diagnosis.</x:v>
      </x:c>
      <x:c r="P377" s="30" t="str">
        <x:v>LongCat-2.0</x:v>
      </x:c>
      <x:c r="Q377" s="30" t="str">
        <x:v>LongCat-2.0</x:v>
      </x:c>
      <x:c r="R377" s="30" t="n">
        <x:v>1748.76</x:v>
      </x:c>
      <x:c r="S377" s="30" t="str">
        <x:v>{"completion_tokens": 35, "prompt_tokens": 149, "total_tokens": 184,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78">
      <x:c r="A378" s="30" t="str">
        <x:v>memos_long:3125</x:v>
      </x:c>
      <x:c r="B378" s="30" t="str">
        <x:v>long</x:v>
      </x:c>
      <x:c r="C378" s="30" t="str">
        <x:v>Dynamic Update</x:v>
      </x:c>
      <x:c r="D378" s="30" t="n">
        <x:v>2</x:v>
      </x:c>
      <x:c r="E378" s="30" t="str">
        <x:v>What is the latest diagnosis Barbara Jones received by Sep 01, 2027?</x:v>
      </x:c>
      <x:c r="F378" s="30" t="str">
        <x:v>Chronic Fatigue Syndrome</x:v>
      </x:c>
      <x:c r="G378" s="30" t="str">
        <x:v>Chronic Fatigue Syndrome</x:v>
      </x:c>
      <x:c r="H378" s="30" t="str">
        <x:v>deepseek-v4-flash</x:v>
      </x:c>
      <x:c r="I378" s="30" t="str">
        <x:v>deepseek-v4-flash</x:v>
      </x:c>
      <x:c r="J378" s="30" t="str">
        <x:v>60cbecc40bb1843bae3bedd9b752a69d2fcbe5ff2402d2e479ddd33fbaa2e5d9</x:v>
      </x:c>
      <x:c r="K378" s="30" t="str">
        <x:v>05c912b16c0c5b95263a0179233faeeb7252e87e5dd1ef36ede36ee32a115df1</x:v>
      </x:c>
      <x:c r="L378" s="30" t="n">
        <x:v>861.01</x:v>
      </x:c>
      <x:c r="M378" s="30" t="str">
        <x:v>{"completion_tokens": 3, "prompt_tokens": 538, "total_tokens": 541, "completion_tokens_details": null, "prompt_tokens_details": {"audio_tokens": null, "cached_tokens": 512}, "prompt_cache_hit_tokens": 512, "prompt_cache_miss_tokens": 26}</x:v>
      </x:c>
      <x:c r="N378" s="30" t="str">
        <x:v>correct</x:v>
      </x:c>
      <x:c r="O378" s="30" t="str">
        <x:v>The model answer 'Chronic Fatigue Syndrome' exactly matches the benchmark gold answer, providing the complete and correct diagnosis.</x:v>
      </x:c>
      <x:c r="P378" s="30" t="str">
        <x:v>LongCat-2.0</x:v>
      </x:c>
      <x:c r="Q378" s="30" t="str">
        <x:v>LongCat-2.0</x:v>
      </x:c>
      <x:c r="R378" s="30" t="n">
        <x:v>1747.2</x:v>
      </x:c>
      <x:c r="S378" s="30" t="str">
        <x:v>{"completion_tokens": 35, "prompt_tokens": 149, "total_tokens": 184,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79">
      <x:c r="A379" s="30" t="str">
        <x:v>memos_long:3125</x:v>
      </x:c>
      <x:c r="B379" s="30" t="str">
        <x:v>long</x:v>
      </x:c>
      <x:c r="C379" s="30" t="str">
        <x:v>Dynamic Update</x:v>
      </x:c>
      <x:c r="D379" s="30" t="n">
        <x:v>3</x:v>
      </x:c>
      <x:c r="E379" s="30" t="str">
        <x:v>What is the latest diagnosis Barbara Jones received by Sep 01, 2027?</x:v>
      </x:c>
      <x:c r="F379" s="30" t="str">
        <x:v>Chronic Fatigue Syndrome</x:v>
      </x:c>
      <x:c r="G379" s="30" t="str">
        <x:v>Chronic Fatigue Syndrome</x:v>
      </x:c>
      <x:c r="H379" s="30" t="str">
        <x:v>deepseek-v4-flash</x:v>
      </x:c>
      <x:c r="I379" s="30" t="str">
        <x:v>deepseek-v4-flash</x:v>
      </x:c>
      <x:c r="J379" s="30" t="str">
        <x:v>60cbecc40bb1843bae3bedd9b752a69d2fcbe5ff2402d2e479ddd33fbaa2e5d9</x:v>
      </x:c>
      <x:c r="K379" s="30" t="str">
        <x:v>05c912b16c0c5b95263a0179233faeeb7252e87e5dd1ef36ede36ee32a115df1</x:v>
      </x:c>
      <x:c r="L379" s="30" t="n">
        <x:v>815.04</x:v>
      </x:c>
      <x:c r="M379" s="30" t="str">
        <x:v>{"completion_tokens": 3, "prompt_tokens": 538, "total_tokens": 541, "completion_tokens_details": null, "prompt_tokens_details": {"audio_tokens": null, "cached_tokens": 512}, "prompt_cache_hit_tokens": 512, "prompt_cache_miss_tokens": 26}</x:v>
      </x:c>
      <x:c r="N379" s="30" t="str">
        <x:v>correct</x:v>
      </x:c>
      <x:c r="O379" s="30" t="str">
        <x:v>The model answer 'Chronic Fatigue Syndrome' exactly matches the benchmark gold answer, providing the complete and correct diagnosis.</x:v>
      </x:c>
      <x:c r="P379" s="30" t="str">
        <x:v>LongCat-2.0</x:v>
      </x:c>
      <x:c r="Q379" s="30" t="str">
        <x:v>LongCat-2.0</x:v>
      </x:c>
      <x:c r="R379" s="30" t="n">
        <x:v>2047.78</x:v>
      </x:c>
      <x:c r="S379" s="30" t="str">
        <x:v>{"completion_tokens": 35, "prompt_tokens": 149, "total_tokens": 184,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80">
      <x:c r="A380" s="30" t="str">
        <x:v>memos_long:3175</x:v>
      </x:c>
      <x:c r="B380" s="30" t="str">
        <x:v>long</x:v>
      </x:c>
      <x:c r="C380" s="30" t="str">
        <x:v>Memory Conflict</x:v>
      </x:c>
      <x:c r="D380" s="30" t="n">
        <x:v>1</x:v>
      </x:c>
      <x:c r="E380" s="30" t="str">
        <x:v>Did Barbara express disinterest in involving friends and colleagues in her sports activities on May 03, 2032?</x:v>
      </x:c>
      <x:c r="F380" s="30" t="str">
        <x:v>No, she plans to involve friends and colleagues.</x:v>
      </x:c>
      <x:c r="G380" s="30" t="str">
        <x:v>No</x:v>
      </x:c>
      <x:c r="H380" s="30" t="str">
        <x:v>deepseek-v4-flash</x:v>
      </x:c>
      <x:c r="I380" s="30" t="str">
        <x:v>deepseek-v4-flash</x:v>
      </x:c>
      <x:c r="J380" s="30" t="str">
        <x:v>cee5bf431b113b33477828efda72d1581bb487f8e30818ac11f38208b7576da9</x:v>
      </x:c>
      <x:c r="K380" s="30" t="str">
        <x:v>851f50ab223a4e0574ebdf9a25850bbba3812102e9dd1c6c396273aaba32f6b5</x:v>
      </x:c>
      <x:c r="L380" s="30" t="n">
        <x:v>787.97</x:v>
      </x:c>
      <x:c r="M380" s="30" t="str">
        <x:v>{"completion_tokens": 1, "prompt_tokens": 573, "total_tokens": 574, "completion_tokens_details": null, "prompt_tokens_details": {"audio_tokens": null, "cached_tokens": 512}, "prompt_cache_hit_tokens": 512, "prompt_cache_miss_tokens": 61}</x:v>
      </x:c>
      <x:c r="N380" s="30" t="str">
        <x:v>omission</x:v>
      </x:c>
      <x:c r="O380" s="30" t="str">
        <x:v>The model answer 'No' is factually aligned with the gold answer but omits the key supporting detail that she plans to involve friends and colleagues, making it an incomplete subset of the gold answer.</x:v>
      </x:c>
      <x:c r="P380" s="30" t="str">
        <x:v>LongCat-2.0</x:v>
      </x:c>
      <x:c r="Q380" s="30" t="str">
        <x:v>LongCat-2.0</x:v>
      </x:c>
      <x:c r="R380" s="30" t="n">
        <x:v>3000.34</x:v>
      </x:c>
      <x:c r="S380" s="30" t="str">
        <x:v>{"completion_tokens": 52, "prompt_tokens": 155,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81">
      <x:c r="A381" s="30" t="str">
        <x:v>memos_long:3175</x:v>
      </x:c>
      <x:c r="B381" s="30" t="str">
        <x:v>long</x:v>
      </x:c>
      <x:c r="C381" s="30" t="str">
        <x:v>Memory Conflict</x:v>
      </x:c>
      <x:c r="D381" s="30" t="n">
        <x:v>2</x:v>
      </x:c>
      <x:c r="E381" s="30" t="str">
        <x:v>Did Barbara express disinterest in involving friends and colleagues in her sports activities on May 03, 2032?</x:v>
      </x:c>
      <x:c r="F381" s="30" t="str">
        <x:v>No, she plans to involve friends and colleagues.</x:v>
      </x:c>
      <x:c r="G381" s="30" t="str">
        <x:v>No</x:v>
      </x:c>
      <x:c r="H381" s="30" t="str">
        <x:v>deepseek-v4-flash</x:v>
      </x:c>
      <x:c r="I381" s="30" t="str">
        <x:v>deepseek-v4-flash</x:v>
      </x:c>
      <x:c r="J381" s="30" t="str">
        <x:v>cee5bf431b113b33477828efda72d1581bb487f8e30818ac11f38208b7576da9</x:v>
      </x:c>
      <x:c r="K381" s="30" t="str">
        <x:v>851f50ab223a4e0574ebdf9a25850bbba3812102e9dd1c6c396273aaba32f6b5</x:v>
      </x:c>
      <x:c r="L381" s="30" t="n">
        <x:v>720.81</x:v>
      </x:c>
      <x:c r="M381" s="30" t="str">
        <x:v>{"completion_tokens": 1, "prompt_tokens": 573, "total_tokens": 574, "completion_tokens_details": null, "prompt_tokens_details": {"audio_tokens": null, "cached_tokens": 512}, "prompt_cache_hit_tokens": 512, "prompt_cache_miss_tokens": 61}</x:v>
      </x:c>
      <x:c r="N381" s="30" t="str">
        <x:v>omission</x:v>
      </x:c>
      <x:c r="O381" s="30" t="str">
        <x:v>The model answer 'No' is factually aligned with the gold answer but omits the key supporting detail that she plans to involve friends and colleagues, making it an incomplete subset of the gold answer.</x:v>
      </x:c>
      <x:c r="P381" s="30" t="str">
        <x:v>LongCat-2.0</x:v>
      </x:c>
      <x:c r="Q381" s="30" t="str">
        <x:v>LongCat-2.0</x:v>
      </x:c>
      <x:c r="R381" s="30" t="n">
        <x:v>2102.2</x:v>
      </x:c>
      <x:c r="S381" s="30" t="str">
        <x:v>{"completion_tokens": 52, "prompt_tokens": 155,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2">
      <x:c r="A382" s="30" t="str">
        <x:v>memos_long:3175</x:v>
      </x:c>
      <x:c r="B382" s="30" t="str">
        <x:v>long</x:v>
      </x:c>
      <x:c r="C382" s="30" t="str">
        <x:v>Memory Conflict</x:v>
      </x:c>
      <x:c r="D382" s="30" t="n">
        <x:v>3</x:v>
      </x:c>
      <x:c r="E382" s="30" t="str">
        <x:v>Did Barbara express disinterest in involving friends and colleagues in her sports activities on May 03, 2032?</x:v>
      </x:c>
      <x:c r="F382" s="30" t="str">
        <x:v>No, she plans to involve friends and colleagues.</x:v>
      </x:c>
      <x:c r="G382" s="30" t="str">
        <x:v>No</x:v>
      </x:c>
      <x:c r="H382" s="30" t="str">
        <x:v>deepseek-v4-flash</x:v>
      </x:c>
      <x:c r="I382" s="30" t="str">
        <x:v>deepseek-v4-flash</x:v>
      </x:c>
      <x:c r="J382" s="30" t="str">
        <x:v>cee5bf431b113b33477828efda72d1581bb487f8e30818ac11f38208b7576da9</x:v>
      </x:c>
      <x:c r="K382" s="30" t="str">
        <x:v>851f50ab223a4e0574ebdf9a25850bbba3812102e9dd1c6c396273aaba32f6b5</x:v>
      </x:c>
      <x:c r="L382" s="30" t="n">
        <x:v>598.75</x:v>
      </x:c>
      <x:c r="M382" s="30" t="str">
        <x:v>{"completion_tokens": 1, "prompt_tokens": 573, "total_tokens": 574, "completion_tokens_details": null, "prompt_tokens_details": {"audio_tokens": null, "cached_tokens": 512}, "prompt_cache_hit_tokens": 512, "prompt_cache_miss_tokens": 61}</x:v>
      </x:c>
      <x:c r="N382" s="30" t="str">
        <x:v>omission</x:v>
      </x:c>
      <x:c r="O382" s="30" t="str">
        <x:v>The model answer 'No' correctly indicates that Barbara did not express disinterest, but it omits the supporting detail from the gold answer that she plans to involve friends and colleagues. Since it provides only an incomplete subset of the gold answer without adding any false claim, it is an omission.</x:v>
      </x:c>
      <x:c r="P382" s="30" t="str">
        <x:v>LongCat-2.0</x:v>
      </x:c>
      <x:c r="Q382" s="30" t="str">
        <x:v>LongCat-2.0</x:v>
      </x:c>
      <x:c r="R382" s="30" t="n">
        <x:v>3907.99</x:v>
      </x:c>
      <x:c r="S382" s="30" t="str">
        <x:v>{"completion_tokens": 70, "prompt_tokens": 155,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3">
      <x:c r="A383" s="30" t="str">
        <x:v>memos_long:3197</x:v>
      </x:c>
      <x:c r="B383" s="30" t="str">
        <x:v>long</x:v>
      </x:c>
      <x:c r="C383" s="30" t="str">
        <x:v>Generalization &amp; Application</x:v>
      </x:c>
      <x:c r="D383" s="30" t="n">
        <x:v>1</x:v>
      </x:c>
      <x:c r="E383" s="30" t="str">
        <x:v>What type of fictional content could Barbara explore to enhance her research creativity after Sep 09, 2034?</x:v>
      </x:c>
      <x:c r="F383" s="30" t="str">
        <x:v>Fantasy or sci-fi genres.</x:v>
      </x:c>
      <x:c r="G383" s="30" t="str">
        <x:v>Fictional movies</x:v>
      </x:c>
      <x:c r="H383" s="30" t="str">
        <x:v>deepseek-v4-flash</x:v>
      </x:c>
      <x:c r="I383" s="30" t="str">
        <x:v>deepseek-v4-flash</x:v>
      </x:c>
      <x:c r="J383" s="30" t="str">
        <x:v>1c14d3032edb7a44d7e6fffb550235ba65f4bd5cccf0f0ef5558f1226132aa51</x:v>
      </x:c>
      <x:c r="K383" s="30" t="str">
        <x:v>2fb3fb3e92e37ddb19cd80d17bbe0d589d9fe11c589dc2cbfbe04efe4565f576</x:v>
      </x:c>
      <x:c r="L383" s="30" t="n">
        <x:v>856.12</x:v>
      </x:c>
      <x:c r="M383" s="30" t="str">
        <x:v>{"completion_tokens": 3, "prompt_tokens": 595, "total_tokens": 598, "completion_tokens_details": null, "prompt_tokens_details": {"audio_tokens": null, "cached_tokens": 512}, "prompt_cache_hit_tokens": 512, "prompt_cache_miss_tokens": 83}</x:v>
      </x:c>
      <x:c r="N383" s="30" t="str">
        <x:v>omission</x:v>
      </x:c>
      <x:c r="O383" s="30" t="str">
        <x:v>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x:v>
      </x:c>
      <x:c r="P383" s="30" t="str">
        <x:v>LongCat-2.0</x:v>
      </x:c>
      <x:c r="Q383" s="30" t="str">
        <x:v>LongCat-2.0</x:v>
      </x:c>
      <x:c r="R383" s="30" t="n">
        <x:v>4919.22</x:v>
      </x:c>
      <x:c r="S383" s="30" t="str">
        <x:v>{"completion_tokens": 92, "prompt_tokens": 153,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4">
      <x:c r="A384" s="30" t="str">
        <x:v>memos_long:3197</x:v>
      </x:c>
      <x:c r="B384" s="30" t="str">
        <x:v>long</x:v>
      </x:c>
      <x:c r="C384" s="30" t="str">
        <x:v>Generalization &amp; Application</x:v>
      </x:c>
      <x:c r="D384" s="30" t="n">
        <x:v>2</x:v>
      </x:c>
      <x:c r="E384" s="30" t="str">
        <x:v>What type of fictional content could Barbara explore to enhance her research creativity after Sep 09, 2034?</x:v>
      </x:c>
      <x:c r="F384" s="30" t="str">
        <x:v>Fantasy or sci-fi genres.</x:v>
      </x:c>
      <x:c r="G384" s="30" t="str">
        <x:v>Fictional movies</x:v>
      </x:c>
      <x:c r="H384" s="30" t="str">
        <x:v>deepseek-v4-flash</x:v>
      </x:c>
      <x:c r="I384" s="30" t="str">
        <x:v>deepseek-v4-flash</x:v>
      </x:c>
      <x:c r="J384" s="30" t="str">
        <x:v>1c14d3032edb7a44d7e6fffb550235ba65f4bd5cccf0f0ef5558f1226132aa51</x:v>
      </x:c>
      <x:c r="K384" s="30" t="str">
        <x:v>2fb3fb3e92e37ddb19cd80d17bbe0d589d9fe11c589dc2cbfbe04efe4565f576</x:v>
      </x:c>
      <x:c r="L384" s="30" t="n">
        <x:v>614.34</x:v>
      </x:c>
      <x:c r="M384" s="30" t="str">
        <x:v>{"completion_tokens": 3, "prompt_tokens": 595, "total_tokens": 598, "completion_tokens_details": null, "prompt_tokens_details": {"audio_tokens": null, "cached_tokens": 512}, "prompt_cache_hit_tokens": 512, "prompt_cache_miss_tokens": 83}</x:v>
      </x:c>
      <x:c r="N384" s="30" t="str">
        <x:v>omission</x:v>
      </x:c>
      <x:c r="O384" s="30" t="str">
        <x:v>The gold answer specifies 'Fantasy or sci-fi genres' as the type of fictional content. The model answer 'Fictional movies' is too vague and does not provide the specific genres required by the gold answer, making it an incomplete subset without adding a concrete false claim.</x:v>
      </x:c>
      <x:c r="P384" s="30" t="str">
        <x:v>LongCat-2.0</x:v>
      </x:c>
      <x:c r="Q384" s="30" t="str">
        <x:v>LongCat-2.0</x:v>
      </x:c>
      <x:c r="R384" s="30" t="n">
        <x:v>5130.16</x:v>
      </x:c>
      <x:c r="S384" s="30" t="str">
        <x:v>{"completion_tokens": 67, "prompt_tokens": 153,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85">
      <x:c r="A385" s="30" t="str">
        <x:v>memos_long:3197</x:v>
      </x:c>
      <x:c r="B385" s="30" t="str">
        <x:v>long</x:v>
      </x:c>
      <x:c r="C385" s="30" t="str">
        <x:v>Generalization &amp; Application</x:v>
      </x:c>
      <x:c r="D385" s="30" t="n">
        <x:v>3</x:v>
      </x:c>
      <x:c r="E385" s="30" t="str">
        <x:v>What type of fictional content could Barbara explore to enhance her research creativity after Sep 09, 2034?</x:v>
      </x:c>
      <x:c r="F385" s="30" t="str">
        <x:v>Fantasy or sci-fi genres.</x:v>
      </x:c>
      <x:c r="G385" s="30" t="str">
        <x:v>Fictional movies</x:v>
      </x:c>
      <x:c r="H385" s="30" t="str">
        <x:v>deepseek-v4-flash</x:v>
      </x:c>
      <x:c r="I385" s="30" t="str">
        <x:v>deepseek-v4-flash</x:v>
      </x:c>
      <x:c r="J385" s="30" t="str">
        <x:v>1c14d3032edb7a44d7e6fffb550235ba65f4bd5cccf0f0ef5558f1226132aa51</x:v>
      </x:c>
      <x:c r="K385" s="30" t="str">
        <x:v>2fb3fb3e92e37ddb19cd80d17bbe0d589d9fe11c589dc2cbfbe04efe4565f576</x:v>
      </x:c>
      <x:c r="L385" s="30" t="n">
        <x:v>549.12</x:v>
      </x:c>
      <x:c r="M385" s="30" t="str">
        <x:v>{"completion_tokens": 3, "prompt_tokens": 595, "total_tokens": 598, "completion_tokens_details": null, "prompt_tokens_details": {"audio_tokens": null, "cached_tokens": 512}, "prompt_cache_hit_tokens": 512, "prompt_cache_miss_tokens": 83}</x:v>
      </x:c>
      <x:c r="N385" s="30" t="str">
        <x:v>omission</x:v>
      </x:c>
      <x:c r="O385" s="30" t="str">
        <x:v>The gold answer specifies 'Fantasy or sci-fi genres' as the type of fictional content. The model answer 'Fictional movies' is overly broad and does not capture the specific genres mentioned in the gold answer. It provides only an incomplete subset (movies could include fantasy or sci-fi, but it does not specify these genres) without adding a concrete false claim, so it is an omission.</x:v>
      </x:c>
      <x:c r="P385" s="30" t="str">
        <x:v>LongCat-2.0</x:v>
      </x:c>
      <x:c r="Q385" s="30" t="str">
        <x:v>LongCat-2.0</x:v>
      </x:c>
      <x:c r="R385" s="30" t="n">
        <x:v>5468.02</x:v>
      </x:c>
      <x:c r="S385" s="30" t="str">
        <x:v>{"completion_tokens": 92, "prompt_tokens": 153,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6">
      <x:c r="A386" s="30" t="str">
        <x:v>memos_long:3201</x:v>
      </x:c>
      <x:c r="B386" s="30" t="str">
        <x:v>long</x:v>
      </x:c>
      <x:c r="C386" s="30" t="str">
        <x:v>Generalization &amp; Application</x:v>
      </x:c>
      <x:c r="D386" s="30" t="n">
        <x:v>1</x:v>
      </x:c>
      <x:c r="E386" s="30" t="str">
        <x:v>How might Barbara Jones's clothing preferences influence her choice of attire for a professional event in March 2035?</x:v>
      </x:c>
      <x:c r="F386" s="30" t="str">
        <x:v>She would likely choose smart casual attire.</x:v>
      </x:c>
      <x:c r="G386" s="30" t="str">
        <x:v>Smart casual attire.</x:v>
      </x:c>
      <x:c r="H386" s="30" t="str">
        <x:v>deepseek-v4-flash</x:v>
      </x:c>
      <x:c r="I386" s="30" t="str">
        <x:v>deepseek-v4-flash</x:v>
      </x:c>
      <x:c r="J386" s="30" t="str">
        <x:v>4deeabba1a8db10bc0a3acd13a3370867cc407a9be19d98394a655bfe687d7a8</x:v>
      </x:c>
      <x:c r="K386" s="30" t="str">
        <x:v>929a2b613e4176838c08e1a23275c9ada69b1399c3b91919aae097ef57eeb433</x:v>
      </x:c>
      <x:c r="L386" s="30" t="n">
        <x:v>697.2</x:v>
      </x:c>
      <x:c r="M386" s="30" t="str">
        <x:v>{"completion_tokens": 4, "prompt_tokens": 603, "total_tokens": 607, "completion_tokens_details": null, "prompt_tokens_details": {"audio_tokens": null, "cached_tokens": 512}, "prompt_cache_hit_tokens": 512, "prompt_cache_miss_tokens": 91}</x:v>
      </x:c>
      <x:c r="N386" s="30" t="str">
        <x:v>correct</x:v>
      </x:c>
      <x:c r="O386" s="30" t="str">
        <x:v>The model answer 'Smart casual attire' is semantically identical to the benchmark gold answer 'She would likely choose smart casual attire,' conveying the complete meaning with only minor wording differences.</x:v>
      </x:c>
      <x:c r="P386" s="30" t="str">
        <x:v>LongCat-2.0</x:v>
      </x:c>
      <x:c r="Q386" s="30" t="str">
        <x:v>LongCat-2.0</x:v>
      </x:c>
      <x:c r="R386" s="30" t="n">
        <x:v>3921.33</x:v>
      </x:c>
      <x:c r="S386" s="30" t="str">
        <x:v>{"completion_tokens": 47, "prompt_tokens": 153, "total_tokens": 200,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87">
      <x:c r="A387" s="30" t="str">
        <x:v>memos_long:3201</x:v>
      </x:c>
      <x:c r="B387" s="30" t="str">
        <x:v>long</x:v>
      </x:c>
      <x:c r="C387" s="30" t="str">
        <x:v>Generalization &amp; Application</x:v>
      </x:c>
      <x:c r="D387" s="30" t="n">
        <x:v>2</x:v>
      </x:c>
      <x:c r="E387" s="30" t="str">
        <x:v>How might Barbara Jones's clothing preferences influence her choice of attire for a professional event in March 2035?</x:v>
      </x:c>
      <x:c r="F387" s="30" t="str">
        <x:v>She would likely choose smart casual attire.</x:v>
      </x:c>
      <x:c r="G387" s="30" t="str">
        <x:v>Smart casual attire.</x:v>
      </x:c>
      <x:c r="H387" s="30" t="str">
        <x:v>deepseek-v4-flash</x:v>
      </x:c>
      <x:c r="I387" s="30" t="str">
        <x:v>deepseek-v4-flash</x:v>
      </x:c>
      <x:c r="J387" s="30" t="str">
        <x:v>4deeabba1a8db10bc0a3acd13a3370867cc407a9be19d98394a655bfe687d7a8</x:v>
      </x:c>
      <x:c r="K387" s="30" t="str">
        <x:v>929a2b613e4176838c08e1a23275c9ada69b1399c3b91919aae097ef57eeb433</x:v>
      </x:c>
      <x:c r="L387" s="30" t="n">
        <x:v>858.67</x:v>
      </x:c>
      <x:c r="M387" s="30" t="str">
        <x:v>{"completion_tokens": 4, "prompt_tokens": 603, "total_tokens": 607, "completion_tokens_details": null, "prompt_tokens_details": {"audio_tokens": null, "cached_tokens": 512}, "prompt_cache_hit_tokens": 512, "prompt_cache_miss_tokens": 91}</x:v>
      </x:c>
      <x:c r="N387" s="30" t="str">
        <x:v>correct</x:v>
      </x:c>
      <x:c r="O387" s="30" t="str">
        <x:v>The model answer 'Smart casual attire' is semantically equivalent to the benchmark gold answer 'She would likely choose smart casual attire,' conveying the same complete meaning with only minor wording differences.</x:v>
      </x:c>
      <x:c r="P387" s="30" t="str">
        <x:v>LongCat-2.0</x:v>
      </x:c>
      <x:c r="Q387" s="30" t="str">
        <x:v>LongCat-2.0</x:v>
      </x:c>
      <x:c r="R387" s="30" t="n">
        <x:v>2471.35</x:v>
      </x:c>
      <x:c r="S387" s="30" t="str">
        <x:v>{"completion_tokens": 48, "prompt_tokens": 153, "total_tokens": 201,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8">
      <x:c r="A388" s="30" t="str">
        <x:v>memos_long:3201</x:v>
      </x:c>
      <x:c r="B388" s="30" t="str">
        <x:v>long</x:v>
      </x:c>
      <x:c r="C388" s="30" t="str">
        <x:v>Generalization &amp; Application</x:v>
      </x:c>
      <x:c r="D388" s="30" t="n">
        <x:v>3</x:v>
      </x:c>
      <x:c r="E388" s="30" t="str">
        <x:v>How might Barbara Jones's clothing preferences influence her choice of attire for a professional event in March 2035?</x:v>
      </x:c>
      <x:c r="F388" s="30" t="str">
        <x:v>She would likely choose smart casual attire.</x:v>
      </x:c>
      <x:c r="G388" s="30" t="str">
        <x:v>Smart casual attire.</x:v>
      </x:c>
      <x:c r="H388" s="30" t="str">
        <x:v>deepseek-v4-flash</x:v>
      </x:c>
      <x:c r="I388" s="30" t="str">
        <x:v>deepseek-v4-flash</x:v>
      </x:c>
      <x:c r="J388" s="30" t="str">
        <x:v>4deeabba1a8db10bc0a3acd13a3370867cc407a9be19d98394a655bfe687d7a8</x:v>
      </x:c>
      <x:c r="K388" s="30" t="str">
        <x:v>929a2b613e4176838c08e1a23275c9ada69b1399c3b91919aae097ef57eeb433</x:v>
      </x:c>
      <x:c r="L388" s="30" t="n">
        <x:v>772.68</x:v>
      </x:c>
      <x:c r="M388" s="30" t="str">
        <x:v>{"completion_tokens": 4, "prompt_tokens": 603, "total_tokens": 607, "completion_tokens_details": null, "prompt_tokens_details": {"audio_tokens": null, "cached_tokens": 512}, "prompt_cache_hit_tokens": 512, "prompt_cache_miss_tokens": 91}</x:v>
      </x:c>
      <x:c r="N388" s="30" t="str">
        <x:v>correct</x:v>
      </x:c>
      <x:c r="O388" s="30" t="str">
        <x:v>The model answer 'Smart casual attire' is a semantically complete match to the benchmark gold answer 'She would likely choose smart casual attire,' differing only in wording and the omission of the framing phrase 'She would likely choose,' which does not change the core meaning.</x:v>
      </x:c>
      <x:c r="P388" s="30" t="str">
        <x:v>LongCat-2.0</x:v>
      </x:c>
      <x:c r="Q388" s="30" t="str">
        <x:v>LongCat-2.0</x:v>
      </x:c>
      <x:c r="R388" s="30" t="n">
        <x:v>3775.21</x:v>
      </x:c>
      <x:c r="S388" s="30" t="str">
        <x:v>{"completion_tokens": 64, "prompt_tokens": 153,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89">
      <x:c r="A389" s="30" t="str">
        <x:v>memos_long:3213</x:v>
      </x:c>
      <x:c r="B389" s="30" t="str">
        <x:v>long</x:v>
      </x:c>
      <x:c r="C389" s="30" t="str">
        <x:v>Generalization &amp; Application</x:v>
      </x:c>
      <x:c r="D389" s="30" t="n">
        <x:v>1</x:v>
      </x:c>
      <x:c r="E389" s="30" t="str">
        <x:v>Based on Barbara Jones's preference for nutrient-rich beverages, what new ingredient could she try in her juices for improved digestion as of Jul 26, 2036?</x:v>
      </x:c>
      <x:c r="F389" s="30" t="str">
        <x:v>Barbara could try adding ginger for digestion benefits.</x:v>
      </x:c>
      <x:c r="G389" s="30" t="str">
        <x:v>Ginger or mint.</x:v>
      </x:c>
      <x:c r="H389" s="30" t="str">
        <x:v>deepseek-v4-flash</x:v>
      </x:c>
      <x:c r="I389" s="30" t="str">
        <x:v>deepseek-v4-flash</x:v>
      </x:c>
      <x:c r="J389" s="30" t="str">
        <x:v>527f302ed03b19274f2e51729f84081643120e46eaf0bfd1fb06bcb1cd776153</x:v>
      </x:c>
      <x:c r="K389" s="30" t="str">
        <x:v>1cb894aa217997075e84895ed9fe430de1adf2a99724a1a1a2308b0b4b771048</x:v>
      </x:c>
      <x:c r="L389" s="30" t="n">
        <x:v>880.52</x:v>
      </x:c>
      <x:c r="M389" s="30" t="str">
        <x:v>{"completion_tokens": 5, "prompt_tokens": 580, "total_tokens": 585, "completion_tokens_details": null, "prompt_tokens_details": {"audio_tokens": null, "cached_tokens": 512}, "prompt_cache_hit_tokens": 512, "prompt_cache_miss_tokens": 68}</x:v>
      </x:c>
      <x:c r="N389" s="30" t="str">
        <x:v>hallucination</x:v>
      </x:c>
      <x:c r="O389" s="30" t="str">
        <x:v>The gold answer specifies ginger as the ingredient for digestion benefits. The model answer includes ginger but also adds mint, which is not supported by the gold answer. Since mint is a concrete claim not present in the gold answer and is not indicated as a digestion-specific recommendation in the benchmark, this constitutes a hallucination.</x:v>
      </x:c>
      <x:c r="P389" s="30" t="str">
        <x:v>LongCat-2.0</x:v>
      </x:c>
      <x:c r="Q389" s="30" t="str">
        <x:v>LongCat-2.0</x:v>
      </x:c>
      <x:c r="R389" s="30" t="n">
        <x:v>3632.19</x:v>
      </x:c>
      <x:c r="S389" s="30" t="str">
        <x:v>{"completion_tokens": 75, "prompt_tokens": 167,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0">
      <x:c r="A390" s="30" t="str">
        <x:v>memos_long:3213</x:v>
      </x:c>
      <x:c r="B390" s="30" t="str">
        <x:v>long</x:v>
      </x:c>
      <x:c r="C390" s="30" t="str">
        <x:v>Generalization &amp; Application</x:v>
      </x:c>
      <x:c r="D390" s="30" t="n">
        <x:v>2</x:v>
      </x:c>
      <x:c r="E390" s="30" t="str">
        <x:v>Based on Barbara Jones's preference for nutrient-rich beverages, what new ingredient could she try in her juices for improved digestion as of Jul 26, 2036?</x:v>
      </x:c>
      <x:c r="F390" s="30" t="str">
        <x:v>Barbara could try adding ginger for digestion benefits.</x:v>
      </x:c>
      <x:c r="G390" s="30" t="str">
        <x:v>Ginger or mint.</x:v>
      </x:c>
      <x:c r="H390" s="30" t="str">
        <x:v>deepseek-v4-flash</x:v>
      </x:c>
      <x:c r="I390" s="30" t="str">
        <x:v>deepseek-v4-flash</x:v>
      </x:c>
      <x:c r="J390" s="30" t="str">
        <x:v>527f302ed03b19274f2e51729f84081643120e46eaf0bfd1fb06bcb1cd776153</x:v>
      </x:c>
      <x:c r="K390" s="30" t="str">
        <x:v>1cb894aa217997075e84895ed9fe430de1adf2a99724a1a1a2308b0b4b771048</x:v>
      </x:c>
      <x:c r="L390" s="30" t="n">
        <x:v>877.98</x:v>
      </x:c>
      <x:c r="M390" s="30" t="str">
        <x:v>{"completion_tokens": 5, "prompt_tokens": 580, "total_tokens": 585, "completion_tokens_details": null, "prompt_tokens_details": {"audio_tokens": null, "cached_tokens": 512}, "prompt_cache_hit_tokens": 512, "prompt_cache_miss_tokens": 68}</x:v>
      </x:c>
      <x:c r="N390" s="30" t="str">
        <x:v>hallucination</x:v>
      </x:c>
      <x:c r="O390" s="30" t="str">
        <x:v>The gold answer specifies ginger as the ingredient for digestion benefits. The model answer includes ginger but also adds mint, which is not supported by the gold answer. Since mint is presented as an alternative concrete answer without basis in the gold answer, this constitutes a hallucination.</x:v>
      </x:c>
      <x:c r="P390" s="30" t="str">
        <x:v>LongCat-2.0</x:v>
      </x:c>
      <x:c r="Q390" s="30" t="str">
        <x:v>LongCat-2.0</x:v>
      </x:c>
      <x:c r="R390" s="30" t="n">
        <x:v>4085.17</x:v>
      </x:c>
      <x:c r="S390" s="30" t="str">
        <x:v>{"completion_tokens": 66, "prompt_tokens": 167,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91">
      <x:c r="A391" s="30" t="str">
        <x:v>memos_long:3213</x:v>
      </x:c>
      <x:c r="B391" s="30" t="str">
        <x:v>long</x:v>
      </x:c>
      <x:c r="C391" s="30" t="str">
        <x:v>Generalization &amp; Application</x:v>
      </x:c>
      <x:c r="D391" s="30" t="n">
        <x:v>3</x:v>
      </x:c>
      <x:c r="E391" s="30" t="str">
        <x:v>Based on Barbara Jones's preference for nutrient-rich beverages, what new ingredient could she try in her juices for improved digestion as of Jul 26, 2036?</x:v>
      </x:c>
      <x:c r="F391" s="30" t="str">
        <x:v>Barbara could try adding ginger for digestion benefits.</x:v>
      </x:c>
      <x:c r="G391" s="30" t="str">
        <x:v>Ginger or mint.</x:v>
      </x:c>
      <x:c r="H391" s="30" t="str">
        <x:v>deepseek-v4-flash</x:v>
      </x:c>
      <x:c r="I391" s="30" t="str">
        <x:v>deepseek-v4-flash</x:v>
      </x:c>
      <x:c r="J391" s="30" t="str">
        <x:v>527f302ed03b19274f2e51729f84081643120e46eaf0bfd1fb06bcb1cd776153</x:v>
      </x:c>
      <x:c r="K391" s="30" t="str">
        <x:v>1cb894aa217997075e84895ed9fe430de1adf2a99724a1a1a2308b0b4b771048</x:v>
      </x:c>
      <x:c r="L391" s="30" t="n">
        <x:v>879.5</x:v>
      </x:c>
      <x:c r="M391" s="30" t="str">
        <x:v>{"completion_tokens": 5, "prompt_tokens": 580, "total_tokens": 585, "completion_tokens_details": null, "prompt_tokens_details": {"audio_tokens": null, "cached_tokens": 512}, "prompt_cache_hit_tokens": 512, "prompt_cache_miss_tokens": 68}</x:v>
      </x:c>
      <x:c r="N391" s="30" t="str">
        <x:v>hallucination</x:v>
      </x:c>
      <x:c r="O391" s="30" t="str">
        <x:v>The gold answer specifies ginger as the ingredient for digestion benefits. The model answer includes ginger but also adds mint, which is not supported by the gold answer. Since mint is a concrete claim not present in the gold answer, this constitutes a hallucination.</x:v>
      </x:c>
      <x:c r="P391" s="30" t="str">
        <x:v>LongCat-2.0</x:v>
      </x:c>
      <x:c r="Q391" s="30" t="str">
        <x:v>LongCat-2.0</x:v>
      </x:c>
      <x:c r="R391" s="30" t="n">
        <x:v>2781.98</x:v>
      </x:c>
      <x:c r="S391" s="30" t="str">
        <x:v>{"completion_tokens": 63, "prompt_tokens": 167,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2">
      <x:c r="A392" s="30" t="str">
        <x:v>memos_long:3263</x:v>
      </x:c>
      <x:c r="B392" s="30" t="str">
        <x:v>long</x:v>
      </x:c>
      <x:c r="C392" s="30" t="str">
        <x:v>Generalization &amp; Application</x:v>
      </x:c>
      <x:c r="D392" s="30" t="n">
        <x:v>1</x:v>
      </x:c>
      <x:c r="E392" s="30" t="str">
        <x:v>How could Barbara enhance her focus during research if dynamic classical music is unavailable?</x:v>
      </x:c>
      <x:c r="F392" s="30" t="str">
        <x:v>Use a focus-enhancing environment to maintain productivity.</x:v>
      </x:c>
      <x:c r="G392" s="30" t="str">
        <x:v>Use compensatory motivation strategies.</x:v>
      </x:c>
      <x:c r="H392" s="30" t="str">
        <x:v>deepseek-v4-flash</x:v>
      </x:c>
      <x:c r="I392" s="30" t="str">
        <x:v>deepseek-v4-flash</x:v>
      </x:c>
      <x:c r="J392" s="30" t="str">
        <x:v>8240cd571c3d42a6197480fcb3eb48537563040622feac45844dd10d1e64e6a7</x:v>
      </x:c>
      <x:c r="K392" s="30" t="str">
        <x:v>2e5f9d5a85ce2041b7cfad6ac4d578ec5187baea9410a531a5e6a55881b515e8</x:v>
      </x:c>
      <x:c r="L392" s="30" t="n">
        <x:v>694.14</x:v>
      </x:c>
      <x:c r="M392" s="30" t="str">
        <x:v>{"completion_tokens": 5, "prompt_tokens": 564, "total_tokens": 569, "completion_tokens_details": null, "prompt_tokens_details": {"audio_tokens": null, "cached_tokens": 512}, "prompt_cache_hit_tokens": 512, "prompt_cache_miss_tokens": 52}</x:v>
      </x:c>
      <x:c r="N392" s="30" t="str">
        <x:v>hallucination</x:v>
      </x:c>
      <x:c r="O392"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P392" s="30" t="str">
        <x:v>LongCat-2.0</x:v>
      </x:c>
      <x:c r="Q392" s="30" t="str">
        <x:v>LongCat-2.0</x:v>
      </x:c>
      <x:c r="R392" s="30" t="n">
        <x:v>2765.45</x:v>
      </x:c>
      <x:c r="S392" s="30" t="str">
        <x:v>{"completion_tokens": 63, "prompt_tokens": 148,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3">
      <x:c r="A393" s="30" t="str">
        <x:v>memos_long:3263</x:v>
      </x:c>
      <x:c r="B393" s="30" t="str">
        <x:v>long</x:v>
      </x:c>
      <x:c r="C393" s="30" t="str">
        <x:v>Generalization &amp; Application</x:v>
      </x:c>
      <x:c r="D393" s="30" t="n">
        <x:v>2</x:v>
      </x:c>
      <x:c r="E393" s="30" t="str">
        <x:v>How could Barbara enhance her focus during research if dynamic classical music is unavailable?</x:v>
      </x:c>
      <x:c r="F393" s="30" t="str">
        <x:v>Use a focus-enhancing environment to maintain productivity.</x:v>
      </x:c>
      <x:c r="G393" s="30" t="str">
        <x:v>Use compensatory motivation strategies.</x:v>
      </x:c>
      <x:c r="H393" s="30" t="str">
        <x:v>deepseek-v4-flash</x:v>
      </x:c>
      <x:c r="I393" s="30" t="str">
        <x:v>deepseek-v4-flash</x:v>
      </x:c>
      <x:c r="J393" s="30" t="str">
        <x:v>8240cd571c3d42a6197480fcb3eb48537563040622feac45844dd10d1e64e6a7</x:v>
      </x:c>
      <x:c r="K393" s="30" t="str">
        <x:v>2e5f9d5a85ce2041b7cfad6ac4d578ec5187baea9410a531a5e6a55881b515e8</x:v>
      </x:c>
      <x:c r="L393" s="30" t="n">
        <x:v>609.84</x:v>
      </x:c>
      <x:c r="M393" s="30" t="str">
        <x:v>{"completion_tokens": 5, "prompt_tokens": 564, "total_tokens": 569, "completion_tokens_details": null, "prompt_tokens_details": {"audio_tokens": null, "cached_tokens": 512}, "prompt_cache_hit_tokens": 512, "prompt_cache_miss_tokens": 52}</x:v>
      </x:c>
      <x:c r="N393" s="30" t="str">
        <x:v>hallucination</x:v>
      </x:c>
      <x:c r="O393"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P393" s="30" t="str">
        <x:v>LongCat-2.0</x:v>
      </x:c>
      <x:c r="Q393" s="30" t="str">
        <x:v>LongCat-2.0</x:v>
      </x:c>
      <x:c r="R393" s="30" t="n">
        <x:v>2816.43</x:v>
      </x:c>
      <x:c r="S393" s="30" t="str">
        <x:v>{"completion_tokens": 63, "prompt_tokens": 148,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94">
      <x:c r="A394" s="30" t="str">
        <x:v>memos_long:3263</x:v>
      </x:c>
      <x:c r="B394" s="30" t="str">
        <x:v>long</x:v>
      </x:c>
      <x:c r="C394" s="30" t="str">
        <x:v>Generalization &amp; Application</x:v>
      </x:c>
      <x:c r="D394" s="30" t="n">
        <x:v>3</x:v>
      </x:c>
      <x:c r="E394" s="30" t="str">
        <x:v>How could Barbara enhance her focus during research if dynamic classical music is unavailable?</x:v>
      </x:c>
      <x:c r="F394" s="30" t="str">
        <x:v>Use a focus-enhancing environment to maintain productivity.</x:v>
      </x:c>
      <x:c r="G394" s="30" t="str">
        <x:v>Use compensatory motivation strategies.</x:v>
      </x:c>
      <x:c r="H394" s="30" t="str">
        <x:v>deepseek-v4-flash</x:v>
      </x:c>
      <x:c r="I394" s="30" t="str">
        <x:v>deepseek-v4-flash</x:v>
      </x:c>
      <x:c r="J394" s="30" t="str">
        <x:v>8240cd571c3d42a6197480fcb3eb48537563040622feac45844dd10d1e64e6a7</x:v>
      </x:c>
      <x:c r="K394" s="30" t="str">
        <x:v>2e5f9d5a85ce2041b7cfad6ac4d578ec5187baea9410a531a5e6a55881b515e8</x:v>
      </x:c>
      <x:c r="L394" s="30" t="n">
        <x:v>683.9</x:v>
      </x:c>
      <x:c r="M394" s="30" t="str">
        <x:v>{"completion_tokens": 5, "prompt_tokens": 564, "total_tokens": 569, "completion_tokens_details": null, "prompt_tokens_details": {"audio_tokens": null, "cached_tokens": 512}, "prompt_cache_hit_tokens": 512, "prompt_cache_miss_tokens": 52}</x:v>
      </x:c>
      <x:c r="N394" s="30" t="str">
        <x:v>hallucination</x:v>
      </x:c>
      <x:c r="O394" s="30" t="str">
        <x:v>The gold answer suggests using a focus-enhancing environment to maintain productivity. The model answer proposes 'compensatory motivation strategies,' which is a different, unsupported concrete suggestion not present in or implied by the gold answer, making it a hallucination.</x:v>
      </x:c>
      <x:c r="P394" s="30" t="str">
        <x:v>LongCat-2.0</x:v>
      </x:c>
      <x:c r="Q394" s="30" t="str">
        <x:v>LongCat-2.0</x:v>
      </x:c>
      <x:c r="R394" s="30" t="n">
        <x:v>2718.73</x:v>
      </x:c>
      <x:c r="S394" s="30" t="str">
        <x:v>{"completion_tokens": 63, "prompt_tokens": 148,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5">
      <x:c r="A395" s="30" t="str">
        <x:v>memos_long:33</x:v>
      </x:c>
      <x:c r="B395" s="30" t="str">
        <x:v>long</x:v>
      </x:c>
      <x:c r="C395" s="30" t="str">
        <x:v>Basic Fact Recall</x:v>
      </x:c>
      <x:c r="D395" s="30" t="n">
        <x:v>1</x:v>
      </x:c>
      <x:c r="E395" s="30" t="str">
        <x:v>What type of beverage did Martin express enthusiasm about incorporating into his daily routine on April 23, 2027?</x:v>
      </x:c>
      <x:c r="F395" s="30" t="str">
        <x:v>Herbal teas with added health blends.</x:v>
      </x:c>
      <x:c r="G395" s="30" t="str">
        <x:v>Herbal teas with health blends.</x:v>
      </x:c>
      <x:c r="H395" s="30" t="str">
        <x:v>deepseek-v4-flash</x:v>
      </x:c>
      <x:c r="I395" s="30" t="str">
        <x:v>deepseek-v4-flash</x:v>
      </x:c>
      <x:c r="J395" s="30" t="str">
        <x:v>afd30dee4ef4e2535ff1beea544f659fcb18a1257b1ba8760888224796c4ac80</x:v>
      </x:c>
      <x:c r="K395" s="30" t="str">
        <x:v>d5d29955393434bf9668b0c2aa59c59a8d73f78669aee98022988f2526c78b61</x:v>
      </x:c>
      <x:c r="L395" s="30" t="n">
        <x:v>761.4</x:v>
      </x:c>
      <x:c r="M395" s="30" t="str">
        <x:v>{"completion_tokens": 7, "prompt_tokens": 551, "total_tokens": 558, "completion_tokens_details": null, "prompt_tokens_details": {"audio_tokens": null, "cached_tokens": 512}, "prompt_cache_hit_tokens": 512, "prompt_cache_miss_tokens": 39}</x:v>
      </x:c>
      <x:c r="N395" s="30" t="str">
        <x:v>correct</x:v>
      </x:c>
      <x:c r="O395" s="30" t="str">
        <x:v>The model answer 'Herbal teas with health blends' is semantically equivalent to the gold answer 'Herbal teas with added health blends.' The omission of the word 'added' does not change the meaning or introduce any false claim; it simply uses slightly different wording to convey the same complete answer.</x:v>
      </x:c>
      <x:c r="P395" s="30" t="str">
        <x:v>LongCat-2.0</x:v>
      </x:c>
      <x:c r="Q395" s="30" t="str">
        <x:v>LongCat-2.0</x:v>
      </x:c>
      <x:c r="R395" s="30" t="n">
        <x:v>2691.18</x:v>
      </x:c>
      <x:c r="S395" s="30" t="str">
        <x:v>{"completion_tokens": 71, "prompt_tokens": 158, "total_tokens": 229,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96">
      <x:c r="A396" s="30" t="str">
        <x:v>memos_long:33</x:v>
      </x:c>
      <x:c r="B396" s="30" t="str">
        <x:v>long</x:v>
      </x:c>
      <x:c r="C396" s="30" t="str">
        <x:v>Basic Fact Recall</x:v>
      </x:c>
      <x:c r="D396" s="30" t="n">
        <x:v>2</x:v>
      </x:c>
      <x:c r="E396" s="30" t="str">
        <x:v>What type of beverage did Martin express enthusiasm about incorporating into his daily routine on April 23, 2027?</x:v>
      </x:c>
      <x:c r="F396" s="30" t="str">
        <x:v>Herbal teas with added health blends.</x:v>
      </x:c>
      <x:c r="G396" s="30" t="str">
        <x:v>Herbal teas with health blends</x:v>
      </x:c>
      <x:c r="H396" s="30" t="str">
        <x:v>deepseek-v4-flash</x:v>
      </x:c>
      <x:c r="I396" s="30" t="str">
        <x:v>deepseek-v4-flash</x:v>
      </x:c>
      <x:c r="J396" s="30" t="str">
        <x:v>afd30dee4ef4e2535ff1beea544f659fcb18a1257b1ba8760888224796c4ac80</x:v>
      </x:c>
      <x:c r="K396" s="30" t="str">
        <x:v>d5d29955393434bf9668b0c2aa59c59a8d73f78669aee98022988f2526c78b61</x:v>
      </x:c>
      <x:c r="L396" s="30" t="n">
        <x:v>963.88</x:v>
      </x:c>
      <x:c r="M396" s="30" t="str">
        <x:v>{"completion_tokens": 6, "prompt_tokens": 551, "total_tokens": 557, "completion_tokens_details": null, "prompt_tokens_details": {"audio_tokens": null, "cached_tokens": 512}, "prompt_cache_hit_tokens": 512, "prompt_cache_miss_tokens": 39}</x:v>
      </x:c>
      <x:c r="N396" s="30" t="str">
        <x:v>correct</x:v>
      </x:c>
      <x:c r="O396" s="30" t="str">
        <x:v>The model answer 'Herbal teas with health blends' is semantically equivalent to the gold answer 'Herbal teas with added health blends.' The omission of the word 'added' does not change the meaning or introduce any false information; it is a minor wording difference that preserves the complete meaning of the gold answer.</x:v>
      </x:c>
      <x:c r="P396" s="30" t="str">
        <x:v>LongCat-2.0</x:v>
      </x:c>
      <x:c r="Q396" s="30" t="str">
        <x:v>LongCat-2.0</x:v>
      </x:c>
      <x:c r="R396" s="30" t="n">
        <x:v>2404.85</x:v>
      </x:c>
      <x:c r="S396" s="30" t="str">
        <x:v>{"completion_tokens": 74, "prompt_tokens": 158,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7">
      <x:c r="A397" s="30" t="str">
        <x:v>memos_long:33</x:v>
      </x:c>
      <x:c r="B397" s="30" t="str">
        <x:v>long</x:v>
      </x:c>
      <x:c r="C397" s="30" t="str">
        <x:v>Basic Fact Recall</x:v>
      </x:c>
      <x:c r="D397" s="30" t="n">
        <x:v>3</x:v>
      </x:c>
      <x:c r="E397" s="30" t="str">
        <x:v>What type of beverage did Martin express enthusiasm about incorporating into his daily routine on April 23, 2027?</x:v>
      </x:c>
      <x:c r="F397" s="30" t="str">
        <x:v>Herbal teas with added health blends.</x:v>
      </x:c>
      <x:c r="G397" s="30" t="str">
        <x:v>Herbal teas with health blends</x:v>
      </x:c>
      <x:c r="H397" s="30" t="str">
        <x:v>deepseek-v4-flash</x:v>
      </x:c>
      <x:c r="I397" s="30" t="str">
        <x:v>deepseek-v4-flash</x:v>
      </x:c>
      <x:c r="J397" s="30" t="str">
        <x:v>afd30dee4ef4e2535ff1beea544f659fcb18a1257b1ba8760888224796c4ac80</x:v>
      </x:c>
      <x:c r="K397" s="30" t="str">
        <x:v>d5d29955393434bf9668b0c2aa59c59a8d73f78669aee98022988f2526c78b61</x:v>
      </x:c>
      <x:c r="L397" s="30" t="n">
        <x:v>610.66</x:v>
      </x:c>
      <x:c r="M397" s="30" t="str">
        <x:v>{"completion_tokens": 6, "prompt_tokens": 551, "total_tokens": 557, "completion_tokens_details": null, "prompt_tokens_details": {"audio_tokens": null, "cached_tokens": 512}, "prompt_cache_hit_tokens": 512, "prompt_cache_miss_tokens": 39}</x:v>
      </x:c>
      <x:c r="N397" s="30" t="str">
        <x:v>correct</x:v>
      </x:c>
      <x:c r="O397" s="30" t="str">
        <x:v>The model answer 'Herbal teas with health blends' is semantically equivalent to the gold answer 'Herbal teas with added health blends.' The omission of the word 'added' does not change the meaning or introduce any false claim; it simply uses slightly different wording while conveying the complete answer.</x:v>
      </x:c>
      <x:c r="P397" s="30" t="str">
        <x:v>LongCat-2.0</x:v>
      </x:c>
      <x:c r="Q397" s="30" t="str">
        <x:v>LongCat-2.0</x:v>
      </x:c>
      <x:c r="R397" s="30" t="n">
        <x:v>2681.15</x:v>
      </x:c>
      <x:c r="S397" s="30" t="str">
        <x:v>{"completion_tokens": 70, "prompt_tokens": 158, "total_tokens": 228,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398">
      <x:c r="A398" s="30" t="str">
        <x:v>memos_long:3300</x:v>
      </x:c>
      <x:c r="B398" s="30" t="str">
        <x:v>long</x:v>
      </x:c>
      <x:c r="C398" s="30" t="str">
        <x:v>Memory Conflict</x:v>
      </x:c>
      <x:c r="D398" s="30" t="n">
        <x:v>1</x:v>
      </x:c>
      <x:c r="E398" s="30" t="str">
        <x:v>Who is Christopher Anderson's colleague at Senior Care Therapy Center, if it's Andrew Williams?</x:v>
      </x:c>
      <x:c r="F398" s="30" t="str">
        <x:v>Christopher Anderson's colleague is Sarah Williams, not Andrew Williams.</x:v>
      </x:c>
      <x:c r="G398" s="30" t="str">
        <x:v>Sarah Williams</x:v>
      </x:c>
      <x:c r="H398" s="30" t="str">
        <x:v>deepseek-v4-flash</x:v>
      </x:c>
      <x:c r="I398" s="30" t="str">
        <x:v>deepseek-v4-flash</x:v>
      </x:c>
      <x:c r="J398" s="30" t="str">
        <x:v>a061a537020c4087e28f519a4fce1083274be4142a0414d38f23614ca9164594</x:v>
      </x:c>
      <x:c r="K398" s="30" t="str">
        <x:v>32874227717eec3b2093d7b5df88ad779ed9097dd7addefe69fca55b793711d5</x:v>
      </x:c>
      <x:c r="L398" s="30" t="n">
        <x:v>801.94</x:v>
      </x:c>
      <x:c r="M398" s="30" t="str">
        <x:v>{"completion_tokens": 2, "prompt_tokens": 548, "total_tokens": 550, "completion_tokens_details": null, "prompt_tokens_details": {"audio_tokens": null, "cached_tokens": 512}, "prompt_cache_hit_tokens": 512, "prompt_cache_miss_tokens": 36}</x:v>
      </x:c>
      <x:c r="N398" s="30" t="str">
        <x:v>correct</x:v>
      </x:c>
      <x:c r="O398" s="30" t="str">
        <x:v>The model answer 'Sarah Williams' semantically matches the gold answer's core claim that Christopher Anderson's colleague is Sarah Williams, not Andrew Williams. The wording differs but the complete correct information is conveyed without any false claims.</x:v>
      </x:c>
      <x:c r="P398" s="30" t="str">
        <x:v>LongCat-2.0</x:v>
      </x:c>
      <x:c r="Q398" s="30" t="str">
        <x:v>LongCat-2.0</x:v>
      </x:c>
      <x:c r="R398" s="30" t="n">
        <x:v>2264.18</x:v>
      </x:c>
      <x:c r="S398" s="30" t="str">
        <x:v>{"completion_tokens": 55, "prompt_tokens": 150,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399">
      <x:c r="A399" s="30" t="str">
        <x:v>memos_long:3300</x:v>
      </x:c>
      <x:c r="B399" s="30" t="str">
        <x:v>long</x:v>
      </x:c>
      <x:c r="C399" s="30" t="str">
        <x:v>Memory Conflict</x:v>
      </x:c>
      <x:c r="D399" s="30" t="n">
        <x:v>2</x:v>
      </x:c>
      <x:c r="E399" s="30" t="str">
        <x:v>Who is Christopher Anderson's colleague at Senior Care Therapy Center, if it's Andrew Williams?</x:v>
      </x:c>
      <x:c r="F399" s="30" t="str">
        <x:v>Christopher Anderson's colleague is Sarah Williams, not Andrew Williams.</x:v>
      </x:c>
      <x:c r="G399" s="30" t="str">
        <x:v>Sarah Williams</x:v>
      </x:c>
      <x:c r="H399" s="30" t="str">
        <x:v>deepseek-v4-flash</x:v>
      </x:c>
      <x:c r="I399" s="30" t="str">
        <x:v>deepseek-v4-flash</x:v>
      </x:c>
      <x:c r="J399" s="30" t="str">
        <x:v>a061a537020c4087e28f519a4fce1083274be4142a0414d38f23614ca9164594</x:v>
      </x:c>
      <x:c r="K399" s="30" t="str">
        <x:v>32874227717eec3b2093d7b5df88ad779ed9097dd7addefe69fca55b793711d5</x:v>
      </x:c>
      <x:c r="L399" s="30" t="n">
        <x:v>719.41</x:v>
      </x:c>
      <x:c r="M399" s="30" t="str">
        <x:v>{"completion_tokens": 2, "prompt_tokens": 548, "total_tokens": 550, "completion_tokens_details": null, "prompt_tokens_details": {"audio_tokens": null, "cached_tokens": 512}, "prompt_cache_hit_tokens": 512, "prompt_cache_miss_tokens": 36}</x:v>
      </x:c>
      <x:c r="N399" s="30" t="str">
        <x:v>correct</x:v>
      </x:c>
      <x:c r="O399" s="30" t="str">
        <x:v>The model answer 'Sarah Williams' semantically matches the gold answer's core claim that Christopher Anderson's colleague is Sarah Williams, even though it omits the explicit negation of Andrew Williams. The key factual content is fully and correctly conveyed.</x:v>
      </x:c>
      <x:c r="P399" s="30" t="str">
        <x:v>LongCat-2.0</x:v>
      </x:c>
      <x:c r="Q399" s="30" t="str">
        <x:v>LongCat-2.0</x:v>
      </x:c>
      <x:c r="R399" s="30" t="n">
        <x:v>3084.74</x:v>
      </x:c>
      <x:c r="S399" s="30" t="str">
        <x:v>{"completion_tokens": 59, "prompt_tokens": 150,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00">
      <x:c r="A400" s="30" t="str">
        <x:v>memos_long:3300</x:v>
      </x:c>
      <x:c r="B400" s="30" t="str">
        <x:v>long</x:v>
      </x:c>
      <x:c r="C400" s="30" t="str">
        <x:v>Memory Conflict</x:v>
      </x:c>
      <x:c r="D400" s="30" t="n">
        <x:v>3</x:v>
      </x:c>
      <x:c r="E400" s="30" t="str">
        <x:v>Who is Christopher Anderson's colleague at Senior Care Therapy Center, if it's Andrew Williams?</x:v>
      </x:c>
      <x:c r="F400" s="30" t="str">
        <x:v>Christopher Anderson's colleague is Sarah Williams, not Andrew Williams.</x:v>
      </x:c>
      <x:c r="G400" s="30" t="str">
        <x:v>Sarah Williams</x:v>
      </x:c>
      <x:c r="H400" s="30" t="str">
        <x:v>deepseek-v4-flash</x:v>
      </x:c>
      <x:c r="I400" s="30" t="str">
        <x:v>deepseek-v4-flash</x:v>
      </x:c>
      <x:c r="J400" s="30" t="str">
        <x:v>a061a537020c4087e28f519a4fce1083274be4142a0414d38f23614ca9164594</x:v>
      </x:c>
      <x:c r="K400" s="30" t="str">
        <x:v>32874227717eec3b2093d7b5df88ad779ed9097dd7addefe69fca55b793711d5</x:v>
      </x:c>
      <x:c r="L400" s="30" t="n">
        <x:v>728.96</x:v>
      </x:c>
      <x:c r="M400" s="30" t="str">
        <x:v>{"completion_tokens": 2, "prompt_tokens": 548, "total_tokens": 550, "completion_tokens_details": null, "prompt_tokens_details": {"audio_tokens": null, "cached_tokens": 512}, "prompt_cache_hit_tokens": 512, "prompt_cache_miss_tokens": 36}</x:v>
      </x:c>
      <x:c r="N400" s="30" t="str">
        <x:v>correct</x:v>
      </x:c>
      <x:c r="O400" s="30" t="str">
        <x:v>The model answer 'Sarah Williams' semantically matches the gold answer's core claim that Christopher Anderson's colleague is Sarah Williams, even though it omits the explicit negation of Andrew Williams. The key factual content is fully and correctly provided.</x:v>
      </x:c>
      <x:c r="P400" s="30" t="str">
        <x:v>LongCat-2.0</x:v>
      </x:c>
      <x:c r="Q400" s="30" t="str">
        <x:v>LongCat-2.0</x:v>
      </x:c>
      <x:c r="R400" s="30" t="n">
        <x:v>3311.93</x:v>
      </x:c>
      <x:c r="S400" s="30" t="str">
        <x:v>{"completion_tokens": 59, "prompt_tokens": 150,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1">
      <x:c r="A401" s="30" t="str">
        <x:v>memos_long:3306</x:v>
      </x:c>
      <x:c r="B401" s="30" t="str">
        <x:v>long</x:v>
      </x:c>
      <x:c r="C401" s="30" t="str">
        <x:v>Generalization &amp; Application</x:v>
      </x:c>
      <x:c r="D401" s="30" t="n">
        <x:v>1</x:v>
      </x:c>
      <x:c r="E401" s="30" t="str">
        <x:v>How might Christopher's new appreciation for mild spicy chili influence his community program for seniors after Jan 05, 2026?</x:v>
      </x:c>
      <x:c r="F401" s="30" t="str">
        <x:v>He may introduce cooking classes to explore diverse flavors.</x:v>
      </x:c>
      <x:c r="G401" s="30" t="str">
        <x:v>By integrating cooking classes.</x:v>
      </x:c>
      <x:c r="H401" s="30" t="str">
        <x:v>deepseek-v4-flash</x:v>
      </x:c>
      <x:c r="I401" s="30" t="str">
        <x:v>deepseek-v4-flash</x:v>
      </x:c>
      <x:c r="J401" s="30" t="str">
        <x:v>fb426f1e10735e9d862bc28b724957689e1da6013423bf8503a1e6aabff05e41</x:v>
      </x:c>
      <x:c r="K401" s="30" t="str">
        <x:v>d02bf4b2752c58da4e3a1fbba629393e65e816e532ecab633405ebe8619261d5</x:v>
      </x:c>
      <x:c r="L401" s="30" t="n">
        <x:v>952.95</x:v>
      </x:c>
      <x:c r="M401" s="30" t="str">
        <x:v>{"completion_tokens": 5, "prompt_tokens": 602, "total_tokens": 607, "completion_tokens_details": null, "prompt_tokens_details": {"audio_tokens": null, "cached_tokens": 512}, "prompt_cache_hit_tokens": 512, "prompt_cache_miss_tokens": 90}</x:v>
      </x:c>
      <x:c r="N401" s="30" t="str">
        <x:v>omission</x:v>
      </x:c>
      <x:c r="O401" s="30" t="str">
        <x:v>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x:v>
      </x:c>
      <x:c r="P401" s="30" t="str">
        <x:v>LongCat-2.0</x:v>
      </x:c>
      <x:c r="Q401" s="30" t="str">
        <x:v>LongCat-2.0</x:v>
      </x:c>
      <x:c r="R401" s="30" t="n">
        <x:v>3275.69</x:v>
      </x:c>
      <x:c r="S401" s="30" t="str">
        <x:v>{"completion_tokens": 81, "prompt_tokens": 160,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2">
      <x:c r="A402" s="30" t="str">
        <x:v>memos_long:3306</x:v>
      </x:c>
      <x:c r="B402" s="30" t="str">
        <x:v>long</x:v>
      </x:c>
      <x:c r="C402" s="30" t="str">
        <x:v>Generalization &amp; Application</x:v>
      </x:c>
      <x:c r="D402" s="30" t="n">
        <x:v>2</x:v>
      </x:c>
      <x:c r="E402" s="30" t="str">
        <x:v>How might Christopher's new appreciation for mild spicy chili influence his community program for seniors after Jan 05, 2026?</x:v>
      </x:c>
      <x:c r="F402" s="30" t="str">
        <x:v>He may introduce cooking classes to explore diverse flavors.</x:v>
      </x:c>
      <x:c r="G402" s="30" t="str">
        <x:v>By integrating cooking classes.</x:v>
      </x:c>
      <x:c r="H402" s="30" t="str">
        <x:v>deepseek-v4-flash</x:v>
      </x:c>
      <x:c r="I402" s="30" t="str">
        <x:v>deepseek-v4-flash</x:v>
      </x:c>
      <x:c r="J402" s="30" t="str">
        <x:v>fb426f1e10735e9d862bc28b724957689e1da6013423bf8503a1e6aabff05e41</x:v>
      </x:c>
      <x:c r="K402" s="30" t="str">
        <x:v>d02bf4b2752c58da4e3a1fbba629393e65e816e532ecab633405ebe8619261d5</x:v>
      </x:c>
      <x:c r="L402" s="30" t="n">
        <x:v>929.29</x:v>
      </x:c>
      <x:c r="M402" s="30" t="str">
        <x:v>{"completion_tokens": 5, "prompt_tokens": 602, "total_tokens": 607, "completion_tokens_details": null, "prompt_tokens_details": {"audio_tokens": null, "cached_tokens": 512}, "prompt_cache_hit_tokens": 512, "prompt_cache_miss_tokens": 90}</x:v>
      </x:c>
      <x:c r="N402" s="30" t="str">
        <x:v>correct</x:v>
      </x:c>
      <x:c r="O402" s="30" t="str">
        <x:v>The model answer 'By integrating cooking classes' semantically conveys the same complete meaning as the gold answer 'He may introduce cooking classes to explore diverse flavors.' Both indicate that Christopher will add cooking classes to his community program, with the model answer being a concise version of the gold answer. The wording differs but the core meaning is preserved.</x:v>
      </x:c>
      <x:c r="P402" s="30" t="str">
        <x:v>LongCat-2.0</x:v>
      </x:c>
      <x:c r="Q402" s="30" t="str">
        <x:v>LongCat-2.0</x:v>
      </x:c>
      <x:c r="R402" s="30" t="n">
        <x:v>3219.68</x:v>
      </x:c>
      <x:c r="S402" s="30" t="str">
        <x:v>{"completion_tokens": 78, "prompt_tokens": 160, "total_tokens": 238,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03">
      <x:c r="A403" s="30" t="str">
        <x:v>memos_long:3306</x:v>
      </x:c>
      <x:c r="B403" s="30" t="str">
        <x:v>long</x:v>
      </x:c>
      <x:c r="C403" s="30" t="str">
        <x:v>Generalization &amp; Application</x:v>
      </x:c>
      <x:c r="D403" s="30" t="n">
        <x:v>3</x:v>
      </x:c>
      <x:c r="E403" s="30" t="str">
        <x:v>How might Christopher's new appreciation for mild spicy chili influence his community program for seniors after Jan 05, 2026?</x:v>
      </x:c>
      <x:c r="F403" s="30" t="str">
        <x:v>He may introduce cooking classes to explore diverse flavors.</x:v>
      </x:c>
      <x:c r="G403" s="30" t="str">
        <x:v>By integrating cooking classes.</x:v>
      </x:c>
      <x:c r="H403" s="30" t="str">
        <x:v>deepseek-v4-flash</x:v>
      </x:c>
      <x:c r="I403" s="30" t="str">
        <x:v>deepseek-v4-flash</x:v>
      </x:c>
      <x:c r="J403" s="30" t="str">
        <x:v>fb426f1e10735e9d862bc28b724957689e1da6013423bf8503a1e6aabff05e41</x:v>
      </x:c>
      <x:c r="K403" s="30" t="str">
        <x:v>d02bf4b2752c58da4e3a1fbba629393e65e816e532ecab633405ebe8619261d5</x:v>
      </x:c>
      <x:c r="L403" s="30" t="n">
        <x:v>763.97</x:v>
      </x:c>
      <x:c r="M403" s="30" t="str">
        <x:v>{"completion_tokens": 5, "prompt_tokens": 602, "total_tokens": 607, "completion_tokens_details": null, "prompt_tokens_details": {"audio_tokens": null, "cached_tokens": 512}, "prompt_cache_hit_tokens": 512, "prompt_cache_miss_tokens": 90}</x:v>
      </x:c>
      <x:c r="N403" s="30" t="str">
        <x:v>omission</x:v>
      </x:c>
      <x:c r="O403" s="30" t="str">
        <x:v>The model answer 'By integrating cooking classes' is an incomplete subset of the gold answer. It mentions cooking classes but omits the key detail about exploring diverse flavors, which is the specific purpose tied to Christopher's new appreciation for mild spicy chili. Without this context, the answer is too vague and lacks the complete semantic content of the gold answer.</x:v>
      </x:c>
      <x:c r="P403" s="30" t="str">
        <x:v>LongCat-2.0</x:v>
      </x:c>
      <x:c r="Q403" s="30" t="str">
        <x:v>LongCat-2.0</x:v>
      </x:c>
      <x:c r="R403" s="30" t="n">
        <x:v>3543.59</x:v>
      </x:c>
      <x:c r="S403" s="30" t="str">
        <x:v>{"completion_tokens": 81, "prompt_tokens": 160,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4">
      <x:c r="A404" s="30" t="str">
        <x:v>memos_long:3313</x:v>
      </x:c>
      <x:c r="B404" s="30" t="str">
        <x:v>long</x:v>
      </x:c>
      <x:c r="C404" s="30" t="str">
        <x:v>Generalization &amp; Application</x:v>
      </x:c>
      <x:c r="D404" s="30" t="n">
        <x:v>1</x:v>
      </x:c>
      <x:c r="E404" s="30" t="str">
        <x:v>How might Christopher apply his wellness practices to enhance his new role as Senior Physical Therapist as of Jan 05, 2026?</x:v>
      </x:c>
      <x:c r="F404" s="30" t="str">
        <x:v>Integrate yoga and meditation for improved care delivery.</x:v>
      </x:c>
      <x:c r="G404" s="30" t="str">
        <x:v>Integrate yoga and meditation into care plans.</x:v>
      </x:c>
      <x:c r="H404" s="30" t="str">
        <x:v>deepseek-v4-flash</x:v>
      </x:c>
      <x:c r="I404" s="30" t="str">
        <x:v>deepseek-v4-flash</x:v>
      </x:c>
      <x:c r="J404" s="30" t="str">
        <x:v>5797399c379fb55860d33b63d019bdbefa85d5545663848bc67fe651678729d0</x:v>
      </x:c>
      <x:c r="K404" s="30" t="str">
        <x:v>349ac9274d1759bb0c1a93fc9f0abc3171b808209aca425a39521aa247909927</x:v>
      </x:c>
      <x:c r="L404" s="30" t="n">
        <x:v>762.46</x:v>
      </x:c>
      <x:c r="M404" s="30" t="str">
        <x:v>{"completion_tokens": 9, "prompt_tokens": 614, "total_tokens": 623, "completion_tokens_details": null, "prompt_tokens_details": {"audio_tokens": null, "cached_tokens": 512}, "prompt_cache_hit_tokens": 512, "prompt_cache_miss_tokens": 102}</x:v>
      </x:c>
      <x:c r="N404" s="30" t="str">
        <x:v>correct</x:v>
      </x:c>
      <x:c r="O404" s="30" t="str">
        <x:v>The model answer 'Integrate yoga and meditation into care plans' semantically conveys the same complete meaning as the gold answer 'Integrate yoga and meditation for improved care delivery.' Both specify the same two practices (yoga and meditation) and the same action (integrate), with only minor wording differences in the purpose clause ('into care plans' vs. 'for improved care delivery'), which are functionally equivalent in this context.</x:v>
      </x:c>
      <x:c r="P404" s="30" t="str">
        <x:v>LongCat-2.0</x:v>
      </x:c>
      <x:c r="Q404" s="30" t="str">
        <x:v>LongCat-2.0</x:v>
      </x:c>
      <x:c r="R404" s="30" t="n">
        <x:v>3779.83</x:v>
      </x:c>
      <x:c r="S404" s="30" t="str">
        <x:v>{"completion_tokens": 96, "prompt_tokens": 166, "total_tokens": 262,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05">
      <x:c r="A405" s="30" t="str">
        <x:v>memos_long:3313</x:v>
      </x:c>
      <x:c r="B405" s="30" t="str">
        <x:v>long</x:v>
      </x:c>
      <x:c r="C405" s="30" t="str">
        <x:v>Generalization &amp; Application</x:v>
      </x:c>
      <x:c r="D405" s="30" t="n">
        <x:v>2</x:v>
      </x:c>
      <x:c r="E405" s="30" t="str">
        <x:v>How might Christopher apply his wellness practices to enhance his new role as Senior Physical Therapist as of Jan 05, 2026?</x:v>
      </x:c>
      <x:c r="F405" s="30" t="str">
        <x:v>Integrate yoga and meditation for improved care delivery.</x:v>
      </x:c>
      <x:c r="G405" s="30" t="str">
        <x:v>Integrate yoga and meditation into care plans.</x:v>
      </x:c>
      <x:c r="H405" s="30" t="str">
        <x:v>deepseek-v4-flash</x:v>
      </x:c>
      <x:c r="I405" s="30" t="str">
        <x:v>deepseek-v4-flash</x:v>
      </x:c>
      <x:c r="J405" s="30" t="str">
        <x:v>5797399c379fb55860d33b63d019bdbefa85d5545663848bc67fe651678729d0</x:v>
      </x:c>
      <x:c r="K405" s="30" t="str">
        <x:v>349ac9274d1759bb0c1a93fc9f0abc3171b808209aca425a39521aa247909927</x:v>
      </x:c>
      <x:c r="L405" s="30" t="n">
        <x:v>768.38</x:v>
      </x:c>
      <x:c r="M405" s="30" t="str">
        <x:v>{"completion_tokens": 9, "prompt_tokens": 614, "total_tokens": 623, "completion_tokens_details": null, "prompt_tokens_details": {"audio_tokens": null, "cached_tokens": 512}, "prompt_cache_hit_tokens": 512, "prompt_cache_miss_tokens": 102}</x:v>
      </x:c>
      <x:c r="N405" s="30" t="str">
        <x:v>correct</x:v>
      </x:c>
      <x:c r="O405" s="30" t="str">
        <x:v>The model answer 'Integrate yoga and meditation into care plans' semantically conveys the same complete meaning as the gold answer 'Integrate yoga and meditation for improved care delivery.' Both specify the same wellness practices (yoga and meditation) and their integration into Christopher's professional role, with only minor wording differences ('into care plans' vs. 'for improved care delivery') that do not alter the core meaning.</x:v>
      </x:c>
      <x:c r="P405" s="30" t="str">
        <x:v>LongCat-2.0</x:v>
      </x:c>
      <x:c r="Q405" s="30" t="str">
        <x:v>LongCat-2.0</x:v>
      </x:c>
      <x:c r="R405" s="30" t="n">
        <x:v>3120.67</x:v>
      </x:c>
      <x:c r="S405" s="30" t="str">
        <x:v>{"completion_tokens": 93, "prompt_tokens": 166, "total_tokens": 259,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6">
      <x:c r="A406" s="30" t="str">
        <x:v>memos_long:3313</x:v>
      </x:c>
      <x:c r="B406" s="30" t="str">
        <x:v>long</x:v>
      </x:c>
      <x:c r="C406" s="30" t="str">
        <x:v>Generalization &amp; Application</x:v>
      </x:c>
      <x:c r="D406" s="30" t="n">
        <x:v>3</x:v>
      </x:c>
      <x:c r="E406" s="30" t="str">
        <x:v>How might Christopher apply his wellness practices to enhance his new role as Senior Physical Therapist as of Jan 05, 2026?</x:v>
      </x:c>
      <x:c r="F406" s="30" t="str">
        <x:v>Integrate yoga and meditation for improved care delivery.</x:v>
      </x:c>
      <x:c r="G406" s="30" t="str">
        <x:v>Integrate yoga and meditation into care plans.</x:v>
      </x:c>
      <x:c r="H406" s="30" t="str">
        <x:v>deepseek-v4-flash</x:v>
      </x:c>
      <x:c r="I406" s="30" t="str">
        <x:v>deepseek-v4-flash</x:v>
      </x:c>
      <x:c r="J406" s="30" t="str">
        <x:v>5797399c379fb55860d33b63d019bdbefa85d5545663848bc67fe651678729d0</x:v>
      </x:c>
      <x:c r="K406" s="30" t="str">
        <x:v>349ac9274d1759bb0c1a93fc9f0abc3171b808209aca425a39521aa247909927</x:v>
      </x:c>
      <x:c r="L406" s="30" t="n">
        <x:v>761.73</x:v>
      </x:c>
      <x:c r="M406" s="30" t="str">
        <x:v>{"completion_tokens": 9, "prompt_tokens": 614, "total_tokens": 623, "completion_tokens_details": null, "prompt_tokens_details": {"audio_tokens": null, "cached_tokens": 512}, "prompt_cache_hit_tokens": 512, "prompt_cache_miss_tokens": 102}</x:v>
      </x:c>
      <x:c r="N406" s="30" t="str">
        <x:v>correct</x:v>
      </x:c>
      <x:c r="O406" s="30" t="str">
        <x:v>The model answer 'Integrate yoga and meditation into care plans' semantically conveys the same complete meaning as the gold answer 'Integrate yoga and meditation for improved care delivery.' Both specify the same two practices (yoga and meditation) and the same action (integrate them) in the context of Christopher's role. The phrasing differs slightly but no information is missing or contradicted.</x:v>
      </x:c>
      <x:c r="P406" s="30" t="str">
        <x:v>LongCat-2.0</x:v>
      </x:c>
      <x:c r="Q406" s="30" t="str">
        <x:v>LongCat-2.0</x:v>
      </x:c>
      <x:c r="R406" s="30" t="n">
        <x:v>3498.98</x:v>
      </x:c>
      <x:c r="S406" s="30" t="str">
        <x:v>{"completion_tokens": 89, "prompt_tokens": 166, "total_tokens": 255,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7">
      <x:c r="A407" s="30" t="str">
        <x:v>memos_long:3316</x:v>
      </x:c>
      <x:c r="B407" s="30" t="str">
        <x:v>long</x:v>
      </x:c>
      <x:c r="C407" s="30" t="str">
        <x:v>Generalization &amp; Application</x:v>
      </x:c>
      <x:c r="D407" s="30" t="n">
        <x:v>1</x:v>
      </x:c>
      <x:c r="E407" s="30" t="str">
        <x:v>What new travel destinations might Christopher consider based on his recent shift in travel preferences as of Apr 08, 2026?</x:v>
      </x:c>
      <x:c r="F407" s="30" t="str">
        <x:v>Destinations with scenic views and social interaction opportunities.</x:v>
      </x:c>
      <x:c r="G407" s="30" t="str">
        <x:v>Scenic train routes.</x:v>
      </x:c>
      <x:c r="H407" s="30" t="str">
        <x:v>deepseek-v4-flash</x:v>
      </x:c>
      <x:c r="I407" s="30" t="str">
        <x:v>deepseek-v4-flash</x:v>
      </x:c>
      <x:c r="J407" s="30" t="str">
        <x:v>e62005b6c53ef3e1461413de2cce19f82ba265b9a933140e51cbeb6112e3a637</x:v>
      </x:c>
      <x:c r="K407" s="30" t="str">
        <x:v>3e63d37ed7bd925de347eed20b18cde0a8b82359c6a819f45af0504dfc92fc38</x:v>
      </x:c>
      <x:c r="L407" s="30" t="n">
        <x:v>676.74</x:v>
      </x:c>
      <x:c r="M407" s="30" t="str">
        <x:v>{"completion_tokens": 5, "prompt_tokens": 579, "total_tokens": 584, "completion_tokens_details": null, "prompt_tokens_details": {"audio_tokens": null, "cached_tokens": 512}, "prompt_cache_hit_tokens": 512, "prompt_cache_miss_tokens": 67}</x:v>
      </x:c>
      <x:c r="N407" s="30" t="str">
        <x:v>omission</x:v>
      </x:c>
      <x:c r="O407" s="30" t="str">
        <x:v>The gold answer specifies two criteria: scenic views and social interaction opportunities. The model answer only mentions scenic train routes, which partially covers scenic views but omits the social interaction aspect entirely. It does not add a false claim, but it provides only an incomplete subset of the gold answer.</x:v>
      </x:c>
      <x:c r="P407" s="30" t="str">
        <x:v>LongCat-2.0</x:v>
      </x:c>
      <x:c r="Q407" s="30" t="str">
        <x:v>LongCat-2.0</x:v>
      </x:c>
      <x:c r="R407" s="30" t="n">
        <x:v>2840.14</x:v>
      </x:c>
      <x:c r="S407" s="30" t="str">
        <x:v>{"completion_tokens": 69, "prompt_tokens": 160, "total_tokens": 229,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08">
      <x:c r="A408" s="30" t="str">
        <x:v>memos_long:3316</x:v>
      </x:c>
      <x:c r="B408" s="30" t="str">
        <x:v>long</x:v>
      </x:c>
      <x:c r="C408" s="30" t="str">
        <x:v>Generalization &amp; Application</x:v>
      </x:c>
      <x:c r="D408" s="30" t="n">
        <x:v>2</x:v>
      </x:c>
      <x:c r="E408" s="30" t="str">
        <x:v>What new travel destinations might Christopher consider based on his recent shift in travel preferences as of Apr 08, 2026?</x:v>
      </x:c>
      <x:c r="F408" s="30" t="str">
        <x:v>Destinations with scenic views and social interaction opportunities.</x:v>
      </x:c>
      <x:c r="G408" s="30" t="str">
        <x:v>Scenic train routes.</x:v>
      </x:c>
      <x:c r="H408" s="30" t="str">
        <x:v>deepseek-v4-flash</x:v>
      </x:c>
      <x:c r="I408" s="30" t="str">
        <x:v>deepseek-v4-flash</x:v>
      </x:c>
      <x:c r="J408" s="30" t="str">
        <x:v>e62005b6c53ef3e1461413de2cce19f82ba265b9a933140e51cbeb6112e3a637</x:v>
      </x:c>
      <x:c r="K408" s="30" t="str">
        <x:v>3e63d37ed7bd925de347eed20b18cde0a8b82359c6a819f45af0504dfc92fc38</x:v>
      </x:c>
      <x:c r="L408" s="30" t="n">
        <x:v>675.74</x:v>
      </x:c>
      <x:c r="M408" s="30" t="str">
        <x:v>{"completion_tokens": 5, "prompt_tokens": 579, "total_tokens": 584, "completion_tokens_details": null, "prompt_tokens_details": {"audio_tokens": null, "cached_tokens": 512}, "prompt_cache_hit_tokens": 512, "prompt_cache_miss_tokens": 67}</x:v>
      </x:c>
      <x:c r="N408" s="30" t="str">
        <x:v>omission</x:v>
      </x:c>
      <x:c r="O408" s="30" t="str">
        <x:v>The gold answer specifies two criteria: scenic views and social interaction opportunities. The model answer only mentions scenic train routes, which partially covers scenic views but omits the social interaction component entirely. It does not add a false claim, but it provides only an incomplete subset of the gold answer.</x:v>
      </x:c>
      <x:c r="P408" s="30" t="str">
        <x:v>LongCat-2.0</x:v>
      </x:c>
      <x:c r="Q408" s="30" t="str">
        <x:v>LongCat-2.0</x:v>
      </x:c>
      <x:c r="R408" s="30" t="n">
        <x:v>2820.05</x:v>
      </x:c>
      <x:c r="S408" s="30" t="str">
        <x:v>{"completion_tokens": 69, "prompt_tokens": 160,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09">
      <x:c r="A409" s="30" t="str">
        <x:v>memos_long:3316</x:v>
      </x:c>
      <x:c r="B409" s="30" t="str">
        <x:v>long</x:v>
      </x:c>
      <x:c r="C409" s="30" t="str">
        <x:v>Generalization &amp; Application</x:v>
      </x:c>
      <x:c r="D409" s="30" t="n">
        <x:v>3</x:v>
      </x:c>
      <x:c r="E409" s="30" t="str">
        <x:v>What new travel destinations might Christopher consider based on his recent shift in travel preferences as of Apr 08, 2026?</x:v>
      </x:c>
      <x:c r="F409" s="30" t="str">
        <x:v>Destinations with scenic views and social interaction opportunities.</x:v>
      </x:c>
      <x:c r="G409" s="30" t="str">
        <x:v>Scenic train routes.</x:v>
      </x:c>
      <x:c r="H409" s="30" t="str">
        <x:v>deepseek-v4-flash</x:v>
      </x:c>
      <x:c r="I409" s="30" t="str">
        <x:v>deepseek-v4-flash</x:v>
      </x:c>
      <x:c r="J409" s="30" t="str">
        <x:v>e62005b6c53ef3e1461413de2cce19f82ba265b9a933140e51cbeb6112e3a637</x:v>
      </x:c>
      <x:c r="K409" s="30" t="str">
        <x:v>3e63d37ed7bd925de347eed20b18cde0a8b82359c6a819f45af0504dfc92fc38</x:v>
      </x:c>
      <x:c r="L409" s="30" t="n">
        <x:v>612.14</x:v>
      </x:c>
      <x:c r="M409" s="30" t="str">
        <x:v>{"completion_tokens": 5, "prompt_tokens": 579, "total_tokens": 584, "completion_tokens_details": null, "prompt_tokens_details": {"audio_tokens": null, "cached_tokens": 512}, "prompt_cache_hit_tokens": 512, "prompt_cache_miss_tokens": 67}</x:v>
      </x:c>
      <x:c r="N409" s="30" t="str">
        <x:v>omission</x:v>
      </x:c>
      <x:c r="O409" s="30" t="str">
        <x:v>The model answer 'Scenic train routes' is a specific example that aligns with 'scenic views' from the gold answer, but it omits the 'social interaction opportunities' component. Since it provides only an incomplete subset of the gold answer without adding a false claim, it is classified as omission.</x:v>
      </x:c>
      <x:c r="P409" s="30" t="str">
        <x:v>LongCat-2.0</x:v>
      </x:c>
      <x:c r="Q409" s="30" t="str">
        <x:v>LongCat-2.0</x:v>
      </x:c>
      <x:c r="R409" s="30" t="n">
        <x:v>2846.88</x:v>
      </x:c>
      <x:c r="S409" s="30" t="str">
        <x:v>{"completion_tokens": 74, "prompt_tokens": 160,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0">
      <x:c r="A410" s="30" t="str">
        <x:v>memos_long:332</x:v>
      </x:c>
      <x:c r="B410" s="30" t="str">
        <x:v>long</x:v>
      </x:c>
      <x:c r="C410" s="30" t="str">
        <x:v>Basic Fact Recall</x:v>
      </x:c>
      <x:c r="D410" s="30" t="n">
        <x:v>1</x:v>
      </x:c>
      <x:c r="E410" s="30" t="str">
        <x:v>What event inspired Johnson to broaden his reading scope on Sep 02, 2041?</x:v>
      </x:c>
      <x:c r="F410" s="30" t="str">
        <x:v>A business seminar.</x:v>
      </x:c>
      <x:c r="G410" s="30" t="str">
        <x:v>A business seminar.</x:v>
      </x:c>
      <x:c r="H410" s="30" t="str">
        <x:v>deepseek-v4-flash</x:v>
      </x:c>
      <x:c r="I410" s="30" t="str">
        <x:v>deepseek-v4-flash</x:v>
      </x:c>
      <x:c r="J410" s="30" t="str">
        <x:v>ff1904d754ad815e06f4386f2773706558ded5a592b33e04abffcff6d9101f85</x:v>
      </x:c>
      <x:c r="K410" s="30" t="str">
        <x:v>d9a99f31b107a7474c59e41fd482b490fca2ec4f6504d0da0bdd87d0fc654e82</x:v>
      </x:c>
      <x:c r="L410" s="30" t="n">
        <x:v>619.97</x:v>
      </x:c>
      <x:c r="M410" s="30" t="str">
        <x:v>{"completion_tokens": 4, "prompt_tokens": 547, "total_tokens": 551, "completion_tokens_details": null, "prompt_tokens_details": {"audio_tokens": null, "cached_tokens": 512}, "prompt_cache_hit_tokens": 512, "prompt_cache_miss_tokens": 35}</x:v>
      </x:c>
      <x:c r="N410" s="30" t="str">
        <x:v>correct</x:v>
      </x:c>
      <x:c r="O410" s="30" t="str">
        <x:v>The model answer matches the gold answer exactly, providing the complete and correct information.</x:v>
      </x:c>
      <x:c r="P410" s="30" t="str">
        <x:v>LongCat-2.0</x:v>
      </x:c>
      <x:c r="Q410" s="30" t="str">
        <x:v>LongCat-2.0</x:v>
      </x:c>
      <x:c r="R410" s="30" t="n">
        <x:v>2766.3</x:v>
      </x:c>
      <x:c r="S410" s="30" t="str">
        <x:v>{"completion_tokens": 27, "prompt_tokens": 146, "total_tokens": 173,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11">
      <x:c r="A411" s="30" t="str">
        <x:v>memos_long:332</x:v>
      </x:c>
      <x:c r="B411" s="30" t="str">
        <x:v>long</x:v>
      </x:c>
      <x:c r="C411" s="30" t="str">
        <x:v>Basic Fact Recall</x:v>
      </x:c>
      <x:c r="D411" s="30" t="n">
        <x:v>2</x:v>
      </x:c>
      <x:c r="E411" s="30" t="str">
        <x:v>What event inspired Johnson to broaden his reading scope on Sep 02, 2041?</x:v>
      </x:c>
      <x:c r="F411" s="30" t="str">
        <x:v>A business seminar.</x:v>
      </x:c>
      <x:c r="G411" s="30" t="str">
        <x:v>A business seminar.</x:v>
      </x:c>
      <x:c r="H411" s="30" t="str">
        <x:v>deepseek-v4-flash</x:v>
      </x:c>
      <x:c r="I411" s="30" t="str">
        <x:v>deepseek-v4-flash</x:v>
      </x:c>
      <x:c r="J411" s="30" t="str">
        <x:v>ff1904d754ad815e06f4386f2773706558ded5a592b33e04abffcff6d9101f85</x:v>
      </x:c>
      <x:c r="K411" s="30" t="str">
        <x:v>d9a99f31b107a7474c59e41fd482b490fca2ec4f6504d0da0bdd87d0fc654e82</x:v>
      </x:c>
      <x:c r="L411" s="30" t="n">
        <x:v>619.97</x:v>
      </x:c>
      <x:c r="M411" s="30" t="str">
        <x:v>{"completion_tokens": 4, "prompt_tokens": 547, "total_tokens": 551, "completion_tokens_details": null, "prompt_tokens_details": {"audio_tokens": null, "cached_tokens": 512}, "prompt_cache_hit_tokens": 512, "prompt_cache_miss_tokens": 35}</x:v>
      </x:c>
      <x:c r="N411" s="30" t="str">
        <x:v>correct</x:v>
      </x:c>
      <x:c r="O411" s="30" t="str">
        <x:v>The model answer exactly matches the gold answer, providing the complete and correct information without any contradiction or omission.</x:v>
      </x:c>
      <x:c r="P411" s="30" t="str">
        <x:v>LongCat-2.0</x:v>
      </x:c>
      <x:c r="Q411" s="30" t="str">
        <x:v>LongCat-2.0</x:v>
      </x:c>
      <x:c r="R411" s="30" t="n">
        <x:v>2190.09</x:v>
      </x:c>
      <x:c r="S411" s="30" t="str">
        <x:v>{"completion_tokens": 32, "prompt_tokens": 146, "total_tokens": 178,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2">
      <x:c r="A412" s="30" t="str">
        <x:v>memos_long:332</x:v>
      </x:c>
      <x:c r="B412" s="30" t="str">
        <x:v>long</x:v>
      </x:c>
      <x:c r="C412" s="30" t="str">
        <x:v>Basic Fact Recall</x:v>
      </x:c>
      <x:c r="D412" s="30" t="n">
        <x:v>3</x:v>
      </x:c>
      <x:c r="E412" s="30" t="str">
        <x:v>What event inspired Johnson to broaden his reading scope on Sep 02, 2041?</x:v>
      </x:c>
      <x:c r="F412" s="30" t="str">
        <x:v>A business seminar.</x:v>
      </x:c>
      <x:c r="G412" s="30" t="str">
        <x:v>A business seminar.</x:v>
      </x:c>
      <x:c r="H412" s="30" t="str">
        <x:v>deepseek-v4-flash</x:v>
      </x:c>
      <x:c r="I412" s="30" t="str">
        <x:v>deepseek-v4-flash</x:v>
      </x:c>
      <x:c r="J412" s="30" t="str">
        <x:v>ff1904d754ad815e06f4386f2773706558ded5a592b33e04abffcff6d9101f85</x:v>
      </x:c>
      <x:c r="K412" s="30" t="str">
        <x:v>d9a99f31b107a7474c59e41fd482b490fca2ec4f6504d0da0bdd87d0fc654e82</x:v>
      </x:c>
      <x:c r="L412" s="30" t="n">
        <x:v>587.19</x:v>
      </x:c>
      <x:c r="M412" s="30" t="str">
        <x:v>{"completion_tokens": 4, "prompt_tokens": 547, "total_tokens": 551, "completion_tokens_details": null, "prompt_tokens_details": {"audio_tokens": null, "cached_tokens": 512}, "prompt_cache_hit_tokens": 512, "prompt_cache_miss_tokens": 35}</x:v>
      </x:c>
      <x:c r="N412" s="30" t="str">
        <x:v>correct</x:v>
      </x:c>
      <x:c r="O412" s="30" t="str">
        <x:v>The model answer matches the gold answer exactly, providing the complete and correct information.</x:v>
      </x:c>
      <x:c r="P412" s="30" t="str">
        <x:v>LongCat-2.0</x:v>
      </x:c>
      <x:c r="Q412" s="30" t="str">
        <x:v>LongCat-2.0</x:v>
      </x:c>
      <x:c r="R412" s="30" t="n">
        <x:v>2188.07</x:v>
      </x:c>
      <x:c r="S412" s="30" t="str">
        <x:v>{"completion_tokens": 27, "prompt_tokens": 146, "total_tokens": 173,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3">
      <x:c r="A413" s="30" t="str">
        <x:v>memos_long:3327</x:v>
      </x:c>
      <x:c r="B413" s="30" t="str">
        <x:v>long</x:v>
      </x:c>
      <x:c r="C413" s="30" t="str">
        <x:v>Generalization &amp; Application</x:v>
      </x:c>
      <x:c r="D413" s="30" t="n">
        <x:v>1</x:v>
      </x:c>
      <x:c r="E413" s="30" t="str">
        <x:v>What type of documentaries might Christopher find engaging for his community programs after April 17, 2027?</x:v>
      </x:c>
      <x:c r="F413" s="30" t="str">
        <x:v>Environmental documentaries.</x:v>
      </x:c>
      <x:c r="G413" s="30" t="str">
        <x:v>Environmental documentaries</x:v>
      </x:c>
      <x:c r="H413" s="30" t="str">
        <x:v>deepseek-v4-flash</x:v>
      </x:c>
      <x:c r="I413" s="30" t="str">
        <x:v>deepseek-v4-flash</x:v>
      </x:c>
      <x:c r="J413" s="30" t="str">
        <x:v>272793015c7ece1a296fdb1ddffda1032ffbfb8a1e847a09240ae74a06b1e4d7</x:v>
      </x:c>
      <x:c r="K413" s="30" t="str">
        <x:v>002939b507c997e0bd854c2eb84da90a3d891196358e1a2ca9474d7be9885c08</x:v>
      </x:c>
      <x:c r="L413" s="30" t="n">
        <x:v>664.92</x:v>
      </x:c>
      <x:c r="M413" s="30" t="str">
        <x:v>{"completion_tokens": 2, "prompt_tokens": 566, "total_tokens": 568, "completion_tokens_details": null, "prompt_tokens_details": {"audio_tokens": null, "cached_tokens": 512}, "prompt_cache_hit_tokens": 512, "prompt_cache_miss_tokens": 54}</x:v>
      </x:c>
      <x:c r="N413" s="30" t="str">
        <x:v>correct</x:v>
      </x:c>
      <x:c r="O413" s="30" t="str">
        <x:v>The model answer 'Environmental documentaries' is semantically identical to the benchmark gold answer 'Environmental documentaries.' and provides the complete answer with no contradictions or omissions.</x:v>
      </x:c>
      <x:c r="P413" s="30" t="str">
        <x:v>LongCat-2.0</x:v>
      </x:c>
      <x:c r="Q413" s="30" t="str">
        <x:v>LongCat-2.0</x:v>
      </x:c>
      <x:c r="R413" s="30" t="n">
        <x:v>9769.37</x:v>
      </x:c>
      <x:c r="S413" s="30" t="str">
        <x:v>{"completion_tokens": 43, "prompt_tokens": 147, "total_tokens": 190,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14">
      <x:c r="A414" s="30" t="str">
        <x:v>memos_long:3327</x:v>
      </x:c>
      <x:c r="B414" s="30" t="str">
        <x:v>long</x:v>
      </x:c>
      <x:c r="C414" s="30" t="str">
        <x:v>Generalization &amp; Application</x:v>
      </x:c>
      <x:c r="D414" s="30" t="n">
        <x:v>2</x:v>
      </x:c>
      <x:c r="E414" s="30" t="str">
        <x:v>What type of documentaries might Christopher find engaging for his community programs after April 17, 2027?</x:v>
      </x:c>
      <x:c r="F414" s="30" t="str">
        <x:v>Environmental documentaries.</x:v>
      </x:c>
      <x:c r="G414" s="30" t="str">
        <x:v>Environmental documentaries</x:v>
      </x:c>
      <x:c r="H414" s="30" t="str">
        <x:v>deepseek-v4-flash</x:v>
      </x:c>
      <x:c r="I414" s="30" t="str">
        <x:v>deepseek-v4-flash</x:v>
      </x:c>
      <x:c r="J414" s="30" t="str">
        <x:v>272793015c7ece1a296fdb1ddffda1032ffbfb8a1e847a09240ae74a06b1e4d7</x:v>
      </x:c>
      <x:c r="K414" s="30" t="str">
        <x:v>002939b507c997e0bd854c2eb84da90a3d891196358e1a2ca9474d7be9885c08</x:v>
      </x:c>
      <x:c r="L414" s="30" t="n">
        <x:v>664.84</x:v>
      </x:c>
      <x:c r="M414" s="30" t="str">
        <x:v>{"completion_tokens": 2, "prompt_tokens": 566, "total_tokens": 568, "completion_tokens_details": null, "prompt_tokens_details": {"audio_tokens": null, "cached_tokens": 512}, "prompt_cache_hit_tokens": 512, "prompt_cache_miss_tokens": 54}</x:v>
      </x:c>
      <x:c r="N414" s="30" t="str">
        <x:v>correct</x:v>
      </x:c>
      <x:c r="O414" s="30" t="str">
        <x:v>The model answer 'Environmental documentaries' is semantically identical to the benchmark gold answer 'Environmental documentaries.' and provides the complete answer without any contradiction or unsupported material.</x:v>
      </x:c>
      <x:c r="P414" s="30" t="str">
        <x:v>LongCat-2.0</x:v>
      </x:c>
      <x:c r="Q414" s="30" t="str">
        <x:v>LongCat-2.0</x:v>
      </x:c>
      <x:c r="R414" s="30" t="n">
        <x:v>8766.12</x:v>
      </x:c>
      <x:c r="S414" s="30" t="str">
        <x:v>{"completion_tokens": 43, "prompt_tokens": 147, "total_tokens": 190,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15">
      <x:c r="A415" s="30" t="str">
        <x:v>memos_long:3327</x:v>
      </x:c>
      <x:c r="B415" s="30" t="str">
        <x:v>long</x:v>
      </x:c>
      <x:c r="C415" s="30" t="str">
        <x:v>Generalization &amp; Application</x:v>
      </x:c>
      <x:c r="D415" s="30" t="n">
        <x:v>3</x:v>
      </x:c>
      <x:c r="E415" s="30" t="str">
        <x:v>What type of documentaries might Christopher find engaging for his community programs after April 17, 2027?</x:v>
      </x:c>
      <x:c r="F415" s="30" t="str">
        <x:v>Environmental documentaries.</x:v>
      </x:c>
      <x:c r="G415" s="30" t="str">
        <x:v>Environmental documentaries</x:v>
      </x:c>
      <x:c r="H415" s="30" t="str">
        <x:v>deepseek-v4-flash</x:v>
      </x:c>
      <x:c r="I415" s="30" t="str">
        <x:v>deepseek-v4-flash</x:v>
      </x:c>
      <x:c r="J415" s="30" t="str">
        <x:v>272793015c7ece1a296fdb1ddffda1032ffbfb8a1e847a09240ae74a06b1e4d7</x:v>
      </x:c>
      <x:c r="K415" s="30" t="str">
        <x:v>002939b507c997e0bd854c2eb84da90a3d891196358e1a2ca9474d7be9885c08</x:v>
      </x:c>
      <x:c r="L415" s="30" t="n">
        <x:v>705.97</x:v>
      </x:c>
      <x:c r="M415" s="30" t="str">
        <x:v>{"completion_tokens": 2, "prompt_tokens": 566, "total_tokens": 568, "completion_tokens_details": null, "prompt_tokens_details": {"audio_tokens": null, "cached_tokens": 512}, "prompt_cache_hit_tokens": 512, "prompt_cache_miss_tokens": 54}</x:v>
      </x:c>
      <x:c r="N415" s="30" t="str">
        <x:v>correct</x:v>
      </x:c>
      <x:c r="O415" s="30" t="str">
        <x:v>The model answer 'Environmental documentaries' is semantically identical to the benchmark gold answer 'Environmental documentaries.' The wording matches exactly, providing the complete answer without any contradiction or unsupported material.</x:v>
      </x:c>
      <x:c r="P415" s="30" t="str">
        <x:v>LongCat-2.0</x:v>
      </x:c>
      <x:c r="Q415" s="30" t="str">
        <x:v>LongCat-2.0</x:v>
      </x:c>
      <x:c r="R415" s="30" t="n">
        <x:v>8854.73</x:v>
      </x:c>
      <x:c r="S415" s="30" t="str">
        <x:v>{"completion_tokens": 47, "prompt_tokens": 147, "total_tokens": 194,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16">
      <x:c r="A416" s="30" t="str">
        <x:v>memos_long:3329</x:v>
      </x:c>
      <x:c r="B416" s="30" t="str">
        <x:v>long</x:v>
      </x:c>
      <x:c r="C416" s="30" t="str">
        <x:v>Basic Fact Recall</x:v>
      </x:c>
      <x:c r="D416" s="30" t="n">
        <x:v>1</x:v>
      </x:c>
      <x:c r="E416" s="30" t="str">
        <x:v>What type of documentaries is Christopher interested in as of April 17, 2027?</x:v>
      </x:c>
      <x:c r="F416" s="30" t="str">
        <x:v>Environmental documentaries</x:v>
      </x:c>
      <x:c r="G416" s="30" t="str">
        <x:v>Environmental documentaries</x:v>
      </x:c>
      <x:c r="H416" s="30" t="str">
        <x:v>deepseek-v4-flash</x:v>
      </x:c>
      <x:c r="I416" s="30" t="str">
        <x:v>deepseek-v4-flash</x:v>
      </x:c>
      <x:c r="J416" s="30" t="str">
        <x:v>21d6a3bc30b2b4a35bf5506b4f870c65190dd3e5f2fa2ce5a02a1b49de6fe573</x:v>
      </x:c>
      <x:c r="K416" s="30" t="str">
        <x:v>ce24427e7b8e50d7275e1fd7f54782d369290f24565e1a714184b17cffccbebe</x:v>
      </x:c>
      <x:c r="L416" s="30" t="n">
        <x:v>654.48</x:v>
      </x:c>
      <x:c r="M416" s="30" t="str">
        <x:v>{"completion_tokens": 2, "prompt_tokens": 531, "total_tokens": 533, "completion_tokens_details": null, "prompt_tokens_details": {"audio_tokens": null, "cached_tokens": 512}, "prompt_cache_hit_tokens": 512, "prompt_cache_miss_tokens": 19}</x:v>
      </x:c>
      <x:c r="N416" s="30" t="str">
        <x:v>correct</x:v>
      </x:c>
      <x:c r="O416" s="30" t="str">
        <x:v>The model answer 'Environmental documentaries' matches the benchmark gold answer exactly, providing the complete and correct information.</x:v>
      </x:c>
      <x:c r="P416" s="30" t="str">
        <x:v>LongCat-2.0</x:v>
      </x:c>
      <x:c r="Q416" s="30" t="str">
        <x:v>LongCat-2.0</x:v>
      </x:c>
      <x:c r="R416" s="30" t="n">
        <x:v>1984.35</x:v>
      </x:c>
      <x:c r="S416" s="30" t="str">
        <x:v>{"completion_tokens": 32, "prompt_tokens": 144, "total_tokens": 176,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7">
      <x:c r="A417" s="30" t="str">
        <x:v>memos_long:3329</x:v>
      </x:c>
      <x:c r="B417" s="30" t="str">
        <x:v>long</x:v>
      </x:c>
      <x:c r="C417" s="30" t="str">
        <x:v>Basic Fact Recall</x:v>
      </x:c>
      <x:c r="D417" s="30" t="n">
        <x:v>2</x:v>
      </x:c>
      <x:c r="E417" s="30" t="str">
        <x:v>What type of documentaries is Christopher interested in as of April 17, 2027?</x:v>
      </x:c>
      <x:c r="F417" s="30" t="str">
        <x:v>Environmental documentaries</x:v>
      </x:c>
      <x:c r="G417" s="30" t="str">
        <x:v>Environmental documentaries</x:v>
      </x:c>
      <x:c r="H417" s="30" t="str">
        <x:v>deepseek-v4-flash</x:v>
      </x:c>
      <x:c r="I417" s="30" t="str">
        <x:v>deepseek-v4-flash</x:v>
      </x:c>
      <x:c r="J417" s="30" t="str">
        <x:v>21d6a3bc30b2b4a35bf5506b4f870c65190dd3e5f2fa2ce5a02a1b49de6fe573</x:v>
      </x:c>
      <x:c r="K417" s="30" t="str">
        <x:v>ce24427e7b8e50d7275e1fd7f54782d369290f24565e1a714184b17cffccbebe</x:v>
      </x:c>
      <x:c r="L417" s="30" t="n">
        <x:v>748.47</x:v>
      </x:c>
      <x:c r="M417" s="30" t="str">
        <x:v>{"completion_tokens": 2, "prompt_tokens": 531, "total_tokens": 533, "completion_tokens_details": null, "prompt_tokens_details": {"audio_tokens": null, "cached_tokens": 512}, "prompt_cache_hit_tokens": 512, "prompt_cache_miss_tokens": 19}</x:v>
      </x:c>
      <x:c r="N417" s="30" t="str">
        <x:v>correct</x:v>
      </x:c>
      <x:c r="O417" s="30" t="str">
        <x:v>The model answer 'Environmental documentaries' matches the benchmark gold answer exactly, providing the complete and correct information.</x:v>
      </x:c>
      <x:c r="P417" s="30" t="str">
        <x:v>LongCat-2.0</x:v>
      </x:c>
      <x:c r="Q417" s="30" t="str">
        <x:v>LongCat-2.0</x:v>
      </x:c>
      <x:c r="R417" s="30" t="n">
        <x:v>4141.57</x:v>
      </x:c>
      <x:c r="S417" s="30" t="str">
        <x:v>{"completion_tokens": 32, "prompt_tokens": 144, "total_tokens": 176,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18">
      <x:c r="A418" s="30" t="str">
        <x:v>memos_long:3329</x:v>
      </x:c>
      <x:c r="B418" s="30" t="str">
        <x:v>long</x:v>
      </x:c>
      <x:c r="C418" s="30" t="str">
        <x:v>Basic Fact Recall</x:v>
      </x:c>
      <x:c r="D418" s="30" t="n">
        <x:v>3</x:v>
      </x:c>
      <x:c r="E418" s="30" t="str">
        <x:v>What type of documentaries is Christopher interested in as of April 17, 2027?</x:v>
      </x:c>
      <x:c r="F418" s="30" t="str">
        <x:v>Environmental documentaries</x:v>
      </x:c>
      <x:c r="G418" s="30" t="str">
        <x:v>Environmental documentaries</x:v>
      </x:c>
      <x:c r="H418" s="30" t="str">
        <x:v>deepseek-v4-flash</x:v>
      </x:c>
      <x:c r="I418" s="30" t="str">
        <x:v>deepseek-v4-flash</x:v>
      </x:c>
      <x:c r="J418" s="30" t="str">
        <x:v>21d6a3bc30b2b4a35bf5506b4f870c65190dd3e5f2fa2ce5a02a1b49de6fe573</x:v>
      </x:c>
      <x:c r="K418" s="30" t="str">
        <x:v>ce24427e7b8e50d7275e1fd7f54782d369290f24565e1a714184b17cffccbebe</x:v>
      </x:c>
      <x:c r="L418" s="30" t="n">
        <x:v>650.89</x:v>
      </x:c>
      <x:c r="M418" s="30" t="str">
        <x:v>{"completion_tokens": 2, "prompt_tokens": 531, "total_tokens": 533, "completion_tokens_details": null, "prompt_tokens_details": {"audio_tokens": null, "cached_tokens": 512}, "prompt_cache_hit_tokens": 512, "prompt_cache_miss_tokens": 19}</x:v>
      </x:c>
      <x:c r="N418" s="30" t="str">
        <x:v>correct</x:v>
      </x:c>
      <x:c r="O418" s="30" t="str">
        <x:v>The model answer 'Environmental documentaries' matches the benchmark gold answer exactly, providing the complete and correct information.</x:v>
      </x:c>
      <x:c r="P418" s="30" t="str">
        <x:v>LongCat-2.0</x:v>
      </x:c>
      <x:c r="Q418" s="30" t="str">
        <x:v>LongCat-2.0</x:v>
      </x:c>
      <x:c r="R418" s="30" t="n">
        <x:v>2137.27</x:v>
      </x:c>
      <x:c r="S418" s="30" t="str">
        <x:v>{"completion_tokens": 32, "prompt_tokens": 144, "total_tokens": 176,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19">
      <x:c r="A419" s="30" t="str">
        <x:v>memos_long:3368</x:v>
      </x:c>
      <x:c r="B419" s="30" t="str">
        <x:v>long</x:v>
      </x:c>
      <x:c r="C419" s="30" t="str">
        <x:v>Memory Conflict</x:v>
      </x:c>
      <x:c r="D419" s="30" t="n">
        <x:v>1</x:v>
      </x:c>
      <x:c r="E419" s="30" t="str">
        <x:v>Did Christopher decide to continue walking despite his knee injury on Nov 05, 2029?</x:v>
      </x:c>
      <x:c r="F419" s="30" t="str">
        <x:v>No, Christopher discontinued walking due to knee pain.</x:v>
      </x:c>
      <x:c r="G419" s="30" t="str">
        <x:v>No</x:v>
      </x:c>
      <x:c r="H419" s="30" t="str">
        <x:v>deepseek-v4-flash</x:v>
      </x:c>
      <x:c r="I419" s="30" t="str">
        <x:v>deepseek-v4-flash</x:v>
      </x:c>
      <x:c r="J419" s="30" t="str">
        <x:v>0c28eef5f47a8780d50114cd9b05926825a45f4d55e45e12fd8ff2ac3c9ab1f5</x:v>
      </x:c>
      <x:c r="K419" s="30" t="str">
        <x:v>971270a18f416fa9c3b9652915208141d86b9f8475c30369afc90bc4d15fcca8</x:v>
      </x:c>
      <x:c r="L419" s="30" t="n">
        <x:v>704.11</x:v>
      </x:c>
      <x:c r="M419" s="30" t="str">
        <x:v>{"completion_tokens": 1, "prompt_tokens": 546, "total_tokens": 547, "completion_tokens_details": null, "prompt_tokens_details": {"audio_tokens": null, "cached_tokens": 512}, "prompt_cache_hit_tokens": 512, "prompt_cache_miss_tokens": 34}</x:v>
      </x:c>
      <x:c r="N419" s="30" t="str">
        <x:v>omission</x:v>
      </x:c>
      <x:c r="O419" s="30" t="str">
        <x:v>The model answer 'No' is factually aligned with the gold answer but omits the key reason (discontinued walking due to knee pain), providing only an incomplete subset of the gold answer without adding a false claim.</x:v>
      </x:c>
      <x:c r="P419" s="30" t="str">
        <x:v>LongCat-2.0</x:v>
      </x:c>
      <x:c r="Q419" s="30" t="str">
        <x:v>LongCat-2.0</x:v>
      </x:c>
      <x:c r="R419" s="30" t="n">
        <x:v>2731.93</x:v>
      </x:c>
      <x:c r="S419" s="30" t="str">
        <x:v>{"completion_tokens": 56, "prompt_tokens": 151,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20">
      <x:c r="A420" s="30" t="str">
        <x:v>memos_long:3368</x:v>
      </x:c>
      <x:c r="B420" s="30" t="str">
        <x:v>long</x:v>
      </x:c>
      <x:c r="C420" s="30" t="str">
        <x:v>Memory Conflict</x:v>
      </x:c>
      <x:c r="D420" s="30" t="n">
        <x:v>2</x:v>
      </x:c>
      <x:c r="E420" s="30" t="str">
        <x:v>Did Christopher decide to continue walking despite his knee injury on Nov 05, 2029?</x:v>
      </x:c>
      <x:c r="F420" s="30" t="str">
        <x:v>No, Christopher discontinued walking due to knee pain.</x:v>
      </x:c>
      <x:c r="G420" s="30" t="str">
        <x:v>No</x:v>
      </x:c>
      <x:c r="H420" s="30" t="str">
        <x:v>deepseek-v4-flash</x:v>
      </x:c>
      <x:c r="I420" s="30" t="str">
        <x:v>deepseek-v4-flash</x:v>
      </x:c>
      <x:c r="J420" s="30" t="str">
        <x:v>0c28eef5f47a8780d50114cd9b05926825a45f4d55e45e12fd8ff2ac3c9ab1f5</x:v>
      </x:c>
      <x:c r="K420" s="30" t="str">
        <x:v>971270a18f416fa9c3b9652915208141d86b9f8475c30369afc90bc4d15fcca8</x:v>
      </x:c>
      <x:c r="L420" s="30" t="n">
        <x:v>652.81</x:v>
      </x:c>
      <x:c r="M420" s="30" t="str">
        <x:v>{"completion_tokens": 1, "prompt_tokens": 546, "total_tokens": 547, "completion_tokens_details": null, "prompt_tokens_details": {"audio_tokens": null, "cached_tokens": 512}, "prompt_cache_hit_tokens": 512, "prompt_cache_miss_tokens": 34}</x:v>
      </x:c>
      <x:c r="N420" s="30" t="str">
        <x:v>omission</x:v>
      </x:c>
      <x:c r="O420" s="30" t="str">
        <x:v>The model answer 'No' is factually aligned with the gold answer but omits the key reason (knee pain) and the action (discontinued walking), providing only an incomplete subset of the gold answer without adding a false claim.</x:v>
      </x:c>
      <x:c r="P420" s="30" t="str">
        <x:v>LongCat-2.0</x:v>
      </x:c>
      <x:c r="Q420" s="30" t="str">
        <x:v>LongCat-2.0</x:v>
      </x:c>
      <x:c r="R420" s="30" t="n">
        <x:v>2936.87</x:v>
      </x:c>
      <x:c r="S420" s="30" t="str">
        <x:v>{"completion_tokens": 60, "prompt_tokens": 151,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1">
      <x:c r="A421" s="30" t="str">
        <x:v>memos_long:3368</x:v>
      </x:c>
      <x:c r="B421" s="30" t="str">
        <x:v>long</x:v>
      </x:c>
      <x:c r="C421" s="30" t="str">
        <x:v>Memory Conflict</x:v>
      </x:c>
      <x:c r="D421" s="30" t="n">
        <x:v>3</x:v>
      </x:c>
      <x:c r="E421" s="30" t="str">
        <x:v>Did Christopher decide to continue walking despite his knee injury on Nov 05, 2029?</x:v>
      </x:c>
      <x:c r="F421" s="30" t="str">
        <x:v>No, Christopher discontinued walking due to knee pain.</x:v>
      </x:c>
      <x:c r="G421" s="30" t="str">
        <x:v>No</x:v>
      </x:c>
      <x:c r="H421" s="30" t="str">
        <x:v>deepseek-v4-flash</x:v>
      </x:c>
      <x:c r="I421" s="30" t="str">
        <x:v>deepseek-v4-flash</x:v>
      </x:c>
      <x:c r="J421" s="30" t="str">
        <x:v>0c28eef5f47a8780d50114cd9b05926825a45f4d55e45e12fd8ff2ac3c9ab1f5</x:v>
      </x:c>
      <x:c r="K421" s="30" t="str">
        <x:v>971270a18f416fa9c3b9652915208141d86b9f8475c30369afc90bc4d15fcca8</x:v>
      </x:c>
      <x:c r="L421" s="30" t="n">
        <x:v>568.97</x:v>
      </x:c>
      <x:c r="M421" s="30" t="str">
        <x:v>{"completion_tokens": 1, "prompt_tokens": 546, "total_tokens": 547, "completion_tokens_details": null, "prompt_tokens_details": {"audio_tokens": null, "cached_tokens": 512}, "prompt_cache_hit_tokens": 512, "prompt_cache_miss_tokens": 34}</x:v>
      </x:c>
      <x:c r="N421" s="30" t="str">
        <x:v>omission</x:v>
      </x:c>
      <x:c r="O421" s="30" t="str">
        <x:v>The model answer 'No' is factually aligned with the gold answer but omits the key reason (knee pain) and the action (discontinued walking), providing only an incomplete subset of the gold answer without adding a false claim.</x:v>
      </x:c>
      <x:c r="P421" s="30" t="str">
        <x:v>LongCat-2.0</x:v>
      </x:c>
      <x:c r="Q421" s="30" t="str">
        <x:v>LongCat-2.0</x:v>
      </x:c>
      <x:c r="R421" s="30" t="n">
        <x:v>2965.03</x:v>
      </x:c>
      <x:c r="S421" s="30" t="str">
        <x:v>{"completion_tokens": 60, "prompt_tokens": 151,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2">
      <x:c r="A422" s="30" t="str">
        <x:v>memos_long:3380</x:v>
      </x:c>
      <x:c r="B422" s="30" t="str">
        <x:v>long</x:v>
      </x:c>
      <x:c r="C422" s="30" t="str">
        <x:v>Generalization &amp; Application</x:v>
      </x:c>
      <x:c r="D422" s="30" t="n">
        <x:v>1</x:v>
      </x:c>
      <x:c r="E422" s="30" t="str">
        <x:v>What personal interests is Christopher likely to explore post-retirement as of Feb 20, 2030?</x:v>
      </x:c>
      <x:c r="F422" s="30" t="str">
        <x:v>Painting and expanding community impact.</x:v>
      </x:c>
      <x:c r="G422" s="30" t="str">
        <x:v>Painting and community impact.</x:v>
      </x:c>
      <x:c r="H422" s="30" t="str">
        <x:v>deepseek-v4-flash</x:v>
      </x:c>
      <x:c r="I422" s="30" t="str">
        <x:v>deepseek-v4-flash</x:v>
      </x:c>
      <x:c r="J422" s="30" t="str">
        <x:v>bb318c9fb51dc0cbe9e45f46ba7cf03ddd0b1e0ac100e2da55f93f03f278e992</x:v>
      </x:c>
      <x:c r="K422" s="30" t="str">
        <x:v>b6976b3d9929640064f41e2d52037f81c24572842682e5204d60384909d1f8fa</x:v>
      </x:c>
      <x:c r="L422" s="30" t="n">
        <x:v>756.59</x:v>
      </x:c>
      <x:c r="M422" s="30" t="str">
        <x:v>{"completion_tokens": 6, "prompt_tokens": 583, "total_tokens": 589, "completion_tokens_details": null, "prompt_tokens_details": {"audio_tokens": null, "cached_tokens": 512}, "prompt_cache_hit_tokens": 512, "prompt_cache_miss_tokens": 71}</x:v>
      </x:c>
      <x:c r="N422" s="30" t="str">
        <x:v>correct</x:v>
      </x:c>
      <x:c r="O422" s="30" t="str">
        <x:v>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x:v>
      </x:c>
      <x:c r="P422" s="30" t="str">
        <x:v>LongCat-2.0</x:v>
      </x:c>
      <x:c r="Q422" s="30" t="str">
        <x:v>LongCat-2.0</x:v>
      </x:c>
      <x:c r="R422" s="30" t="n">
        <x:v>3005.75</x:v>
      </x:c>
      <x:c r="S422" s="30" t="str">
        <x:v>{"completion_tokens": 72, "prompt_tokens": 154,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3">
      <x:c r="A423" s="30" t="str">
        <x:v>memos_long:3380</x:v>
      </x:c>
      <x:c r="B423" s="30" t="str">
        <x:v>long</x:v>
      </x:c>
      <x:c r="C423" s="30" t="str">
        <x:v>Generalization &amp; Application</x:v>
      </x:c>
      <x:c r="D423" s="30" t="n">
        <x:v>2</x:v>
      </x:c>
      <x:c r="E423" s="30" t="str">
        <x:v>What personal interests is Christopher likely to explore post-retirement as of Feb 20, 2030?</x:v>
      </x:c>
      <x:c r="F423" s="30" t="str">
        <x:v>Painting and expanding community impact.</x:v>
      </x:c>
      <x:c r="G423" s="30" t="str">
        <x:v>Painting and community impact.</x:v>
      </x:c>
      <x:c r="H423" s="30" t="str">
        <x:v>deepseek-v4-flash</x:v>
      </x:c>
      <x:c r="I423" s="30" t="str">
        <x:v>deepseek-v4-flash</x:v>
      </x:c>
      <x:c r="J423" s="30" t="str">
        <x:v>bb318c9fb51dc0cbe9e45f46ba7cf03ddd0b1e0ac100e2da55f93f03f278e992</x:v>
      </x:c>
      <x:c r="K423" s="30" t="str">
        <x:v>b6976b3d9929640064f41e2d52037f81c24572842682e5204d60384909d1f8fa</x:v>
      </x:c>
      <x:c r="L423" s="30" t="n">
        <x:v>853.6</x:v>
      </x:c>
      <x:c r="M423" s="30" t="str">
        <x:v>{"completion_tokens": 6, "prompt_tokens": 583, "total_tokens": 589, "completion_tokens_details": null, "prompt_tokens_details": {"audio_tokens": null, "cached_tokens": 512}, "prompt_cache_hit_tokens": 512, "prompt_cache_miss_tokens": 71}</x:v>
      </x:c>
      <x:c r="N423" s="30" t="str">
        <x:v>correct</x:v>
      </x:c>
      <x:c r="O423" s="30" t="str">
        <x:v>The model answer 'Painting and community impact' captures the complete semantic content of the gold answer 'Painting and expanding community impact.' The omission of the word 'expanding' does not change the core meaning or introduce any false claim, and both key interests (painting and community impact) are fully present.</x:v>
      </x:c>
      <x:c r="P423" s="30" t="str">
        <x:v>LongCat-2.0</x:v>
      </x:c>
      <x:c r="Q423" s="30" t="str">
        <x:v>LongCat-2.0</x:v>
      </x:c>
      <x:c r="R423" s="30" t="n">
        <x:v>3212.81</x:v>
      </x:c>
      <x:c r="S423" s="30" t="str">
        <x:v>{"completion_tokens": 74, "prompt_tokens": 154,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4">
      <x:c r="A424" s="30" t="str">
        <x:v>memos_long:3380</x:v>
      </x:c>
      <x:c r="B424" s="30" t="str">
        <x:v>long</x:v>
      </x:c>
      <x:c r="C424" s="30" t="str">
        <x:v>Generalization &amp; Application</x:v>
      </x:c>
      <x:c r="D424" s="30" t="n">
        <x:v>3</x:v>
      </x:c>
      <x:c r="E424" s="30" t="str">
        <x:v>What personal interests is Christopher likely to explore post-retirement as of Feb 20, 2030?</x:v>
      </x:c>
      <x:c r="F424" s="30" t="str">
        <x:v>Painting and expanding community impact.</x:v>
      </x:c>
      <x:c r="G424" s="30" t="str">
        <x:v>Painting and community impact.</x:v>
      </x:c>
      <x:c r="H424" s="30" t="str">
        <x:v>deepseek-v4-flash</x:v>
      </x:c>
      <x:c r="I424" s="30" t="str">
        <x:v>deepseek-v4-flash</x:v>
      </x:c>
      <x:c r="J424" s="30" t="str">
        <x:v>bb318c9fb51dc0cbe9e45f46ba7cf03ddd0b1e0ac100e2da55f93f03f278e992</x:v>
      </x:c>
      <x:c r="K424" s="30" t="str">
        <x:v>b6976b3d9929640064f41e2d52037f81c24572842682e5204d60384909d1f8fa</x:v>
      </x:c>
      <x:c r="L424" s="30" t="n">
        <x:v>540.78</x:v>
      </x:c>
      <x:c r="M424" s="30" t="str">
        <x:v>{"completion_tokens": 6, "prompt_tokens": 583, "total_tokens": 589, "completion_tokens_details": null, "prompt_tokens_details": {"audio_tokens": null, "cached_tokens": 512}, "prompt_cache_hit_tokens": 512, "prompt_cache_miss_tokens": 71}</x:v>
      </x:c>
      <x:c r="N424" s="30" t="str">
        <x:v>correct</x:v>
      </x:c>
      <x:c r="O424" s="30" t="str">
        <x:v>The model answer 'Painting and community impact' captures the complete semantic content of the gold answer 'Painting and expanding community impact.' The omission of the word 'expanding' does not change the core meaning or introduce any false claim; it simply uses slightly different wording while conveying the same two interests.</x:v>
      </x:c>
      <x:c r="P424" s="30" t="str">
        <x:v>LongCat-2.0</x:v>
      </x:c>
      <x:c r="Q424" s="30" t="str">
        <x:v>LongCat-2.0</x:v>
      </x:c>
      <x:c r="R424" s="30" t="n">
        <x:v>3174.66</x:v>
      </x:c>
      <x:c r="S424" s="30" t="str">
        <x:v>{"completion_tokens": 72, "prompt_tokens": 154,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25">
      <x:c r="A425" s="30" t="str">
        <x:v>memos_long:3381</x:v>
      </x:c>
      <x:c r="B425" s="30" t="str">
        <x:v>long</x:v>
      </x:c>
      <x:c r="C425" s="30" t="str">
        <x:v>Generalization &amp; Application</x:v>
      </x:c>
      <x:c r="D425" s="30" t="n">
        <x:v>1</x:v>
      </x:c>
      <x:c r="E425" s="30" t="str">
        <x:v>What motivational factors drive Christopher's volunteer efforts as of Feb 20, 2030?</x:v>
      </x:c>
      <x:c r="F425" s="30" t="str">
        <x:v>Creative and emotional motivation.</x:v>
      </x:c>
      <x:c r="G425" s="30" t="str">
        <x:v>Humanitarian goals and emotional motivation.</x:v>
      </x:c>
      <x:c r="H425" s="30" t="str">
        <x:v>deepseek-v4-flash</x:v>
      </x:c>
      <x:c r="I425" s="30" t="str">
        <x:v>deepseek-v4-flash</x:v>
      </x:c>
      <x:c r="J425" s="30" t="str">
        <x:v>6fd8e3acb3eea202ca846d0414171374a0b2e7cdc85bd0347e6747d5682282de</x:v>
      </x:c>
      <x:c r="K425" s="30" t="str">
        <x:v>c9a4e32645bcb98beba163a1d76ffd8cdf652dbd58b047527caf007a7bbc3d04</x:v>
      </x:c>
      <x:c r="L425" s="30" t="n">
        <x:v>513.81</x:v>
      </x:c>
      <x:c r="M425" s="30" t="str">
        <x:v>{"completion_tokens": 7, "prompt_tokens": 577, "total_tokens": 584, "completion_tokens_details": null, "prompt_tokens_details": {"audio_tokens": null, "cached_tokens": 512}, "prompt_cache_hit_tokens": 512, "prompt_cache_miss_tokens": 65}</x:v>
      </x:c>
      <x:c r="N425" s="30" t="str">
        <x:v>hallucination</x:v>
      </x:c>
      <x:c r="O425" s="30" t="str">
        <x:v>The gold answer identifies 'Creative and emotional motivation' as the factors. The model answer replaces 'Creative' with 'Humanitarian goals,' which is a concrete claim not supported by the gold answer and contradicts it by substituting a different motivational factor.</x:v>
      </x:c>
      <x:c r="P425" s="30" t="str">
        <x:v>LongCat-2.0</x:v>
      </x:c>
      <x:c r="Q425" s="30" t="str">
        <x:v>LongCat-2.0</x:v>
      </x:c>
      <x:c r="R425" s="30" t="n">
        <x:v>7011.17</x:v>
      </x:c>
      <x:c r="S425" s="30" t="str">
        <x:v>{"completion_tokens": 61, "prompt_tokens": 150,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26">
      <x:c r="A426" s="30" t="str">
        <x:v>memos_long:3381</x:v>
      </x:c>
      <x:c r="B426" s="30" t="str">
        <x:v>long</x:v>
      </x:c>
      <x:c r="C426" s="30" t="str">
        <x:v>Generalization &amp; Application</x:v>
      </x:c>
      <x:c r="D426" s="30" t="n">
        <x:v>2</x:v>
      </x:c>
      <x:c r="E426" s="30" t="str">
        <x:v>What motivational factors drive Christopher's volunteer efforts as of Feb 20, 2030?</x:v>
      </x:c>
      <x:c r="F426" s="30" t="str">
        <x:v>Creative and emotional motivation.</x:v>
      </x:c>
      <x:c r="G426" s="30" t="str">
        <x:v>Humanitarian goals and emotional motivation.</x:v>
      </x:c>
      <x:c r="H426" s="30" t="str">
        <x:v>deepseek-v4-flash</x:v>
      </x:c>
      <x:c r="I426" s="30" t="str">
        <x:v>deepseek-v4-flash</x:v>
      </x:c>
      <x:c r="J426" s="30" t="str">
        <x:v>6fd8e3acb3eea202ca846d0414171374a0b2e7cdc85bd0347e6747d5682282de</x:v>
      </x:c>
      <x:c r="K426" s="30" t="str">
        <x:v>c9a4e32645bcb98beba163a1d76ffd8cdf652dbd58b047527caf007a7bbc3d04</x:v>
      </x:c>
      <x:c r="L426" s="30" t="n">
        <x:v>663.78</x:v>
      </x:c>
      <x:c r="M426" s="30" t="str">
        <x:v>{"completion_tokens": 7, "prompt_tokens": 577, "total_tokens": 584, "completion_tokens_details": null, "prompt_tokens_details": {"audio_tokens": null, "cached_tokens": 512}, "prompt_cache_hit_tokens": 512, "prompt_cache_miss_tokens": 65}</x:v>
      </x:c>
      <x:c r="N426" s="30" t="str">
        <x:v>hallucination</x:v>
      </x:c>
      <x:c r="O426" s="30" t="str">
        <x:v>The gold answer states that Christopher's motivational factors are 'Creative and emotional motivation.' The model answer replaces 'Creative' with 'Humanitarian goals,' which is a concrete claim that contradicts the gold answer. Since the model provides an unsupported/incorrect material in place of the correct factor, this is a hallucination.</x:v>
      </x:c>
      <x:c r="P426" s="30" t="str">
        <x:v>LongCat-2.0</x:v>
      </x:c>
      <x:c r="Q426" s="30" t="str">
        <x:v>LongCat-2.0</x:v>
      </x:c>
      <x:c r="R426" s="30" t="n">
        <x:v>4240.23</x:v>
      </x:c>
      <x:c r="S426" s="30" t="str">
        <x:v>{"completion_tokens": 75, "prompt_tokens": 150,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7">
      <x:c r="A427" s="30" t="str">
        <x:v>memos_long:3381</x:v>
      </x:c>
      <x:c r="B427" s="30" t="str">
        <x:v>long</x:v>
      </x:c>
      <x:c r="C427" s="30" t="str">
        <x:v>Generalization &amp; Application</x:v>
      </x:c>
      <x:c r="D427" s="30" t="n">
        <x:v>3</x:v>
      </x:c>
      <x:c r="E427" s="30" t="str">
        <x:v>What motivational factors drive Christopher's volunteer efforts as of Feb 20, 2030?</x:v>
      </x:c>
      <x:c r="F427" s="30" t="str">
        <x:v>Creative and emotional motivation.</x:v>
      </x:c>
      <x:c r="G427" s="30" t="str">
        <x:v>Humanitarian goals and emotional motivation.</x:v>
      </x:c>
      <x:c r="H427" s="30" t="str">
        <x:v>deepseek-v4-flash</x:v>
      </x:c>
      <x:c r="I427" s="30" t="str">
        <x:v>deepseek-v4-flash</x:v>
      </x:c>
      <x:c r="J427" s="30" t="str">
        <x:v>6fd8e3acb3eea202ca846d0414171374a0b2e7cdc85bd0347e6747d5682282de</x:v>
      </x:c>
      <x:c r="K427" s="30" t="str">
        <x:v>c9a4e32645bcb98beba163a1d76ffd8cdf652dbd58b047527caf007a7bbc3d04</x:v>
      </x:c>
      <x:c r="L427" s="30" t="n">
        <x:v>566.61</x:v>
      </x:c>
      <x:c r="M427" s="30" t="str">
        <x:v>{"completion_tokens": 7, "prompt_tokens": 577, "total_tokens": 584, "completion_tokens_details": null, "prompt_tokens_details": {"audio_tokens": null, "cached_tokens": 512}, "prompt_cache_hit_tokens": 512, "prompt_cache_miss_tokens": 65}</x:v>
      </x:c>
      <x:c r="N427" s="30" t="str">
        <x:v>hallucination</x:v>
      </x:c>
      <x:c r="O427" s="30" t="str">
        <x:v>The gold answer states that Christopher's motivational factors are 'Creative and emotional motivation.' The model answer replaces 'Creative' with 'Humanitarian goals,' which is a concrete claim that contradicts the gold answer. Since the model provides an unsupported/incorrect motivational factor, this is a hallucination.</x:v>
      </x:c>
      <x:c r="P427" s="30" t="str">
        <x:v>LongCat-2.0</x:v>
      </x:c>
      <x:c r="Q427" s="30" t="str">
        <x:v>LongCat-2.0</x:v>
      </x:c>
      <x:c r="R427" s="30" t="n">
        <x:v>4547.88</x:v>
      </x:c>
      <x:c r="S427" s="30" t="str">
        <x:v>{"completion_tokens": 70, "prompt_tokens": 150,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28">
      <x:c r="A428" s="30" t="str">
        <x:v>memos_long:3399</x:v>
      </x:c>
      <x:c r="B428" s="30" t="str">
        <x:v>long</x:v>
      </x:c>
      <x:c r="C428" s="30" t="str">
        <x:v>Generalization &amp; Application</x:v>
      </x:c>
      <x:c r="D428" s="30" t="n">
        <x:v>1</x:v>
      </x:c>
      <x:c r="E428" s="30" t="str">
        <x:v>What new genre of games might Christopher explore after August 21, 2031?</x:v>
      </x:c>
      <x:c r="F428" s="30" t="str">
        <x:v>Games offering social interactions and new insights.</x:v>
      </x:c>
      <x:c r="G428" s="30" t="str">
        <x:v>First-person shooters.</x:v>
      </x:c>
      <x:c r="H428" s="30" t="str">
        <x:v>deepseek-v4-flash</x:v>
      </x:c>
      <x:c r="I428" s="30" t="str">
        <x:v>deepseek-v4-flash</x:v>
      </x:c>
      <x:c r="J428" s="30" t="str">
        <x:v>bc46e636d0e7d99aab2c7fc8b5d1c09c2eb681ba8ec96ba5c2c6f446e44546cb</x:v>
      </x:c>
      <x:c r="K428" s="30" t="str">
        <x:v>26338a48a7448826cf7eb8c7aa01962eb6a907803532879782b604be24bcb887</x:v>
      </x:c>
      <x:c r="L428" s="30" t="n">
        <x:v>527.81</x:v>
      </x:c>
      <x:c r="M428" s="30" t="str">
        <x:v>{"completion_tokens": 5, "prompt_tokens": 604, "total_tokens": 609, "completion_tokens_details": null, "prompt_tokens_details": {"audio_tokens": null, "cached_tokens": 512}, "prompt_cache_hit_tokens": 512, "prompt_cache_miss_tokens": 92}</x:v>
      </x:c>
      <x:c r="N428" s="30" t="str">
        <x:v>hallucination</x:v>
      </x:c>
      <x:c r="O428"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P428" s="30" t="str">
        <x:v>LongCat-2.0</x:v>
      </x:c>
      <x:c r="Q428" s="30" t="str">
        <x:v>LongCat-2.0</x:v>
      </x:c>
      <x:c r="R428" s="30" t="n">
        <x:v>3380.53</x:v>
      </x:c>
      <x:c r="S428" s="30" t="str">
        <x:v>{"completion_tokens": 83, "prompt_tokens": 149,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29">
      <x:c r="A429" s="30" t="str">
        <x:v>memos_long:3399</x:v>
      </x:c>
      <x:c r="B429" s="30" t="str">
        <x:v>long</x:v>
      </x:c>
      <x:c r="C429" s="30" t="str">
        <x:v>Generalization &amp; Application</x:v>
      </x:c>
      <x:c r="D429" s="30" t="n">
        <x:v>2</x:v>
      </x:c>
      <x:c r="E429" s="30" t="str">
        <x:v>What new genre of games might Christopher explore after August 21, 2031?</x:v>
      </x:c>
      <x:c r="F429" s="30" t="str">
        <x:v>Games offering social interactions and new insights.</x:v>
      </x:c>
      <x:c r="G429" s="30" t="str">
        <x:v>First-person shooters.</x:v>
      </x:c>
      <x:c r="H429" s="30" t="str">
        <x:v>deepseek-v4-flash</x:v>
      </x:c>
      <x:c r="I429" s="30" t="str">
        <x:v>deepseek-v4-flash</x:v>
      </x:c>
      <x:c r="J429" s="30" t="str">
        <x:v>bc46e636d0e7d99aab2c7fc8b5d1c09c2eb681ba8ec96ba5c2c6f446e44546cb</x:v>
      </x:c>
      <x:c r="K429" s="30" t="str">
        <x:v>26338a48a7448826cf7eb8c7aa01962eb6a907803532879782b604be24bcb887</x:v>
      </x:c>
      <x:c r="L429" s="30" t="n">
        <x:v>525.6</x:v>
      </x:c>
      <x:c r="M429" s="30" t="str">
        <x:v>{"completion_tokens": 5, "prompt_tokens": 604, "total_tokens": 609, "completion_tokens_details": null, "prompt_tokens_details": {"audio_tokens": null, "cached_tokens": 512}, "prompt_cache_hit_tokens": 512, "prompt_cache_miss_tokens": 92}</x:v>
      </x:c>
      <x:c r="N429" s="30" t="str">
        <x:v>hallucination</x:v>
      </x:c>
      <x:c r="O429"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P429" s="30" t="str">
        <x:v>LongCat-2.0</x:v>
      </x:c>
      <x:c r="Q429" s="30" t="str">
        <x:v>LongCat-2.0</x:v>
      </x:c>
      <x:c r="R429" s="30" t="n">
        <x:v>3895.29</x:v>
      </x:c>
      <x:c r="S429" s="30" t="str">
        <x:v>{"completion_tokens": 83, "prompt_tokens": 149,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0">
      <x:c r="A430" s="30" t="str">
        <x:v>memos_long:3399</x:v>
      </x:c>
      <x:c r="B430" s="30" t="str">
        <x:v>long</x:v>
      </x:c>
      <x:c r="C430" s="30" t="str">
        <x:v>Generalization &amp; Application</x:v>
      </x:c>
      <x:c r="D430" s="30" t="n">
        <x:v>3</x:v>
      </x:c>
      <x:c r="E430" s="30" t="str">
        <x:v>What new genre of games might Christopher explore after August 21, 2031?</x:v>
      </x:c>
      <x:c r="F430" s="30" t="str">
        <x:v>Games offering social interactions and new insights.</x:v>
      </x:c>
      <x:c r="G430" s="30" t="str">
        <x:v>First-person shooters.</x:v>
      </x:c>
      <x:c r="H430" s="30" t="str">
        <x:v>deepseek-v4-flash</x:v>
      </x:c>
      <x:c r="I430" s="30" t="str">
        <x:v>deepseek-v4-flash</x:v>
      </x:c>
      <x:c r="J430" s="30" t="str">
        <x:v>bc46e636d0e7d99aab2c7fc8b5d1c09c2eb681ba8ec96ba5c2c6f446e44546cb</x:v>
      </x:c>
      <x:c r="K430" s="30" t="str">
        <x:v>26338a48a7448826cf7eb8c7aa01962eb6a907803532879782b604be24bcb887</x:v>
      </x:c>
      <x:c r="L430" s="30" t="n">
        <x:v>665.82</x:v>
      </x:c>
      <x:c r="M430" s="30" t="str">
        <x:v>{"completion_tokens": 5, "prompt_tokens": 604, "total_tokens": 609, "completion_tokens_details": null, "prompt_tokens_details": {"audio_tokens": null, "cached_tokens": 512}, "prompt_cache_hit_tokens": 512, "prompt_cache_miss_tokens": 92}</x:v>
      </x:c>
      <x:c r="N430" s="30" t="str">
        <x:v>hallucination</x:v>
      </x:c>
      <x:c r="O430"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presented as a subset or equivalent of the gold answer. This constitutes an unsupported, incorrect claim.</x:v>
      </x:c>
      <x:c r="P430" s="30" t="str">
        <x:v>LongCat-2.0</x:v>
      </x:c>
      <x:c r="Q430" s="30" t="str">
        <x:v>LongCat-2.0</x:v>
      </x:c>
      <x:c r="R430" s="30" t="n">
        <x:v>4710.64</x:v>
      </x:c>
      <x:c r="S430" s="30" t="str">
        <x:v>{"completion_tokens": 91, "prompt_tokens": 149,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1">
      <x:c r="A431" s="30" t="str">
        <x:v>memos_long:3403</x:v>
      </x:c>
      <x:c r="B431" s="30" t="str">
        <x:v>long</x:v>
      </x:c>
      <x:c r="C431" s="30" t="str">
        <x:v>Multi-hop Inference</x:v>
      </x:c>
      <x:c r="D431" s="30" t="n">
        <x:v>1</x:v>
      </x:c>
      <x:c r="E431" s="30" t="str">
        <x:v>How did Christopher's recognition as a community leader on Jul 10, 2031, help him secure additional funding by Nov 20, 2031?</x:v>
      </x:c>
      <x:c r="F431" s="30" t="str">
        <x:v>Recognition enhanced trust, enabling funding.</x:v>
      </x:c>
      <x:c r="G431" s="30" t="str">
        <x:v>Enhanced credibility and network.</x:v>
      </x:c>
      <x:c r="H431" s="30" t="str">
        <x:v>deepseek-v4-flash</x:v>
      </x:c>
      <x:c r="I431" s="30" t="str">
        <x:v>deepseek-v4-flash</x:v>
      </x:c>
      <x:c r="J431" s="30" t="str">
        <x:v>119cd6d8f163b05451457139f9859c26ee89d340ac7b4f66e212c7d5851409f8</x:v>
      </x:c>
      <x:c r="K431" s="30" t="str">
        <x:v>e0ce8f2645f10bad271bad32734d13c2ab98c744d884e2b6db95e3b253fea8ed</x:v>
      </x:c>
      <x:c r="L431" s="30" t="n">
        <x:v>662.99</x:v>
      </x:c>
      <x:c r="M431" s="30" t="str">
        <x:v>{"completion_tokens": 5, "prompt_tokens": 618, "total_tokens": 623, "completion_tokens_details": null, "prompt_tokens_details": {"audio_tokens": null, "cached_tokens": 512}, "prompt_cache_hit_tokens": 512, "prompt_cache_miss_tokens": 106}</x:v>
      </x:c>
      <x:c r="N431" s="30" t="str">
        <x:v>omission</x:v>
      </x:c>
      <x:c r="O431"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x:v>
      </x:c>
      <x:c r="P431" s="30" t="str">
        <x:v>LongCat-2.0</x:v>
      </x:c>
      <x:c r="Q431" s="30" t="str">
        <x:v>LongCat-2.0</x:v>
      </x:c>
      <x:c r="R431" s="30" t="n">
        <x:v>3314.42</x:v>
      </x:c>
      <x:c r="S431" s="30" t="str">
        <x:v>{"completion_tokens": 88, "prompt_tokens": 168, "total_tokens": 256,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2">
      <x:c r="A432" s="30" t="str">
        <x:v>memos_long:3403</x:v>
      </x:c>
      <x:c r="B432" s="30" t="str">
        <x:v>long</x:v>
      </x:c>
      <x:c r="C432" s="30" t="str">
        <x:v>Multi-hop Inference</x:v>
      </x:c>
      <x:c r="D432" s="30" t="n">
        <x:v>2</x:v>
      </x:c>
      <x:c r="E432" s="30" t="str">
        <x:v>How did Christopher's recognition as a community leader on Jul 10, 2031, help him secure additional funding by Nov 20, 2031?</x:v>
      </x:c>
      <x:c r="F432" s="30" t="str">
        <x:v>Recognition enhanced trust, enabling funding.</x:v>
      </x:c>
      <x:c r="G432" s="30" t="str">
        <x:v>Enhanced credibility and network.</x:v>
      </x:c>
      <x:c r="H432" s="30" t="str">
        <x:v>deepseek-v4-flash</x:v>
      </x:c>
      <x:c r="I432" s="30" t="str">
        <x:v>deepseek-v4-flash</x:v>
      </x:c>
      <x:c r="J432" s="30" t="str">
        <x:v>119cd6d8f163b05451457139f9859c26ee89d340ac7b4f66e212c7d5851409f8</x:v>
      </x:c>
      <x:c r="K432" s="30" t="str">
        <x:v>e0ce8f2645f10bad271bad32734d13c2ab98c744d884e2b6db95e3b253fea8ed</x:v>
      </x:c>
      <x:c r="L432" s="30" t="n">
        <x:v>661.81</x:v>
      </x:c>
      <x:c r="M432" s="30" t="str">
        <x:v>{"completion_tokens": 5, "prompt_tokens": 618, "total_tokens": 623, "completion_tokens_details": null, "prompt_tokens_details": {"audio_tokens": null, "cached_tokens": 512}, "prompt_cache_hit_tokens": 512, "prompt_cache_miss_tokens": 106}</x:v>
      </x:c>
      <x:c r="N432" s="30" t="str">
        <x:v>omission</x:v>
      </x:c>
      <x:c r="O432"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state that trust was enhanced or that this led to securing funding, making it an incomplete subset of the gold answer.</x:v>
      </x:c>
      <x:c r="P432" s="30" t="str">
        <x:v>LongCat-2.0</x:v>
      </x:c>
      <x:c r="Q432" s="30" t="str">
        <x:v>LongCat-2.0</x:v>
      </x:c>
      <x:c r="R432" s="30" t="n">
        <x:v>3683.15</x:v>
      </x:c>
      <x:c r="S432" s="30" t="str">
        <x:v>{"completion_tokens": 91, "prompt_tokens": 168, "total_tokens": 259,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33">
      <x:c r="A433" s="30" t="str">
        <x:v>memos_long:3403</x:v>
      </x:c>
      <x:c r="B433" s="30" t="str">
        <x:v>long</x:v>
      </x:c>
      <x:c r="C433" s="30" t="str">
        <x:v>Multi-hop Inference</x:v>
      </x:c>
      <x:c r="D433" s="30" t="n">
        <x:v>3</x:v>
      </x:c>
      <x:c r="E433" s="30" t="str">
        <x:v>How did Christopher's recognition as a community leader on Jul 10, 2031, help him secure additional funding by Nov 20, 2031?</x:v>
      </x:c>
      <x:c r="F433" s="30" t="str">
        <x:v>Recognition enhanced trust, enabling funding.</x:v>
      </x:c>
      <x:c r="G433" s="30" t="str">
        <x:v>Enhanced credibility and network.</x:v>
      </x:c>
      <x:c r="H433" s="30" t="str">
        <x:v>deepseek-v4-flash</x:v>
      </x:c>
      <x:c r="I433" s="30" t="str">
        <x:v>deepseek-v4-flash</x:v>
      </x:c>
      <x:c r="J433" s="30" t="str">
        <x:v>119cd6d8f163b05451457139f9859c26ee89d340ac7b4f66e212c7d5851409f8</x:v>
      </x:c>
      <x:c r="K433" s="30" t="str">
        <x:v>e0ce8f2645f10bad271bad32734d13c2ab98c744d884e2b6db95e3b253fea8ed</x:v>
      </x:c>
      <x:c r="L433" s="30" t="n">
        <x:v>789.17</x:v>
      </x:c>
      <x:c r="M433" s="30" t="str">
        <x:v>{"completion_tokens": 5, "prompt_tokens": 618, "total_tokens": 623, "completion_tokens_details": null, "prompt_tokens_details": {"audio_tokens": null, "cached_tokens": 512}, "prompt_cache_hit_tokens": 512, "prompt_cache_miss_tokens": 106}</x:v>
      </x:c>
      <x:c r="N433" s="30" t="str">
        <x:v>omission</x:v>
      </x:c>
      <x:c r="O433" s="30" t="str">
        <x:v>The gold answer states that recognition enhanced trust, which enabled funding. The model answer mentions 'enhanced credibility and network' but omits the key causal element of 'trust' and the resulting 'funding' outcome. While credibility is related to trust, the model does not explicitly connect the recognition to trust or to securing funding, making it an incomplete subset of the gold answer.</x:v>
      </x:c>
      <x:c r="P433" s="30" t="str">
        <x:v>LongCat-2.0</x:v>
      </x:c>
      <x:c r="Q433" s="30" t="str">
        <x:v>LongCat-2.0</x:v>
      </x:c>
      <x:c r="R433" s="30" t="n">
        <x:v>3585.85</x:v>
      </x:c>
      <x:c r="S433" s="30" t="str">
        <x:v>{"completion_tokens": 88, "prompt_tokens": 168, "total_tokens": 256,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4">
      <x:c r="A434" s="30" t="str">
        <x:v>memos_long:342</x:v>
      </x:c>
      <x:c r="B434" s="30" t="str">
        <x:v>long</x:v>
      </x:c>
      <x:c r="C434" s="30" t="str">
        <x:v>Memory Conflict</x:v>
      </x:c>
      <x:c r="D434" s="30" t="n">
        <x:v>1</x:v>
      </x:c>
      <x:c r="E434" s="30" t="str">
        <x:v>Did Johnson Joseph express disinterest in using thematic cooperative board games at Albi B&amp;B?</x:v>
      </x:c>
      <x:c r="F434" s="30" t="str">
        <x:v>No, he expressed excitement about using them.</x:v>
      </x:c>
      <x:c r="G434" s="30" t="str">
        <x:v>No, he expressed excitement.</x:v>
      </x:c>
      <x:c r="H434" s="30" t="str">
        <x:v>deepseek-v4-flash</x:v>
      </x:c>
      <x:c r="I434" s="30" t="str">
        <x:v>deepseek-v4-flash</x:v>
      </x:c>
      <x:c r="J434" s="30" t="str">
        <x:v>b3a7f1c0e13de9268d1d365d42fc6a262de524b7a7ded972d6cd92dfdfda7ccc</x:v>
      </x:c>
      <x:c r="K434" s="30" t="str">
        <x:v>5feec14b4c1af55632c2a929f065b9b014d2f8fa3f98621ff7a51624f926f4f7</x:v>
      </x:c>
      <x:c r="L434" s="30" t="n">
        <x:v>869.73</x:v>
      </x:c>
      <x:c r="M434" s="30" t="str">
        <x:v>{"completion_tokens": 6, "prompt_tokens": 574, "total_tokens": 580, "completion_tokens_details": null, "prompt_tokens_details": {"audio_tokens": null, "cached_tokens": 512}, "prompt_cache_hit_tokens": 512, "prompt_cache_miss_tokens": 62}</x:v>
      </x:c>
      <x:c r="N434" s="30" t="str">
        <x:v>correct</x:v>
      </x:c>
      <x:c r="O434" s="30" t="str">
        <x:v>The model answer 'No, he expressed excitement' semantically conveys the complete gold answer 'No, he expressed excitement about using them.' The omission of 'about using them' does not change the meaning or add any false claim, and the core information is fully preserved.</x:v>
      </x:c>
      <x:c r="P434" s="30" t="str">
        <x:v>LongCat-2.0</x:v>
      </x:c>
      <x:c r="Q434" s="30" t="str">
        <x:v>LongCat-2.0</x:v>
      </x:c>
      <x:c r="R434" s="30" t="n">
        <x:v>2771.89</x:v>
      </x:c>
      <x:c r="S434" s="30" t="str">
        <x:v>{"completion_tokens": 65, "prompt_tokens": 150,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5">
      <x:c r="A435" s="30" t="str">
        <x:v>memos_long:342</x:v>
      </x:c>
      <x:c r="B435" s="30" t="str">
        <x:v>long</x:v>
      </x:c>
      <x:c r="C435" s="30" t="str">
        <x:v>Memory Conflict</x:v>
      </x:c>
      <x:c r="D435" s="30" t="n">
        <x:v>2</x:v>
      </x:c>
      <x:c r="E435" s="30" t="str">
        <x:v>Did Johnson Joseph express disinterest in using thematic cooperative board games at Albi B&amp;B?</x:v>
      </x:c>
      <x:c r="F435" s="30" t="str">
        <x:v>No, he expressed excitement about using them.</x:v>
      </x:c>
      <x:c r="G435" s="30" t="str">
        <x:v>No, he expressed excitement.</x:v>
      </x:c>
      <x:c r="H435" s="30" t="str">
        <x:v>deepseek-v4-flash</x:v>
      </x:c>
      <x:c r="I435" s="30" t="str">
        <x:v>deepseek-v4-flash</x:v>
      </x:c>
      <x:c r="J435" s="30" t="str">
        <x:v>b3a7f1c0e13de9268d1d365d42fc6a262de524b7a7ded972d6cd92dfdfda7ccc</x:v>
      </x:c>
      <x:c r="K435" s="30" t="str">
        <x:v>5feec14b4c1af55632c2a929f065b9b014d2f8fa3f98621ff7a51624f926f4f7</x:v>
      </x:c>
      <x:c r="L435" s="30" t="n">
        <x:v>580.67</x:v>
      </x:c>
      <x:c r="M435" s="30" t="str">
        <x:v>{"completion_tokens": 6, "prompt_tokens": 574, "total_tokens": 580, "completion_tokens_details": null, "prompt_tokens_details": {"audio_tokens": null, "cached_tokens": 512}, "prompt_cache_hit_tokens": 512, "prompt_cache_miss_tokens": 62}</x:v>
      </x:c>
      <x:c r="N435" s="30" t="str">
        <x:v>correct</x:v>
      </x:c>
      <x:c r="O435" s="30" t="str">
        <x:v>The model answer 'No, he expressed excitement' semantically conveys the complete gold answer 'No, he expressed excitement about using them.' The omission of 'about using them' does not change the meaning or add any false claim; it is a concise but complete restatement.</x:v>
      </x:c>
      <x:c r="P435" s="30" t="str">
        <x:v>LongCat-2.0</x:v>
      </x:c>
      <x:c r="Q435" s="30" t="str">
        <x:v>LongCat-2.0</x:v>
      </x:c>
      <x:c r="R435" s="30" t="n">
        <x:v>2817.49</x:v>
      </x:c>
      <x:c r="S435" s="30" t="str">
        <x:v>{"completion_tokens": 66, "prompt_tokens": 150,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36">
      <x:c r="A436" s="30" t="str">
        <x:v>memos_long:342</x:v>
      </x:c>
      <x:c r="B436" s="30" t="str">
        <x:v>long</x:v>
      </x:c>
      <x:c r="C436" s="30" t="str">
        <x:v>Memory Conflict</x:v>
      </x:c>
      <x:c r="D436" s="30" t="n">
        <x:v>3</x:v>
      </x:c>
      <x:c r="E436" s="30" t="str">
        <x:v>Did Johnson Joseph express disinterest in using thematic cooperative board games at Albi B&amp;B?</x:v>
      </x:c>
      <x:c r="F436" s="30" t="str">
        <x:v>No, he expressed excitement about using them.</x:v>
      </x:c>
      <x:c r="G436" s="30" t="str">
        <x:v>No, he expressed excitement.</x:v>
      </x:c>
      <x:c r="H436" s="30" t="str">
        <x:v>deepseek-v4-flash</x:v>
      </x:c>
      <x:c r="I436" s="30" t="str">
        <x:v>deepseek-v4-flash</x:v>
      </x:c>
      <x:c r="J436" s="30" t="str">
        <x:v>b3a7f1c0e13de9268d1d365d42fc6a262de524b7a7ded972d6cd92dfdfda7ccc</x:v>
      </x:c>
      <x:c r="K436" s="30" t="str">
        <x:v>5feec14b4c1af55632c2a929f065b9b014d2f8fa3f98621ff7a51624f926f4f7</x:v>
      </x:c>
      <x:c r="L436" s="30" t="n">
        <x:v>668.45</x:v>
      </x:c>
      <x:c r="M436" s="30" t="str">
        <x:v>{"completion_tokens": 6, "prompt_tokens": 574, "total_tokens": 580, "completion_tokens_details": null, "prompt_tokens_details": {"audio_tokens": null, "cached_tokens": 512}, "prompt_cache_hit_tokens": 512, "prompt_cache_miss_tokens": 62}</x:v>
      </x:c>
      <x:c r="N436" s="30" t="str">
        <x:v>correct</x:v>
      </x:c>
      <x:c r="O436" s="30" t="str">
        <x:v>The model answer 'No, he expressed excitement' semantically conveys the complete gold answer 'No, he expressed excitement about using them.' The omission of 'about using them' does not change the meaning or add any false claim, and the core information is fully preserved.</x:v>
      </x:c>
      <x:c r="P436" s="30" t="str">
        <x:v>LongCat-2.0</x:v>
      </x:c>
      <x:c r="Q436" s="30" t="str">
        <x:v>LongCat-2.0</x:v>
      </x:c>
      <x:c r="R436" s="30" t="n">
        <x:v>2636.45</x:v>
      </x:c>
      <x:c r="S436" s="30" t="str">
        <x:v>{"completion_tokens": 65, "prompt_tokens": 150,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7">
      <x:c r="A437" s="30" t="str">
        <x:v>memos_long:3432</x:v>
      </x:c>
      <x:c r="B437" s="30" t="str">
        <x:v>long</x:v>
      </x:c>
      <x:c r="C437" s="30" t="str">
        <x:v>Multi-hop Inference</x:v>
      </x:c>
      <x:c r="D437" s="30" t="n">
        <x:v>1</x:v>
      </x:c>
      <x:c r="E437" s="30" t="str">
        <x:v>What strategies did Christopher consider on Sep 15, 2033, to sustain community engagement for senior care and literacy?</x:v>
      </x:c>
      <x:c r="F437" s="30" t="str">
        <x:v>Collaborations with local organizations</x:v>
      </x:c>
      <x:c r="G437" s="30" t="str">
        <x:v>Collaborations with local organizations.</x:v>
      </x:c>
      <x:c r="H437" s="30" t="str">
        <x:v>deepseek-v4-flash</x:v>
      </x:c>
      <x:c r="I437" s="30" t="str">
        <x:v>deepseek-v4-flash</x:v>
      </x:c>
      <x:c r="J437" s="30" t="str">
        <x:v>71f58e6b77f48770423e9b136abb63a3d7f1b5f00439ddd9f042eeafc0983226</x:v>
      </x:c>
      <x:c r="K437" s="30" t="str">
        <x:v>95bbc30a083d8b9dc4f46a64114202ed50a770d04a69a95708da189b7f8ba9d6</x:v>
      </x:c>
      <x:c r="L437" s="30" t="n">
        <x:v>666.42</x:v>
      </x:c>
      <x:c r="M437" s="30" t="str">
        <x:v>{"completion_tokens": 6, "prompt_tokens": 570, "total_tokens": 576, "completion_tokens_details": null, "prompt_tokens_details": {"audio_tokens": null, "cached_tokens": 512}, "prompt_cache_hit_tokens": 512, "prompt_cache_miss_tokens": 58}</x:v>
      </x:c>
      <x:c r="N437" s="30" t="str">
        <x:v>correct</x:v>
      </x:c>
      <x:c r="O437" s="30" t="str">
        <x:v>The model answer 'Collaborations with local organizations.' is semantically identical to the benchmark gold answer 'Collaborations with local organizations', with only minor punctuation differences. It provides the complete answer without any false or unsupported claims.</x:v>
      </x:c>
      <x:c r="P437" s="30" t="str">
        <x:v>LongCat-2.0</x:v>
      </x:c>
      <x:c r="Q437" s="30" t="str">
        <x:v>LongCat-2.0</x:v>
      </x:c>
      <x:c r="R437" s="30" t="n">
        <x:v>2124.36</x:v>
      </x:c>
      <x:c r="S437" s="30" t="str">
        <x:v>{"completion_tokens": 55, "prompt_tokens": 156,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38">
      <x:c r="A438" s="30" t="str">
        <x:v>memos_long:3432</x:v>
      </x:c>
      <x:c r="B438" s="30" t="str">
        <x:v>long</x:v>
      </x:c>
      <x:c r="C438" s="30" t="str">
        <x:v>Multi-hop Inference</x:v>
      </x:c>
      <x:c r="D438" s="30" t="n">
        <x:v>2</x:v>
      </x:c>
      <x:c r="E438" s="30" t="str">
        <x:v>What strategies did Christopher consider on Sep 15, 2033, to sustain community engagement for senior care and literacy?</x:v>
      </x:c>
      <x:c r="F438" s="30" t="str">
        <x:v>Collaborations with local organizations</x:v>
      </x:c>
      <x:c r="G438" s="30" t="str">
        <x:v>Collaborations with local organizations.</x:v>
      </x:c>
      <x:c r="H438" s="30" t="str">
        <x:v>deepseek-v4-flash</x:v>
      </x:c>
      <x:c r="I438" s="30" t="str">
        <x:v>deepseek-v4-flash</x:v>
      </x:c>
      <x:c r="J438" s="30" t="str">
        <x:v>71f58e6b77f48770423e9b136abb63a3d7f1b5f00439ddd9f042eeafc0983226</x:v>
      </x:c>
      <x:c r="K438" s="30" t="str">
        <x:v>95bbc30a083d8b9dc4f46a64114202ed50a770d04a69a95708da189b7f8ba9d6</x:v>
      </x:c>
      <x:c r="L438" s="30" t="n">
        <x:v>645.91</x:v>
      </x:c>
      <x:c r="M438" s="30" t="str">
        <x:v>{"completion_tokens": 6, "prompt_tokens": 570, "total_tokens": 576, "completion_tokens_details": null, "prompt_tokens_details": {"audio_tokens": null, "cached_tokens": 512}, "prompt_cache_hit_tokens": 512, "prompt_cache_miss_tokens": 58}</x:v>
      </x:c>
      <x:c r="N438" s="30" t="str">
        <x:v>correct</x:v>
      </x:c>
      <x:c r="O438" s="30" t="str">
        <x:v>The model answer 'Collaborations with local organizations.' is semantically identical to the benchmark gold answer 'Collaborations with local organizations', with only a minor punctuation difference (period added). It provides the complete answer without any false or unsupported claims.</x:v>
      </x:c>
      <x:c r="P438" s="30" t="str">
        <x:v>LongCat-2.0</x:v>
      </x:c>
      <x:c r="Q438" s="30" t="str">
        <x:v>LongCat-2.0</x:v>
      </x:c>
      <x:c r="R438" s="30" t="n">
        <x:v>2996.53</x:v>
      </x:c>
      <x:c r="S438" s="30" t="str">
        <x:v>{"completion_tokens": 59, "prompt_tokens": 156,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39">
      <x:c r="A439" s="30" t="str">
        <x:v>memos_long:3432</x:v>
      </x:c>
      <x:c r="B439" s="30" t="str">
        <x:v>long</x:v>
      </x:c>
      <x:c r="C439" s="30" t="str">
        <x:v>Multi-hop Inference</x:v>
      </x:c>
      <x:c r="D439" s="30" t="n">
        <x:v>3</x:v>
      </x:c>
      <x:c r="E439" s="30" t="str">
        <x:v>What strategies did Christopher consider on Sep 15, 2033, to sustain community engagement for senior care and literacy?</x:v>
      </x:c>
      <x:c r="F439" s="30" t="str">
        <x:v>Collaborations with local organizations</x:v>
      </x:c>
      <x:c r="G439" s="30" t="str">
        <x:v>Collaborations with local organizations.</x:v>
      </x:c>
      <x:c r="H439" s="30" t="str">
        <x:v>deepseek-v4-flash</x:v>
      </x:c>
      <x:c r="I439" s="30" t="str">
        <x:v>deepseek-v4-flash</x:v>
      </x:c>
      <x:c r="J439" s="30" t="str">
        <x:v>71f58e6b77f48770423e9b136abb63a3d7f1b5f00439ddd9f042eeafc0983226</x:v>
      </x:c>
      <x:c r="K439" s="30" t="str">
        <x:v>95bbc30a083d8b9dc4f46a64114202ed50a770d04a69a95708da189b7f8ba9d6</x:v>
      </x:c>
      <x:c r="L439" s="30" t="n">
        <x:v>845.01</x:v>
      </x:c>
      <x:c r="M439" s="30" t="str">
        <x:v>{"completion_tokens": 6, "prompt_tokens": 570, "total_tokens": 576, "completion_tokens_details": null, "prompt_tokens_details": {"audio_tokens": null, "cached_tokens": 512}, "prompt_cache_hit_tokens": 512, "prompt_cache_miss_tokens": 58}</x:v>
      </x:c>
      <x:c r="N439" s="30" t="str">
        <x:v>correct</x:v>
      </x:c>
      <x:c r="O439" s="30" t="str">
        <x:v>The model answer 'Collaborations with local organizations.' is semantically identical to the benchmark gold answer 'Collaborations with local organizations', with only a minor punctuation difference (period added). It provides the complete answer without any false or unsupported claims.</x:v>
      </x:c>
      <x:c r="P439" s="30" t="str">
        <x:v>LongCat-2.0</x:v>
      </x:c>
      <x:c r="Q439" s="30" t="str">
        <x:v>LongCat-2.0</x:v>
      </x:c>
      <x:c r="R439" s="30" t="n">
        <x:v>2554.21</x:v>
      </x:c>
      <x:c r="S439" s="30" t="str">
        <x:v>{"completion_tokens": 59, "prompt_tokens": 156,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0">
      <x:c r="A440" s="30" t="str">
        <x:v>memos_long:3435</x:v>
      </x:c>
      <x:c r="B440" s="30" t="str">
        <x:v>long</x:v>
      </x:c>
      <x:c r="C440" s="30" t="str">
        <x:v>Generalization &amp; Application</x:v>
      </x:c>
      <x:c r="D440" s="30" t="n">
        <x:v>1</x:v>
      </x:c>
      <x:c r="E440" s="30" t="str">
        <x:v>What alternative wellness practices might Christopher explore after Dec 08, 2033, to maintain his physical and mental health despite increased commitments?</x:v>
      </x:c>
      <x:c r="F440" s="30" t="str">
        <x:v>Christopher may explore home-based or flexible wellness practices.</x:v>
      </x:c>
      <x:c r="G440" s="30" t="str">
        <x:v>Alternative wellness practices.</x:v>
      </x:c>
      <x:c r="H440" s="30" t="str">
        <x:v>deepseek-v4-flash</x:v>
      </x:c>
      <x:c r="I440" s="30" t="str">
        <x:v>deepseek-v4-flash</x:v>
      </x:c>
      <x:c r="J440" s="30" t="str">
        <x:v>d6629cb998e98a6d62bdc94de0dca5949f77c01ced6ffc604e9a537bf274cacd</x:v>
      </x:c>
      <x:c r="K440" s="30" t="str">
        <x:v>22b393b6cac2066b2d85b0f4b950dfdb38150bc447d442b5b5d0ed37f9ef50f5</x:v>
      </x:c>
      <x:c r="L440" s="30" t="n">
        <x:v>780.1</x:v>
      </x:c>
      <x:c r="M440" s="30" t="str">
        <x:v>{"completion_tokens": 4, "prompt_tokens": 601, "total_tokens": 605, "completion_tokens_details": null, "prompt_tokens_details": {"audio_tokens": null, "cached_tokens": 512}, "prompt_cache_hit_tokens": 512, "prompt_cache_miss_tokens": 89}</x:v>
      </x:c>
      <x:c r="N440" s="30" t="str">
        <x:v>omission</x:v>
      </x:c>
      <x:c r="O440" s="30" t="str">
        <x:v>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x:v>
      </x:c>
      <x:c r="P440" s="30" t="str">
        <x:v>LongCat-2.0</x:v>
      </x:c>
      <x:c r="Q440" s="30" t="str">
        <x:v>LongCat-2.0</x:v>
      </x:c>
      <x:c r="R440" s="30" t="n">
        <x:v>2815.3</x:v>
      </x:c>
      <x:c r="S440" s="30" t="str">
        <x:v>{"completion_tokens": 62, "prompt_tokens": 161,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1">
      <x:c r="A441" s="30" t="str">
        <x:v>memos_long:3435</x:v>
      </x:c>
      <x:c r="B441" s="30" t="str">
        <x:v>long</x:v>
      </x:c>
      <x:c r="C441" s="30" t="str">
        <x:v>Generalization &amp; Application</x:v>
      </x:c>
      <x:c r="D441" s="30" t="n">
        <x:v>2</x:v>
      </x:c>
      <x:c r="E441" s="30" t="str">
        <x:v>What alternative wellness practices might Christopher explore after Dec 08, 2033, to maintain his physical and mental health despite increased commitments?</x:v>
      </x:c>
      <x:c r="F441" s="30" t="str">
        <x:v>Christopher may explore home-based or flexible wellness practices.</x:v>
      </x:c>
      <x:c r="G441" s="30" t="str">
        <x:v>Alternative wellness practices.</x:v>
      </x:c>
      <x:c r="H441" s="30" t="str">
        <x:v>deepseek-v4-flash</x:v>
      </x:c>
      <x:c r="I441" s="30" t="str">
        <x:v>deepseek-v4-flash</x:v>
      </x:c>
      <x:c r="J441" s="30" t="str">
        <x:v>d6629cb998e98a6d62bdc94de0dca5949f77c01ced6ffc604e9a537bf274cacd</x:v>
      </x:c>
      <x:c r="K441" s="30" t="str">
        <x:v>22b393b6cac2066b2d85b0f4b950dfdb38150bc447d442b5b5d0ed37f9ef50f5</x:v>
      </x:c>
      <x:c r="L441" s="30" t="n">
        <x:v>819.76</x:v>
      </x:c>
      <x:c r="M441" s="30" t="str">
        <x:v>{"completion_tokens": 4, "prompt_tokens": 601, "total_tokens": 605, "completion_tokens_details": null, "prompt_tokens_details": {"audio_tokens": null, "cached_tokens": 512}, "prompt_cache_hit_tokens": 512, "prompt_cache_miss_tokens": 89}</x:v>
      </x:c>
      <x:c r="N441" s="30" t="str">
        <x:v>omission</x:v>
      </x:c>
      <x:c r="O441" s="30" t="str">
        <x:v>The model answer 'Alternative wellness practices' is extremely vague and does not provide the specific information contained in the gold answer, which mentions 'home-based or flexible wellness practices.' It gives only an incomplete subset without adding concrete details, making it an omission.</x:v>
      </x:c>
      <x:c r="P441" s="30" t="str">
        <x:v>LongCat-2.0</x:v>
      </x:c>
      <x:c r="Q441" s="30" t="str">
        <x:v>LongCat-2.0</x:v>
      </x:c>
      <x:c r="R441" s="30" t="n">
        <x:v>2334.62</x:v>
      </x:c>
      <x:c r="S441" s="30" t="str">
        <x:v>{"completion_tokens": 62, "prompt_tokens": 161,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2">
      <x:c r="A442" s="30" t="str">
        <x:v>memos_long:3435</x:v>
      </x:c>
      <x:c r="B442" s="30" t="str">
        <x:v>long</x:v>
      </x:c>
      <x:c r="C442" s="30" t="str">
        <x:v>Generalization &amp; Application</x:v>
      </x:c>
      <x:c r="D442" s="30" t="n">
        <x:v>3</x:v>
      </x:c>
      <x:c r="E442" s="30" t="str">
        <x:v>What alternative wellness practices might Christopher explore after Dec 08, 2033, to maintain his physical and mental health despite increased commitments?</x:v>
      </x:c>
      <x:c r="F442" s="30" t="str">
        <x:v>Christopher may explore home-based or flexible wellness practices.</x:v>
      </x:c>
      <x:c r="G442" s="30" t="str">
        <x:v>Alternative wellness practices.</x:v>
      </x:c>
      <x:c r="H442" s="30" t="str">
        <x:v>deepseek-v4-flash</x:v>
      </x:c>
      <x:c r="I442" s="30" t="str">
        <x:v>deepseek-v4-flash</x:v>
      </x:c>
      <x:c r="J442" s="30" t="str">
        <x:v>d6629cb998e98a6d62bdc94de0dca5949f77c01ced6ffc604e9a537bf274cacd</x:v>
      </x:c>
      <x:c r="K442" s="30" t="str">
        <x:v>22b393b6cac2066b2d85b0f4b950dfdb38150bc447d442b5b5d0ed37f9ef50f5</x:v>
      </x:c>
      <x:c r="L442" s="30" t="n">
        <x:v>575.53</x:v>
      </x:c>
      <x:c r="M442" s="30" t="str">
        <x:v>{"completion_tokens": 4, "prompt_tokens": 601, "total_tokens": 605, "completion_tokens_details": null, "prompt_tokens_details": {"audio_tokens": null, "cached_tokens": 512}, "prompt_cache_hit_tokens": 512, "prompt_cache_miss_tokens": 89}</x:v>
      </x:c>
      <x:c r="N442" s="30" t="str">
        <x:v>omission</x:v>
      </x:c>
      <x:c r="O442" s="30" t="str">
        <x:v>The model answer 'Alternative wellness practices' is extremely vague and does not provide the specific information contained in the gold answer, which mentions 'home-based or flexible wellness practices.' The model answer gives only an incomplete subset without adding concrete details, making it an omission.</x:v>
      </x:c>
      <x:c r="P442" s="30" t="str">
        <x:v>LongCat-2.0</x:v>
      </x:c>
      <x:c r="Q442" s="30" t="str">
        <x:v>LongCat-2.0</x:v>
      </x:c>
      <x:c r="R442" s="30" t="n">
        <x:v>3633.14</x:v>
      </x:c>
      <x:c r="S442" s="30" t="str">
        <x:v>{"completion_tokens": 64, "prompt_tokens": 161,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43">
      <x:c r="A443" s="30" t="str">
        <x:v>memos_long:3439</x:v>
      </x:c>
      <x:c r="B443" s="30" t="str">
        <x:v>long</x:v>
      </x:c>
      <x:c r="C443" s="30" t="str">
        <x:v>Basic Fact Recall</x:v>
      </x:c>
      <x:c r="D443" s="30" t="n">
        <x:v>1</x:v>
      </x:c>
      <x:c r="E443" s="30" t="str">
        <x:v>What genre did Christopher decide to explore on June 13, 2034?</x:v>
      </x:c>
      <x:c r="F443" s="30" t="str">
        <x:v>Diverse literary genres for entertainment and escapism.</x:v>
      </x:c>
      <x:c r="G443" s="30" t="str">
        <x:v>Diverse literary genres</x:v>
      </x:c>
      <x:c r="H443" s="30" t="str">
        <x:v>deepseek-v4-flash</x:v>
      </x:c>
      <x:c r="I443" s="30" t="str">
        <x:v>deepseek-v4-flash</x:v>
      </x:c>
      <x:c r="J443" s="30" t="str">
        <x:v>dcf611cc9ca5857d4373896de7993adbb56b1886031a915e010d68358c660db6</x:v>
      </x:c>
      <x:c r="K443" s="30" t="str">
        <x:v>c753d57ac8dfc145622ed20b1854aa8f5f13117abd9eef43a5b1b2f05fd89534</x:v>
      </x:c>
      <x:c r="L443" s="30" t="n">
        <x:v>598.61</x:v>
      </x:c>
      <x:c r="M443" s="30" t="str">
        <x:v>{"completion_tokens": 4, "prompt_tokens": 536, "total_tokens": 540, "completion_tokens_details": null, "prompt_tokens_details": {"audio_tokens": null, "cached_tokens": 512}, "prompt_cache_hit_tokens": 512, "prompt_cache_miss_tokens": 24}</x:v>
      </x:c>
      <x:c r="N443" s="30" t="str">
        <x:v>omission</x:v>
      </x:c>
      <x:c r="O443" s="30" t="str">
        <x:v>The model answer 'Diverse literary genres' captures the core of the gold answer but omits the purpose 'for entertainment and escapism,' making it an incomplete subset of the full gold answer.</x:v>
      </x:c>
      <x:c r="P443" s="30" t="str">
        <x:v>LongCat-2.0</x:v>
      </x:c>
      <x:c r="Q443" s="30" t="str">
        <x:v>LongCat-2.0</x:v>
      </x:c>
      <x:c r="R443" s="30" t="n">
        <x:v>2509.99</x:v>
      </x:c>
      <x:c r="S443"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4">
      <x:c r="A444" s="30" t="str">
        <x:v>memos_long:3439</x:v>
      </x:c>
      <x:c r="B444" s="30" t="str">
        <x:v>long</x:v>
      </x:c>
      <x:c r="C444" s="30" t="str">
        <x:v>Basic Fact Recall</x:v>
      </x:c>
      <x:c r="D444" s="30" t="n">
        <x:v>2</x:v>
      </x:c>
      <x:c r="E444" s="30" t="str">
        <x:v>What genre did Christopher decide to explore on June 13, 2034?</x:v>
      </x:c>
      <x:c r="F444" s="30" t="str">
        <x:v>Diverse literary genres for entertainment and escapism.</x:v>
      </x:c>
      <x:c r="G444" s="30" t="str">
        <x:v>Diverse literary genres</x:v>
      </x:c>
      <x:c r="H444" s="30" t="str">
        <x:v>deepseek-v4-flash</x:v>
      </x:c>
      <x:c r="I444" s="30" t="str">
        <x:v>deepseek-v4-flash</x:v>
      </x:c>
      <x:c r="J444" s="30" t="str">
        <x:v>dcf611cc9ca5857d4373896de7993adbb56b1886031a915e010d68358c660db6</x:v>
      </x:c>
      <x:c r="K444" s="30" t="str">
        <x:v>c753d57ac8dfc145622ed20b1854aa8f5f13117abd9eef43a5b1b2f05fd89534</x:v>
      </x:c>
      <x:c r="L444" s="30" t="n">
        <x:v>582.73</x:v>
      </x:c>
      <x:c r="M444" s="30" t="str">
        <x:v>{"completion_tokens": 4, "prompt_tokens": 536, "total_tokens": 540, "completion_tokens_details": null, "prompt_tokens_details": {"audio_tokens": null, "cached_tokens": 512}, "prompt_cache_hit_tokens": 512, "prompt_cache_miss_tokens": 24}</x:v>
      </x:c>
      <x:c r="N444" s="30" t="str">
        <x:v>omission</x:v>
      </x:c>
      <x:c r="O444" s="30" t="str">
        <x:v>The model answer 'Diverse literary genres' captures part of the gold answer but omits the purpose 'for entertainment and escapism,' making it an incomplete subset of the full gold answer.</x:v>
      </x:c>
      <x:c r="P444" s="30" t="str">
        <x:v>LongCat-2.0</x:v>
      </x:c>
      <x:c r="Q444" s="30" t="str">
        <x:v>LongCat-2.0</x:v>
      </x:c>
      <x:c r="R444" s="30" t="n">
        <x:v>2301.6</x:v>
      </x:c>
      <x:c r="S444" s="30" t="str">
        <x:v>{"completion_tokens": 50, "prompt_tokens": 151, "total_tokens": 201,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45">
      <x:c r="A445" s="30" t="str">
        <x:v>memos_long:3439</x:v>
      </x:c>
      <x:c r="B445" s="30" t="str">
        <x:v>long</x:v>
      </x:c>
      <x:c r="C445" s="30" t="str">
        <x:v>Basic Fact Recall</x:v>
      </x:c>
      <x:c r="D445" s="30" t="n">
        <x:v>3</x:v>
      </x:c>
      <x:c r="E445" s="30" t="str">
        <x:v>What genre did Christopher decide to explore on June 13, 2034?</x:v>
      </x:c>
      <x:c r="F445" s="30" t="str">
        <x:v>Diverse literary genres for entertainment and escapism.</x:v>
      </x:c>
      <x:c r="G445" s="30" t="str">
        <x:v>Diverse literary genres</x:v>
      </x:c>
      <x:c r="H445" s="30" t="str">
        <x:v>deepseek-v4-flash</x:v>
      </x:c>
      <x:c r="I445" s="30" t="str">
        <x:v>deepseek-v4-flash</x:v>
      </x:c>
      <x:c r="J445" s="30" t="str">
        <x:v>dcf611cc9ca5857d4373896de7993adbb56b1886031a915e010d68358c660db6</x:v>
      </x:c>
      <x:c r="K445" s="30" t="str">
        <x:v>c753d57ac8dfc145622ed20b1854aa8f5f13117abd9eef43a5b1b2f05fd89534</x:v>
      </x:c>
      <x:c r="L445" s="30" t="n">
        <x:v>759.08</x:v>
      </x:c>
      <x:c r="M445" s="30" t="str">
        <x:v>{"completion_tokens": 4, "prompt_tokens": 536, "total_tokens": 540, "completion_tokens_details": null, "prompt_tokens_details": {"audio_tokens": null, "cached_tokens": 512}, "prompt_cache_hit_tokens": 512, "prompt_cache_miss_tokens": 24}</x:v>
      </x:c>
      <x:c r="N445" s="30" t="str">
        <x:v>omission</x:v>
      </x:c>
      <x:c r="O445" s="30" t="str">
        <x:v>The model answer 'Diverse literary genres' captures the core of the gold answer but omits the purpose 'for entertainment and escapism,' making it an incomplete subset of the full gold answer.</x:v>
      </x:c>
      <x:c r="P445" s="30" t="str">
        <x:v>LongCat-2.0</x:v>
      </x:c>
      <x:c r="Q445" s="30" t="str">
        <x:v>LongCat-2.0</x:v>
      </x:c>
      <x:c r="R445" s="30" t="n">
        <x:v>2206.09</x:v>
      </x:c>
      <x:c r="S445"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6">
      <x:c r="A446" s="30" t="str">
        <x:v>memos_long:3448</x:v>
      </x:c>
      <x:c r="B446" s="30" t="str">
        <x:v>long</x:v>
      </x:c>
      <x:c r="C446" s="30" t="str">
        <x:v>Basic Fact Recall</x:v>
      </x:c>
      <x:c r="D446" s="30" t="n">
        <x:v>1</x:v>
      </x:c>
      <x:c r="E446" s="30" t="str">
        <x:v>What type of documentaries has Christopher shown a growing interest in by Mar 20, 2035?</x:v>
      </x:c>
      <x:c r="F446" s="30" t="str">
        <x:v>Documentaries that tackle social issues.</x:v>
      </x:c>
      <x:c r="G446" s="30" t="str">
        <x:v>Social issue documentaries</x:v>
      </x:c>
      <x:c r="H446" s="30" t="str">
        <x:v>deepseek-v4-flash</x:v>
      </x:c>
      <x:c r="I446" s="30" t="str">
        <x:v>deepseek-v4-flash</x:v>
      </x:c>
      <x:c r="J446" s="30" t="str">
        <x:v>c3829c9e1c218fbfaa06bd3da39feaaa8b19307e9f92d3c80bf265c71b5aa958</x:v>
      </x:c>
      <x:c r="K446" s="30" t="str">
        <x:v>f2571cc1dc46a0f1dea5753f6d8f55eb6c5a7ca8f52f4383a2fbc33659d54d08</x:v>
      </x:c>
      <x:c r="L446" s="30" t="n">
        <x:v>649.28</x:v>
      </x:c>
      <x:c r="M446" s="30" t="str">
        <x:v>{"completion_tokens": 3, "prompt_tokens": 545, "total_tokens": 548, "completion_tokens_details": null, "prompt_tokens_details": {"audio_tokens": null, "cached_tokens": 512}, "prompt_cache_hit_tokens": 512, "prompt_cache_miss_tokens": 33}</x:v>
      </x:c>
      <x:c r="N446" s="30" t="str">
        <x:v>correct</x:v>
      </x:c>
      <x:c r="O446" s="30" t="str">
        <x:v>The model answer 'Social issue documentaries' is a concise rephrasing of the gold answer 'Documentaries that tackle social issues.' Both convey the same meaning, with the model answer using a noun phrase instead of a relative clause. The semantic content is complete and matches the gold answer.</x:v>
      </x:c>
      <x:c r="P446" s="30" t="str">
        <x:v>LongCat-2.0</x:v>
      </x:c>
      <x:c r="Q446" s="30" t="str">
        <x:v>LongCat-2.0</x:v>
      </x:c>
      <x:c r="R446" s="30" t="n">
        <x:v>3018.52</x:v>
      </x:c>
      <x:c r="S446" s="30" t="str">
        <x:v>{"completion_tokens": 69, "prompt_tokens": 151,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7">
      <x:c r="A447" s="30" t="str">
        <x:v>memos_long:3448</x:v>
      </x:c>
      <x:c r="B447" s="30" t="str">
        <x:v>long</x:v>
      </x:c>
      <x:c r="C447" s="30" t="str">
        <x:v>Basic Fact Recall</x:v>
      </x:c>
      <x:c r="D447" s="30" t="n">
        <x:v>2</x:v>
      </x:c>
      <x:c r="E447" s="30" t="str">
        <x:v>What type of documentaries has Christopher shown a growing interest in by Mar 20, 2035?</x:v>
      </x:c>
      <x:c r="F447" s="30" t="str">
        <x:v>Documentaries that tackle social issues.</x:v>
      </x:c>
      <x:c r="G447" s="30" t="str">
        <x:v>Social issue documentaries</x:v>
      </x:c>
      <x:c r="H447" s="30" t="str">
        <x:v>deepseek-v4-flash</x:v>
      </x:c>
      <x:c r="I447" s="30" t="str">
        <x:v>deepseek-v4-flash</x:v>
      </x:c>
      <x:c r="J447" s="30" t="str">
        <x:v>c3829c9e1c218fbfaa06bd3da39feaaa8b19307e9f92d3c80bf265c71b5aa958</x:v>
      </x:c>
      <x:c r="K447" s="30" t="str">
        <x:v>f2571cc1dc46a0f1dea5753f6d8f55eb6c5a7ca8f52f4383a2fbc33659d54d08</x:v>
      </x:c>
      <x:c r="L447" s="30" t="n">
        <x:v>409.18</x:v>
      </x:c>
      <x:c r="M447" s="30" t="str">
        <x:v>{"completion_tokens": 3, "prompt_tokens": 545, "total_tokens": 548, "completion_tokens_details": null, "prompt_tokens_details": {"audio_tokens": null, "cached_tokens": 512}, "prompt_cache_hit_tokens": 512, "prompt_cache_miss_tokens": 33}</x:v>
      </x:c>
      <x:c r="N447" s="30" t="str">
        <x:v>correct</x:v>
      </x:c>
      <x:c r="O447" s="30" t="str">
        <x:v>The model answer 'Social issue documentaries' is a concise rephrasing of the gold answer 'Documentaries that tackle social issues.' Both convey the same semantic meaning—documentaries focused on social issues—with no contradiction or unsupported material.</x:v>
      </x:c>
      <x:c r="P447" s="30" t="str">
        <x:v>LongCat-2.0</x:v>
      </x:c>
      <x:c r="Q447" s="30" t="str">
        <x:v>LongCat-2.0</x:v>
      </x:c>
      <x:c r="R447" s="30" t="n">
        <x:v>3048.61</x:v>
      </x:c>
      <x:c r="S447" s="30" t="str">
        <x:v>{"completion_tokens": 59, "prompt_tokens": 151,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48">
      <x:c r="A448" s="30" t="str">
        <x:v>memos_long:3448</x:v>
      </x:c>
      <x:c r="B448" s="30" t="str">
        <x:v>long</x:v>
      </x:c>
      <x:c r="C448" s="30" t="str">
        <x:v>Basic Fact Recall</x:v>
      </x:c>
      <x:c r="D448" s="30" t="n">
        <x:v>3</x:v>
      </x:c>
      <x:c r="E448" s="30" t="str">
        <x:v>What type of documentaries has Christopher shown a growing interest in by Mar 20, 2035?</x:v>
      </x:c>
      <x:c r="F448" s="30" t="str">
        <x:v>Documentaries that tackle social issues.</x:v>
      </x:c>
      <x:c r="G448" s="30" t="str">
        <x:v>Social issue documentaries</x:v>
      </x:c>
      <x:c r="H448" s="30" t="str">
        <x:v>deepseek-v4-flash</x:v>
      </x:c>
      <x:c r="I448" s="30" t="str">
        <x:v>deepseek-v4-flash</x:v>
      </x:c>
      <x:c r="J448" s="30" t="str">
        <x:v>c3829c9e1c218fbfaa06bd3da39feaaa8b19307e9f92d3c80bf265c71b5aa958</x:v>
      </x:c>
      <x:c r="K448" s="30" t="str">
        <x:v>f2571cc1dc46a0f1dea5753f6d8f55eb6c5a7ca8f52f4383a2fbc33659d54d08</x:v>
      </x:c>
      <x:c r="L448" s="30" t="n">
        <x:v>566.72</x:v>
      </x:c>
      <x:c r="M448" s="30" t="str">
        <x:v>{"completion_tokens": 3, "prompt_tokens": 545, "total_tokens": 548, "completion_tokens_details": null, "prompt_tokens_details": {"audio_tokens": null, "cached_tokens": 512}, "prompt_cache_hit_tokens": 512, "prompt_cache_miss_tokens": 33}</x:v>
      </x:c>
      <x:c r="N448" s="30" t="str">
        <x:v>correct</x:v>
      </x:c>
      <x:c r="O448" s="30" t="str">
        <x:v>The model answer 'Social issue documentaries' is a concise rephrasing of the gold answer 'Documentaries that tackle social issues.' Both convey the same semantic meaning, with no missing or contradictory information.</x:v>
      </x:c>
      <x:c r="P448" s="30" t="str">
        <x:v>LongCat-2.0</x:v>
      </x:c>
      <x:c r="Q448" s="30" t="str">
        <x:v>LongCat-2.0</x:v>
      </x:c>
      <x:c r="R448" s="30" t="n">
        <x:v>2427.52</x:v>
      </x:c>
      <x:c r="S448" s="30" t="str">
        <x:v>{"completion_tokens": 52, "prompt_tokens": 151, "total_tokens": 203,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49">
      <x:c r="A449" s="30" t="str">
        <x:v>memos_long:3459</x:v>
      </x:c>
      <x:c r="B449" s="30" t="str">
        <x:v>long</x:v>
      </x:c>
      <x:c r="C449" s="30" t="str">
        <x:v>Generalization &amp; Application</x:v>
      </x:c>
      <x:c r="D449" s="30" t="n">
        <x:v>1</x:v>
      </x:c>
      <x:c r="E449" s="30" t="str">
        <x:v>How might Christopher's volunteer initiatives evolve in 2036 with expanded social connections?</x:v>
      </x:c>
      <x:c r="F449" s="30" t="str">
        <x:v>Christopher plans to integrate diverse activities and mentor new volunteers.</x:v>
      </x:c>
      <x:c r="G449" s="30" t="str">
        <x:v>Include diverse activities.</x:v>
      </x:c>
      <x:c r="H449" s="30" t="str">
        <x:v>deepseek-v4-flash</x:v>
      </x:c>
      <x:c r="I449" s="30" t="str">
        <x:v>deepseek-v4-flash</x:v>
      </x:c>
      <x:c r="J449" s="30" t="str">
        <x:v>e147cc5bc9de6c311fb128aa0debb03eae85269c8bf9bd4abffd836330856906</x:v>
      </x:c>
      <x:c r="K449" s="30" t="str">
        <x:v>a611379365d4d258092f324bcfe2437dda2418ebad9781bbc41991108554223b</x:v>
      </x:c>
      <x:c r="L449" s="30" t="n">
        <x:v>868.39</x:v>
      </x:c>
      <x:c r="M449" s="30" t="str">
        <x:v>{"completion_tokens": 4, "prompt_tokens": 570, "total_tokens": 574, "completion_tokens_details": null, "prompt_tokens_details": {"audio_tokens": null, "cached_tokens": 512}, "prompt_cache_hit_tokens": 512, "prompt_cache_miss_tokens": 58}</x:v>
      </x:c>
      <x:c r="N449" s="30" t="str">
        <x:v>omission</x:v>
      </x:c>
      <x:c r="O449" s="30" t="str">
        <x:v>The model answer only mentions 'Include diverse activities,' which is an incomplete subset of the gold answer. It omits the key component about mentoring new volunteers, and does not add any concrete false claim.</x:v>
      </x:c>
      <x:c r="P449" s="30" t="str">
        <x:v>LongCat-2.0</x:v>
      </x:c>
      <x:c r="Q449" s="30" t="str">
        <x:v>LongCat-2.0</x:v>
      </x:c>
      <x:c r="R449" s="30" t="n">
        <x:v>2973.28</x:v>
      </x:c>
      <x:c r="S449" s="30" t="str">
        <x:v>{"completion_tokens": 52, "prompt_tokens": 150,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0">
      <x:c r="A450" s="30" t="str">
        <x:v>memos_long:3459</x:v>
      </x:c>
      <x:c r="B450" s="30" t="str">
        <x:v>long</x:v>
      </x:c>
      <x:c r="C450" s="30" t="str">
        <x:v>Generalization &amp; Application</x:v>
      </x:c>
      <x:c r="D450" s="30" t="n">
        <x:v>2</x:v>
      </x:c>
      <x:c r="E450" s="30" t="str">
        <x:v>How might Christopher's volunteer initiatives evolve in 2036 with expanded social connections?</x:v>
      </x:c>
      <x:c r="F450" s="30" t="str">
        <x:v>Christopher plans to integrate diverse activities and mentor new volunteers.</x:v>
      </x:c>
      <x:c r="G450" s="30" t="str">
        <x:v>Include diverse activities.</x:v>
      </x:c>
      <x:c r="H450" s="30" t="str">
        <x:v>deepseek-v4-flash</x:v>
      </x:c>
      <x:c r="I450" s="30" t="str">
        <x:v>deepseek-v4-flash</x:v>
      </x:c>
      <x:c r="J450" s="30" t="str">
        <x:v>e147cc5bc9de6c311fb128aa0debb03eae85269c8bf9bd4abffd836330856906</x:v>
      </x:c>
      <x:c r="K450" s="30" t="str">
        <x:v>a611379365d4d258092f324bcfe2437dda2418ebad9781bbc41991108554223b</x:v>
      </x:c>
      <x:c r="L450" s="30" t="n">
        <x:v>870</x:v>
      </x:c>
      <x:c r="M450" s="30" t="str">
        <x:v>{"completion_tokens": 4, "prompt_tokens": 570, "total_tokens": 574, "completion_tokens_details": null, "prompt_tokens_details": {"audio_tokens": null, "cached_tokens": 512}, "prompt_cache_hit_tokens": 512, "prompt_cache_miss_tokens": 58}</x:v>
      </x:c>
      <x:c r="N450" s="30" t="str">
        <x:v>omission</x:v>
      </x:c>
      <x:c r="O450" s="30" t="str">
        <x:v>The model answer only mentions 'Include diverse activities,' which is an incomplete subset of the gold answer. It omits the key component about mentoring new volunteers, and does not add any concrete false claim.</x:v>
      </x:c>
      <x:c r="P450" s="30" t="str">
        <x:v>LongCat-2.0</x:v>
      </x:c>
      <x:c r="Q450" s="30" t="str">
        <x:v>LongCat-2.0</x:v>
      </x:c>
      <x:c r="R450" s="30" t="n">
        <x:v>2510.15</x:v>
      </x:c>
      <x:c r="S450" s="30" t="str">
        <x:v>{"completion_tokens": 52, "prompt_tokens": 150,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1">
      <x:c r="A451" s="30" t="str">
        <x:v>memos_long:3459</x:v>
      </x:c>
      <x:c r="B451" s="30" t="str">
        <x:v>long</x:v>
      </x:c>
      <x:c r="C451" s="30" t="str">
        <x:v>Generalization &amp; Application</x:v>
      </x:c>
      <x:c r="D451" s="30" t="n">
        <x:v>3</x:v>
      </x:c>
      <x:c r="E451" s="30" t="str">
        <x:v>How might Christopher's volunteer initiatives evolve in 2036 with expanded social connections?</x:v>
      </x:c>
      <x:c r="F451" s="30" t="str">
        <x:v>Christopher plans to integrate diverse activities and mentor new volunteers.</x:v>
      </x:c>
      <x:c r="G451" s="30" t="str">
        <x:v>Include diverse activities.</x:v>
      </x:c>
      <x:c r="H451" s="30" t="str">
        <x:v>deepseek-v4-flash</x:v>
      </x:c>
      <x:c r="I451" s="30" t="str">
        <x:v>deepseek-v4-flash</x:v>
      </x:c>
      <x:c r="J451" s="30" t="str">
        <x:v>e147cc5bc9de6c311fb128aa0debb03eae85269c8bf9bd4abffd836330856906</x:v>
      </x:c>
      <x:c r="K451" s="30" t="str">
        <x:v>a611379365d4d258092f324bcfe2437dda2418ebad9781bbc41991108554223b</x:v>
      </x:c>
      <x:c r="L451" s="30" t="n">
        <x:v>551</x:v>
      </x:c>
      <x:c r="M451" s="30" t="str">
        <x:v>{"completion_tokens": 4, "prompt_tokens": 570, "total_tokens": 574, "completion_tokens_details": null, "prompt_tokens_details": {"audio_tokens": null, "cached_tokens": 512}, "prompt_cache_hit_tokens": 512, "prompt_cache_miss_tokens": 58}</x:v>
      </x:c>
      <x:c r="N451" s="30" t="str">
        <x:v>omission</x:v>
      </x:c>
      <x:c r="O451" s="30" t="str">
        <x:v>The model answer only mentions 'Include diverse activities,' which is an incomplete subset of the gold answer. It omits the key component about mentoring new volunteers and does not add any concrete false claim.</x:v>
      </x:c>
      <x:c r="P451" s="30" t="str">
        <x:v>LongCat-2.0</x:v>
      </x:c>
      <x:c r="Q451" s="30" t="str">
        <x:v>LongCat-2.0</x:v>
      </x:c>
      <x:c r="R451" s="30" t="n">
        <x:v>2867.41</x:v>
      </x:c>
      <x:c r="S451" s="30" t="str">
        <x:v>{"completion_tokens": 51, "prompt_tokens": 150, "total_tokens": 201,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52">
      <x:c r="A452" s="30" t="str">
        <x:v>memos_long:36</x:v>
      </x:c>
      <x:c r="B452" s="30" t="str">
        <x:v>long</x:v>
      </x:c>
      <x:c r="C452" s="30" t="str">
        <x:v>Generalization &amp; Application</x:v>
      </x:c>
      <x:c r="D452" s="30" t="n">
        <x:v>1</x:v>
      </x:c>
      <x:c r="E452" s="30" t="str">
        <x:v>Given Martin's interest in heavy metal music as of Jul 27, 2027, what type of music might he explore next for relaxation?</x:v>
      </x:c>
      <x:c r="F452" s="30" t="str">
        <x:v>Ambient or jazz music.</x:v>
      </x:c>
      <x:c r="G452" s="30" t="str">
        <x:v>Heavy metal, jazz, classical.</x:v>
      </x:c>
      <x:c r="H452" s="30" t="str">
        <x:v>deepseek-v4-flash</x:v>
      </x:c>
      <x:c r="I452" s="30" t="str">
        <x:v>deepseek-v4-flash</x:v>
      </x:c>
      <x:c r="J452" s="30" t="str">
        <x:v>4e95858c18e0c63b6702f386ea90a043028b0d8c799ad7e5f1b68ff30bf24b6d</x:v>
      </x:c>
      <x:c r="K452" s="30" t="str">
        <x:v>caffbe56a591d31b140ce66bfcb490b2ad01ca4dffd1babbd4c71260ea489108</x:v>
      </x:c>
      <x:c r="L452" s="30" t="n">
        <x:v>596.54</x:v>
      </x:c>
      <x:c r="M452" s="30" t="str">
        <x:v>{"completion_tokens": 8, "prompt_tokens": 589, "total_tokens": 597, "completion_tokens_details": null, "prompt_tokens_details": {"audio_tokens": null, "cached_tokens": 512}, "prompt_cache_hit_tokens": 512, "prompt_cache_miss_tokens": 77}</x:v>
      </x:c>
      <x:c r="N452" s="30" t="str">
        <x:v>hallucination</x:v>
      </x:c>
      <x:c r="O452" s="30" t="str">
        <x:v>The gold answer specifies ambient or jazz music as the next type Martin might explore for relaxation. The model answer includes 'heavy metal,' which contradicts the premise of exploring something new for relaxation and is unsupported by the gold answer, making it a hallucination.</x:v>
      </x:c>
      <x:c r="P452" s="30" t="str">
        <x:v>LongCat-2.0</x:v>
      </x:c>
      <x:c r="Q452" s="30" t="str">
        <x:v>LongCat-2.0</x:v>
      </x:c>
      <x:c r="R452" s="30" t="n">
        <x:v>2915.87</x:v>
      </x:c>
      <x:c r="S452" s="30" t="str">
        <x:v>{"completion_tokens": 63, "prompt_tokens": 161,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53">
      <x:c r="A453" s="30" t="str">
        <x:v>memos_long:36</x:v>
      </x:c>
      <x:c r="B453" s="30" t="str">
        <x:v>long</x:v>
      </x:c>
      <x:c r="C453" s="30" t="str">
        <x:v>Generalization &amp; Application</x:v>
      </x:c>
      <x:c r="D453" s="30" t="n">
        <x:v>2</x:v>
      </x:c>
      <x:c r="E453" s="30" t="str">
        <x:v>Given Martin's interest in heavy metal music as of Jul 27, 2027, what type of music might he explore next for relaxation?</x:v>
      </x:c>
      <x:c r="F453" s="30" t="str">
        <x:v>Ambient or jazz music.</x:v>
      </x:c>
      <x:c r="G453" s="30" t="str">
        <x:v>Heavy metal, jazz, classical.</x:v>
      </x:c>
      <x:c r="H453" s="30" t="str">
        <x:v>deepseek-v4-flash</x:v>
      </x:c>
      <x:c r="I453" s="30" t="str">
        <x:v>deepseek-v4-flash</x:v>
      </x:c>
      <x:c r="J453" s="30" t="str">
        <x:v>4e95858c18e0c63b6702f386ea90a043028b0d8c799ad7e5f1b68ff30bf24b6d</x:v>
      </x:c>
      <x:c r="K453" s="30" t="str">
        <x:v>caffbe56a591d31b140ce66bfcb490b2ad01ca4dffd1babbd4c71260ea489108</x:v>
      </x:c>
      <x:c r="L453" s="30" t="n">
        <x:v>781.41</x:v>
      </x:c>
      <x:c r="M453" s="30" t="str">
        <x:v>{"completion_tokens": 8, "prompt_tokens": 589, "total_tokens": 597, "completion_tokens_details": null, "prompt_tokens_details": {"audio_tokens": null, "cached_tokens": 512}, "prompt_cache_hit_tokens": 512, "prompt_cache_miss_tokens": 77}</x:v>
      </x:c>
      <x:c r="N453" s="30" t="str">
        <x:v>hallucination</x:v>
      </x:c>
      <x:c r="O453"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P453" s="30" t="str">
        <x:v>LongCat-2.0</x:v>
      </x:c>
      <x:c r="Q453" s="30" t="str">
        <x:v>LongCat-2.0</x:v>
      </x:c>
      <x:c r="R453" s="30" t="n">
        <x:v>3005.49</x:v>
      </x:c>
      <x:c r="S453" s="30" t="str">
        <x:v>{"completion_tokens": 79, "prompt_tokens": 161,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4">
      <x:c r="A454" s="30" t="str">
        <x:v>memos_long:36</x:v>
      </x:c>
      <x:c r="B454" s="30" t="str">
        <x:v>long</x:v>
      </x:c>
      <x:c r="C454" s="30" t="str">
        <x:v>Generalization &amp; Application</x:v>
      </x:c>
      <x:c r="D454" s="30" t="n">
        <x:v>3</x:v>
      </x:c>
      <x:c r="E454" s="30" t="str">
        <x:v>Given Martin's interest in heavy metal music as of Jul 27, 2027, what type of music might he explore next for relaxation?</x:v>
      </x:c>
      <x:c r="F454" s="30" t="str">
        <x:v>Ambient or jazz music.</x:v>
      </x:c>
      <x:c r="G454" s="30" t="str">
        <x:v>Heavy metal, jazz, classical.</x:v>
      </x:c>
      <x:c r="H454" s="30" t="str">
        <x:v>deepseek-v4-flash</x:v>
      </x:c>
      <x:c r="I454" s="30" t="str">
        <x:v>deepseek-v4-flash</x:v>
      </x:c>
      <x:c r="J454" s="30" t="str">
        <x:v>4e95858c18e0c63b6702f386ea90a043028b0d8c799ad7e5f1b68ff30bf24b6d</x:v>
      </x:c>
      <x:c r="K454" s="30" t="str">
        <x:v>caffbe56a591d31b140ce66bfcb490b2ad01ca4dffd1babbd4c71260ea489108</x:v>
      </x:c>
      <x:c r="L454" s="30" t="n">
        <x:v>698.65</x:v>
      </x:c>
      <x:c r="M454" s="30" t="str">
        <x:v>{"completion_tokens": 8, "prompt_tokens": 589, "total_tokens": 597, "completion_tokens_details": null, "prompt_tokens_details": {"audio_tokens": null, "cached_tokens": 512}, "prompt_cache_hit_tokens": 512, "prompt_cache_miss_tokens": 77}</x:v>
      </x:c>
      <x:c r="N454" s="30" t="str">
        <x:v>hallucination</x:v>
      </x:c>
      <x:c r="O454"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P454" s="30" t="str">
        <x:v>LongCat-2.0</x:v>
      </x:c>
      <x:c r="Q454" s="30" t="str">
        <x:v>LongCat-2.0</x:v>
      </x:c>
      <x:c r="R454" s="30" t="n">
        <x:v>2773.01</x:v>
      </x:c>
      <x:c r="S454" s="30" t="str">
        <x:v>{"completion_tokens": 79, "prompt_tokens": 161,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5">
      <x:c r="A455" s="30" t="str">
        <x:v>memos_long:38</x:v>
      </x:c>
      <x:c r="B455" s="30" t="str">
        <x:v>long</x:v>
      </x:c>
      <x:c r="C455" s="30" t="str">
        <x:v>Generalization &amp; Application</x:v>
      </x:c>
      <x:c r="D455" s="30" t="n">
        <x:v>1</x:v>
      </x:c>
      <x:c r="E455" s="30" t="str">
        <x:v>What sustainable travel choices might Martin consider after October 29, 2027?</x:v>
      </x:c>
      <x:c r="F455" s="30" t="str">
        <x:v>Eco-friendly transportation or supporting local eco-tourism.</x:v>
      </x:c>
      <x:c r="G455" s="30" t="str">
        <x:v>Exploring sustainable travel options.</x:v>
      </x:c>
      <x:c r="H455" s="30" t="str">
        <x:v>deepseek-v4-flash</x:v>
      </x:c>
      <x:c r="I455" s="30" t="str">
        <x:v>deepseek-v4-flash</x:v>
      </x:c>
      <x:c r="J455" s="30" t="str">
        <x:v>2e3db1ff5a268f7640f842de08fc2603be97e874c0e7995b11b321e94cc14c84</x:v>
      </x:c>
      <x:c r="K455" s="30" t="str">
        <x:v>9d213be859fb0e6748740bc368f764b56a183c962f5297c681db9282acc9ce1a</x:v>
      </x:c>
      <x:c r="L455" s="30" t="n">
        <x:v>614.61</x:v>
      </x:c>
      <x:c r="M455" s="30" t="str">
        <x:v>{"completion_tokens": 5, "prompt_tokens": 571, "total_tokens": 576, "completion_tokens_details": null, "prompt_tokens_details": {"audio_tokens": null, "cached_tokens": 512}, "prompt_cache_hit_tokens": 512, "prompt_cache_miss_tokens": 59}</x:v>
      </x:c>
      <x:c r="N455" s="30" t="str">
        <x:v>omission</x:v>
      </x:c>
      <x:c r="O455" s="30" t="str">
        <x:v>The model answer 'Exploring sustainable travel options' is vague and does not provide the specific concrete details included in the gold answer, such as 'eco-friendly transportation' or 'supporting local eco-tourism'. It gives only an incomplete subset of the information without adding any false claims.</x:v>
      </x:c>
      <x:c r="P455" s="30" t="str">
        <x:v>LongCat-2.0</x:v>
      </x:c>
      <x:c r="Q455" s="30" t="str">
        <x:v>LongCat-2.0</x:v>
      </x:c>
      <x:c r="R455" s="30" t="n">
        <x:v>2818.08</x:v>
      </x:c>
      <x:c r="S455" s="30" t="str">
        <x:v>{"completion_tokens": 70, "prompt_tokens": 154,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56">
      <x:c r="A456" s="30" t="str">
        <x:v>memos_long:38</x:v>
      </x:c>
      <x:c r="B456" s="30" t="str">
        <x:v>long</x:v>
      </x:c>
      <x:c r="C456" s="30" t="str">
        <x:v>Generalization &amp; Application</x:v>
      </x:c>
      <x:c r="D456" s="30" t="n">
        <x:v>2</x:v>
      </x:c>
      <x:c r="E456" s="30" t="str">
        <x:v>What sustainable travel choices might Martin consider after October 29, 2027?</x:v>
      </x:c>
      <x:c r="F456" s="30" t="str">
        <x:v>Eco-friendly transportation or supporting local eco-tourism.</x:v>
      </x:c>
      <x:c r="G456" s="30" t="str">
        <x:v>Exploring sustainable travel options.</x:v>
      </x:c>
      <x:c r="H456" s="30" t="str">
        <x:v>deepseek-v4-flash</x:v>
      </x:c>
      <x:c r="I456" s="30" t="str">
        <x:v>deepseek-v4-flash</x:v>
      </x:c>
      <x:c r="J456" s="30" t="str">
        <x:v>2e3db1ff5a268f7640f842de08fc2603be97e874c0e7995b11b321e94cc14c84</x:v>
      </x:c>
      <x:c r="K456" s="30" t="str">
        <x:v>9d213be859fb0e6748740bc368f764b56a183c962f5297c681db9282acc9ce1a</x:v>
      </x:c>
      <x:c r="L456" s="30" t="n">
        <x:v>520.44</x:v>
      </x:c>
      <x:c r="M456" s="30" t="str">
        <x:v>{"completion_tokens": 5, "prompt_tokens": 571, "total_tokens": 576, "completion_tokens_details": null, "prompt_tokens_details": {"audio_tokens": null, "cached_tokens": 512}, "prompt_cache_hit_tokens": 512, "prompt_cache_miss_tokens": 59}</x:v>
      </x:c>
      <x:c r="N456" s="30" t="str">
        <x:v>omission</x:v>
      </x:c>
      <x:c r="O456"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x:v>
      </x:c>
      <x:c r="P456" s="30" t="str">
        <x:v>LongCat-2.0</x:v>
      </x:c>
      <x:c r="Q456" s="30" t="str">
        <x:v>LongCat-2.0</x:v>
      </x:c>
      <x:c r="R456" s="30" t="n">
        <x:v>2784.01</x:v>
      </x:c>
      <x:c r="S456" s="30" t="str">
        <x:v>{"completion_tokens": 70, "prompt_tokens": 154,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7">
      <x:c r="A457" s="30" t="str">
        <x:v>memos_long:38</x:v>
      </x:c>
      <x:c r="B457" s="30" t="str">
        <x:v>long</x:v>
      </x:c>
      <x:c r="C457" s="30" t="str">
        <x:v>Generalization &amp; Application</x:v>
      </x:c>
      <x:c r="D457" s="30" t="n">
        <x:v>3</x:v>
      </x:c>
      <x:c r="E457" s="30" t="str">
        <x:v>What sustainable travel choices might Martin consider after October 29, 2027?</x:v>
      </x:c>
      <x:c r="F457" s="30" t="str">
        <x:v>Eco-friendly transportation or supporting local eco-tourism.</x:v>
      </x:c>
      <x:c r="G457" s="30" t="str">
        <x:v>Exploring sustainable travel options.</x:v>
      </x:c>
      <x:c r="H457" s="30" t="str">
        <x:v>deepseek-v4-flash</x:v>
      </x:c>
      <x:c r="I457" s="30" t="str">
        <x:v>deepseek-v4-flash</x:v>
      </x:c>
      <x:c r="J457" s="30" t="str">
        <x:v>2e3db1ff5a268f7640f842de08fc2603be97e874c0e7995b11b321e94cc14c84</x:v>
      </x:c>
      <x:c r="K457" s="30" t="str">
        <x:v>9d213be859fb0e6748740bc368f764b56a183c962f5297c681db9282acc9ce1a</x:v>
      </x:c>
      <x:c r="L457" s="30" t="n">
        <x:v>677.57</x:v>
      </x:c>
      <x:c r="M457" s="30" t="str">
        <x:v>{"completion_tokens": 5, "prompt_tokens": 571, "total_tokens": 576, "completion_tokens_details": null, "prompt_tokens_details": {"audio_tokens": null, "cached_tokens": 512}, "prompt_cache_hit_tokens": 512, "prompt_cache_miss_tokens": 59}</x:v>
      </x:c>
      <x:c r="N457" s="30" t="str">
        <x:v>omission</x:v>
      </x:c>
      <x:c r="O457"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P457" s="30" t="str">
        <x:v>LongCat-2.0</x:v>
      </x:c>
      <x:c r="Q457" s="30" t="str">
        <x:v>LongCat-2.0</x:v>
      </x:c>
      <x:c r="R457" s="30" t="n">
        <x:v>3027.72</x:v>
      </x:c>
      <x:c r="S457" s="30" t="str">
        <x:v>{"completion_tokens": 76, "prompt_tokens": 154,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58">
      <x:c r="A458" s="30" t="str">
        <x:v>memos_long:390</x:v>
      </x:c>
      <x:c r="B458" s="30" t="str">
        <x:v>long</x:v>
      </x:c>
      <x:c r="C458" s="30" t="str">
        <x:v>Generalization &amp; Application</x:v>
      </x:c>
      <x:c r="D458" s="30" t="n">
        <x:v>1</x:v>
      </x:c>
      <x:c r="E458" s="30" t="str">
        <x:v>What type of extreme sports might Donald explore next based on his interest in safety and thrill?</x:v>
      </x:c>
      <x:c r="F458" s="30" t="str">
        <x:v>Donald might explore skydiving with safety precautions.</x:v>
      </x:c>
      <x:c r="G458" s="30" t="str">
        <x:v>Bungee jumping or skydiving.</x:v>
      </x:c>
      <x:c r="H458" s="30" t="str">
        <x:v>deepseek-v4-flash</x:v>
      </x:c>
      <x:c r="I458" s="30" t="str">
        <x:v>deepseek-v4-flash</x:v>
      </x:c>
      <x:c r="J458" s="30" t="str">
        <x:v>63255ef88ed5a4f1b07084ce9cac1ed455248fe7310b6180e7d7d74487fb57a9</x:v>
      </x:c>
      <x:c r="K458" s="30" t="str">
        <x:v>82532cf30dbf2ec196f8011afc29a1ce5cab7231d92d2cf4e2b8581043f63286</x:v>
      </x:c>
      <x:c r="L458" s="30" t="n">
        <x:v>662.47</x:v>
      </x:c>
      <x:c r="M458" s="30" t="str">
        <x:v>{"completion_tokens": 9, "prompt_tokens": 598, "total_tokens": 607, "completion_tokens_details": null, "prompt_tokens_details": {"audio_tokens": null, "cached_tokens": 512}, "prompt_cache_hit_tokens": 512, "prompt_cache_miss_tokens": 86}</x:v>
      </x:c>
      <x:c r="N458" s="30" t="str">
        <x:v>hallucination</x:v>
      </x:c>
      <x:c r="O458" s="30" t="str">
        <x:v>The gold answer specifies skydiving with safety precautions as the concrete suggestion. The model answer includes skydiving but adds bungee jumping, which is not supported by the gold answer and constitutes an unsupported concrete claim.</x:v>
      </x:c>
      <x:c r="P458" s="30" t="str">
        <x:v>LongCat-2.0</x:v>
      </x:c>
      <x:c r="Q458" s="30" t="str">
        <x:v>LongCat-2.0</x:v>
      </x:c>
      <x:c r="R458" s="30" t="n">
        <x:v>2980.25</x:v>
      </x:c>
      <x:c r="S458" s="30" t="str">
        <x:v>{"completion_tokens": 57, "prompt_tokens": 154,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59">
      <x:c r="A459" s="30" t="str">
        <x:v>memos_long:390</x:v>
      </x:c>
      <x:c r="B459" s="30" t="str">
        <x:v>long</x:v>
      </x:c>
      <x:c r="C459" s="30" t="str">
        <x:v>Generalization &amp; Application</x:v>
      </x:c>
      <x:c r="D459" s="30" t="n">
        <x:v>2</x:v>
      </x:c>
      <x:c r="E459" s="30" t="str">
        <x:v>What type of extreme sports might Donald explore next based on his interest in safety and thrill?</x:v>
      </x:c>
      <x:c r="F459" s="30" t="str">
        <x:v>Donald might explore skydiving with safety precautions.</x:v>
      </x:c>
      <x:c r="G459" s="30" t="str">
        <x:v>Bungee jumping or skydiving.</x:v>
      </x:c>
      <x:c r="H459" s="30" t="str">
        <x:v>deepseek-v4-flash</x:v>
      </x:c>
      <x:c r="I459" s="30" t="str">
        <x:v>deepseek-v4-flash</x:v>
      </x:c>
      <x:c r="J459" s="30" t="str">
        <x:v>63255ef88ed5a4f1b07084ce9cac1ed455248fe7310b6180e7d7d74487fb57a9</x:v>
      </x:c>
      <x:c r="K459" s="30" t="str">
        <x:v>82532cf30dbf2ec196f8011afc29a1ce5cab7231d92d2cf4e2b8581043f63286</x:v>
      </x:c>
      <x:c r="L459" s="30" t="n">
        <x:v>608.26</x:v>
      </x:c>
      <x:c r="M459" s="30" t="str">
        <x:v>{"completion_tokens": 9, "prompt_tokens": 598, "total_tokens": 607, "completion_tokens_details": null, "prompt_tokens_details": {"audio_tokens": null, "cached_tokens": 512}, "prompt_cache_hit_tokens": 512, "prompt_cache_miss_tokens": 86}</x:v>
      </x:c>
      <x:c r="N459" s="30" t="str">
        <x:v>hallucination</x:v>
      </x:c>
      <x:c r="O459" s="30" t="str">
        <x:v>The gold answer specifies skydiving with safety precautions as the concrete suggestion. The model answer includes skydiving but adds bungee jumping, which is not supported by the gold answer and constitutes an unsupported concrete claim, making it a hallucination.</x:v>
      </x:c>
      <x:c r="P459" s="30" t="str">
        <x:v>LongCat-2.0</x:v>
      </x:c>
      <x:c r="Q459" s="30" t="str">
        <x:v>LongCat-2.0</x:v>
      </x:c>
      <x:c r="R459" s="30" t="n">
        <x:v>3361.5</x:v>
      </x:c>
      <x:c r="S459" s="30" t="str">
        <x:v>{"completion_tokens": 63, "prompt_tokens": 154,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0">
      <x:c r="A460" s="30" t="str">
        <x:v>memos_long:390</x:v>
      </x:c>
      <x:c r="B460" s="30" t="str">
        <x:v>long</x:v>
      </x:c>
      <x:c r="C460" s="30" t="str">
        <x:v>Generalization &amp; Application</x:v>
      </x:c>
      <x:c r="D460" s="30" t="n">
        <x:v>3</x:v>
      </x:c>
      <x:c r="E460" s="30" t="str">
        <x:v>What type of extreme sports might Donald explore next based on his interest in safety and thrill?</x:v>
      </x:c>
      <x:c r="F460" s="30" t="str">
        <x:v>Donald might explore skydiving with safety precautions.</x:v>
      </x:c>
      <x:c r="G460" s="30" t="str">
        <x:v>Bungee jumping or skydiving.</x:v>
      </x:c>
      <x:c r="H460" s="30" t="str">
        <x:v>deepseek-v4-flash</x:v>
      </x:c>
      <x:c r="I460" s="30" t="str">
        <x:v>deepseek-v4-flash</x:v>
      </x:c>
      <x:c r="J460" s="30" t="str">
        <x:v>63255ef88ed5a4f1b07084ce9cac1ed455248fe7310b6180e7d7d74487fb57a9</x:v>
      </x:c>
      <x:c r="K460" s="30" t="str">
        <x:v>82532cf30dbf2ec196f8011afc29a1ce5cab7231d92d2cf4e2b8581043f63286</x:v>
      </x:c>
      <x:c r="L460" s="30" t="n">
        <x:v>816.24</x:v>
      </x:c>
      <x:c r="M460" s="30" t="str">
        <x:v>{"completion_tokens": 9, "prompt_tokens": 598, "total_tokens": 607, "completion_tokens_details": null, "prompt_tokens_details": {"audio_tokens": null, "cached_tokens": 512}, "prompt_cache_hit_tokens": 512, "prompt_cache_miss_tokens": 86}</x:v>
      </x:c>
      <x:c r="N460" s="30" t="str">
        <x:v>hallucination</x:v>
      </x:c>
      <x:c r="O460" s="30" t="str">
        <x:v>The gold answer specifies skydiving with safety precautions as the concrete suggestion. The model answer includes skydiving but adds bungee jumping, which is not supported by the gold answer and constitutes an unsupported concrete claim, making it a hallucination.</x:v>
      </x:c>
      <x:c r="P460" s="30" t="str">
        <x:v>LongCat-2.0</x:v>
      </x:c>
      <x:c r="Q460" s="30" t="str">
        <x:v>LongCat-2.0</x:v>
      </x:c>
      <x:c r="R460" s="30" t="n">
        <x:v>3044.97</x:v>
      </x:c>
      <x:c r="S460" s="30" t="str">
        <x:v>{"completion_tokens": 63, "prompt_tokens": 154,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1">
      <x:c r="A461" s="30" t="str">
        <x:v>memos_long:42</x:v>
      </x:c>
      <x:c r="B461" s="30" t="str">
        <x:v>long</x:v>
      </x:c>
      <x:c r="C461" s="30" t="str">
        <x:v>Memory Conflict</x:v>
      </x:c>
      <x:c r="D461" s="30" t="n">
        <x:v>1</x:v>
      </x:c>
      <x:c r="E461" s="30" t="str">
        <x:v>Did Martin express a newfound interest in snakes after his visit to the reptile sanctuary on Feb 01, 2028?</x:v>
      </x:c>
      <x:c r="F461" s="30" t="str">
        <x:v>No, Martin maintains a fear of snakes.</x:v>
      </x:c>
      <x:c r="G461" s="30" t="str">
        <x:v>No, interest in iguanas.</x:v>
      </x:c>
      <x:c r="H461" s="30" t="str">
        <x:v>deepseek-v4-flash</x:v>
      </x:c>
      <x:c r="I461" s="30" t="str">
        <x:v>deepseek-v4-flash</x:v>
      </x:c>
      <x:c r="J461" s="30" t="str">
        <x:v>90af0acf49bf511275654e540d1cc879c7af3f406b3dd4f5e96a87dcf73debee</x:v>
      </x:c>
      <x:c r="K461" s="30" t="str">
        <x:v>3ee52cb37c20659cceee1a1d54ecae87668bdd24c3a94eadfe0417f1e89c09e6</x:v>
      </x:c>
      <x:c r="L461" s="30" t="n">
        <x:v>561.45</x:v>
      </x:c>
      <x:c r="M461" s="30" t="str">
        <x:v>{"completion_tokens": 8, "prompt_tokens": 564, "total_tokens": 572, "completion_tokens_details": null, "prompt_tokens_details": {"audio_tokens": null, "cached_tokens": 512}, "prompt_cache_hit_tokens": 512, "prompt_cache_miss_tokens": 52}</x:v>
      </x:c>
      <x:c r="N461" s="30" t="str">
        <x:v>hallucination</x:v>
      </x:c>
      <x:c r="O461" s="30" t="str">
        <x:v>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constitutes a hallucination.</x:v>
      </x:c>
      <x:c r="P461" s="30" t="str">
        <x:v>LongCat-2.0</x:v>
      </x:c>
      <x:c r="Q461" s="30" t="str">
        <x:v>LongCat-2.0</x:v>
      </x:c>
      <x:c r="R461" s="30" t="n">
        <x:v>3611.62</x:v>
      </x:c>
      <x:c r="S461" s="30" t="str">
        <x:v>{"completion_tokens": 91, "prompt_tokens": 163, "total_tokens": 254,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62">
      <x:c r="A462" s="30" t="str">
        <x:v>memos_long:42</x:v>
      </x:c>
      <x:c r="B462" s="30" t="str">
        <x:v>long</x:v>
      </x:c>
      <x:c r="C462" s="30" t="str">
        <x:v>Memory Conflict</x:v>
      </x:c>
      <x:c r="D462" s="30" t="n">
        <x:v>2</x:v>
      </x:c>
      <x:c r="E462" s="30" t="str">
        <x:v>Did Martin express a newfound interest in snakes after his visit to the reptile sanctuary on Feb 01, 2028?</x:v>
      </x:c>
      <x:c r="F462" s="30" t="str">
        <x:v>No, Martin maintains a fear of snakes.</x:v>
      </x:c>
      <x:c r="G462" s="30" t="str">
        <x:v>No, interest in iguanas.</x:v>
      </x:c>
      <x:c r="H462" s="30" t="str">
        <x:v>deepseek-v4-flash</x:v>
      </x:c>
      <x:c r="I462" s="30" t="str">
        <x:v>deepseek-v4-flash</x:v>
      </x:c>
      <x:c r="J462" s="30" t="str">
        <x:v>90af0acf49bf511275654e540d1cc879c7af3f406b3dd4f5e96a87dcf73debee</x:v>
      </x:c>
      <x:c r="K462" s="30" t="str">
        <x:v>3ee52cb37c20659cceee1a1d54ecae87668bdd24c3a94eadfe0417f1e89c09e6</x:v>
      </x:c>
      <x:c r="L462" s="30" t="n">
        <x:v>607.52</x:v>
      </x:c>
      <x:c r="M462" s="30" t="str">
        <x:v>{"completion_tokens": 8, "prompt_tokens": 564, "total_tokens": 572, "completion_tokens_details": null, "prompt_tokens_details": {"audio_tokens": null, "cached_tokens": 512}, "prompt_cache_hit_tokens": 512, "prompt_cache_miss_tokens": 52}</x:v>
      </x:c>
      <x:c r="N462" s="30" t="str">
        <x:v>hallucination</x:v>
      </x:c>
      <x:c r="O462" s="30" t="str">
        <x:v>The gold answer states that Martin maintains a fear of snakes, meaning he did not express a newfound interest in them. The model answer says 'No, interest in iguanas,' which introduces a concrete claim about iguanas that is not supported by the gold answer and contradicts the spirit of the gold answer by implying a positive interest in a reptile. This is an unsupported/incorrect addition, making it a hallucination.</x:v>
      </x:c>
      <x:c r="P462" s="30" t="str">
        <x:v>LongCat-2.0</x:v>
      </x:c>
      <x:c r="Q462" s="30" t="str">
        <x:v>LongCat-2.0</x:v>
      </x:c>
      <x:c r="R462" s="30" t="n">
        <x:v>3721.66</x:v>
      </x:c>
      <x:c r="S462" s="30" t="str">
        <x:v>{"completion_tokens": 99, "prompt_tokens": 163, "total_tokens": 262,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3">
      <x:c r="A463" s="30" t="str">
        <x:v>memos_long:42</x:v>
      </x:c>
      <x:c r="B463" s="30" t="str">
        <x:v>long</x:v>
      </x:c>
      <x:c r="C463" s="30" t="str">
        <x:v>Memory Conflict</x:v>
      </x:c>
      <x:c r="D463" s="30" t="n">
        <x:v>3</x:v>
      </x:c>
      <x:c r="E463" s="30" t="str">
        <x:v>Did Martin express a newfound interest in snakes after his visit to the reptile sanctuary on Feb 01, 2028?</x:v>
      </x:c>
      <x:c r="F463" s="30" t="str">
        <x:v>No, Martin maintains a fear of snakes.</x:v>
      </x:c>
      <x:c r="G463" s="30" t="str">
        <x:v>No, interest in iguanas.</x:v>
      </x:c>
      <x:c r="H463" s="30" t="str">
        <x:v>deepseek-v4-flash</x:v>
      </x:c>
      <x:c r="I463" s="30" t="str">
        <x:v>deepseek-v4-flash</x:v>
      </x:c>
      <x:c r="J463" s="30" t="str">
        <x:v>90af0acf49bf511275654e540d1cc879c7af3f406b3dd4f5e96a87dcf73debee</x:v>
      </x:c>
      <x:c r="K463" s="30" t="str">
        <x:v>3ee52cb37c20659cceee1a1d54ecae87668bdd24c3a94eadfe0417f1e89c09e6</x:v>
      </x:c>
      <x:c r="L463" s="30" t="n">
        <x:v>632.05</x:v>
      </x:c>
      <x:c r="M463" s="30" t="str">
        <x:v>{"completion_tokens": 8, "prompt_tokens": 564, "total_tokens": 572, "completion_tokens_details": null, "prompt_tokens_details": {"audio_tokens": null, "cached_tokens": 512}, "prompt_cache_hit_tokens": 512, "prompt_cache_miss_tokens": 52}</x:v>
      </x:c>
      <x:c r="N463" s="30" t="str">
        <x:v>hallucination</x:v>
      </x:c>
      <x:c r="O463" s="30" t="str">
        <x:v>The gold answer states that Martin maintains a fear of snakes, meaning he did not express a newfound interest in them. The model answer says 'No, interest in iguanas,' which introduces a concrete claim about iguanas that is not supported by the gold answer and is irrelevant to the question about snakes. This constitutes a hallucination.</x:v>
      </x:c>
      <x:c r="P463" s="30" t="str">
        <x:v>LongCat-2.0</x:v>
      </x:c>
      <x:c r="Q463" s="30" t="str">
        <x:v>LongCat-2.0</x:v>
      </x:c>
      <x:c r="R463" s="30" t="n">
        <x:v>2804.6</x:v>
      </x:c>
      <x:c r="S463" s="30" t="str">
        <x:v>{"completion_tokens": 82, "prompt_tokens": 163,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4">
      <x:c r="A464" s="30" t="str">
        <x:v>memos_long:455</x:v>
      </x:c>
      <x:c r="B464" s="30" t="str">
        <x:v>long</x:v>
      </x:c>
      <x:c r="C464" s="30" t="str">
        <x:v>Generalization &amp; Application</x:v>
      </x:c>
      <x:c r="D464" s="30" t="n">
        <x:v>1</x:v>
      </x:c>
      <x:c r="E464" s="30" t="str">
        <x:v>Given Donald Brown's preference for ergonomic sneakers as of Mar 28, 2032, what type of footwear might enhance his comfort during a hiking trip?</x:v>
      </x:c>
      <x:c r="F464" s="30" t="str">
        <x:v>Ergonomic hiking boots.</x:v>
      </x:c>
      <x:c r="G464" s="30" t="str">
        <x:v>Ergonomic sneakers</x:v>
      </x:c>
      <x:c r="H464" s="30" t="str">
        <x:v>deepseek-v4-flash</x:v>
      </x:c>
      <x:c r="I464" s="30" t="str">
        <x:v>deepseek-v4-flash</x:v>
      </x:c>
      <x:c r="J464" s="30" t="str">
        <x:v>3b41a339878dec2b2201a62d7effd947a54c961627a7bfcded1fc29f2005539a</x:v>
      </x:c>
      <x:c r="K464" s="30" t="str">
        <x:v>14f8a57dbc5c0390b168aabc0cab2e72656116b4439626796b11fb18cc178c80</x:v>
      </x:c>
      <x:c r="L464" s="30" t="n">
        <x:v>551.06</x:v>
      </x:c>
      <x:c r="M464" s="30" t="str">
        <x:v>{"completion_tokens": 5, "prompt_tokens": 645, "total_tokens": 650, "completion_tokens_details": null, "prompt_tokens_details": {"audio_tokens": null, "cached_tokens": 640}, "prompt_cache_hit_tokens": 640, "prompt_cache_miss_tokens": 5}</x:v>
      </x:c>
      <x:c r="N464" s="30" t="str">
        <x:v>hallucination</x:v>
      </x:c>
      <x:c r="O464" s="30" t="str">
        <x:v>The gold answer specifies 'ergonomic hiking boots' as the appropriate footwear for a hiking trip, while the model answer states 'ergonomic sneakers.' Sneakers are a different type of footwear from hiking boots, and the model's answer contradicts the gold answer by providing an incorrect concrete claim rather than the correct type of footwear for the hiking context.</x:v>
      </x:c>
      <x:c r="P464" s="30" t="str">
        <x:v>LongCat-2.0</x:v>
      </x:c>
      <x:c r="Q464" s="30" t="str">
        <x:v>LongCat-2.0</x:v>
      </x:c>
      <x:c r="R464" s="30" t="n">
        <x:v>3078.86</x:v>
      </x:c>
      <x:c r="S464" s="30" t="str">
        <x:v>{"completion_tokens": 82, "prompt_tokens": 165, "total_tokens": 247,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65">
      <x:c r="A465" s="30" t="str">
        <x:v>memos_long:455</x:v>
      </x:c>
      <x:c r="B465" s="30" t="str">
        <x:v>long</x:v>
      </x:c>
      <x:c r="C465" s="30" t="str">
        <x:v>Generalization &amp; Application</x:v>
      </x:c>
      <x:c r="D465" s="30" t="n">
        <x:v>2</x:v>
      </x:c>
      <x:c r="E465" s="30" t="str">
        <x:v>Given Donald Brown's preference for ergonomic sneakers as of Mar 28, 2032, what type of footwear might enhance his comfort during a hiking trip?</x:v>
      </x:c>
      <x:c r="F465" s="30" t="str">
        <x:v>Ergonomic hiking boots.</x:v>
      </x:c>
      <x:c r="G465" s="30" t="str">
        <x:v>Ergonomic sneakers</x:v>
      </x:c>
      <x:c r="H465" s="30" t="str">
        <x:v>deepseek-v4-flash</x:v>
      </x:c>
      <x:c r="I465" s="30" t="str">
        <x:v>deepseek-v4-flash</x:v>
      </x:c>
      <x:c r="J465" s="30" t="str">
        <x:v>3b41a339878dec2b2201a62d7effd947a54c961627a7bfcded1fc29f2005539a</x:v>
      </x:c>
      <x:c r="K465" s="30" t="str">
        <x:v>14f8a57dbc5c0390b168aabc0cab2e72656116b4439626796b11fb18cc178c80</x:v>
      </x:c>
      <x:c r="L465" s="30" t="n">
        <x:v>534.46</x:v>
      </x:c>
      <x:c r="M465" s="30" t="str">
        <x:v>{"completion_tokens": 5, "prompt_tokens": 645, "total_tokens": 650, "completion_tokens_details": null, "prompt_tokens_details": {"audio_tokens": null, "cached_tokens": 640}, "prompt_cache_hit_tokens": 640, "prompt_cache_miss_tokens": 5}</x:v>
      </x:c>
      <x:c r="N465" s="30" t="str">
        <x:v>hallucination</x:v>
      </x:c>
      <x:c r="O465"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P465" s="30" t="str">
        <x:v>LongCat-2.0</x:v>
      </x:c>
      <x:c r="Q465" s="30" t="str">
        <x:v>LongCat-2.0</x:v>
      </x:c>
      <x:c r="R465" s="30" t="n">
        <x:v>2821.19</x:v>
      </x:c>
      <x:c r="S465"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6">
      <x:c r="A466" s="30" t="str">
        <x:v>memos_long:455</x:v>
      </x:c>
      <x:c r="B466" s="30" t="str">
        <x:v>long</x:v>
      </x:c>
      <x:c r="C466" s="30" t="str">
        <x:v>Generalization &amp; Application</x:v>
      </x:c>
      <x:c r="D466" s="30" t="n">
        <x:v>3</x:v>
      </x:c>
      <x:c r="E466" s="30" t="str">
        <x:v>Given Donald Brown's preference for ergonomic sneakers as of Mar 28, 2032, what type of footwear might enhance his comfort during a hiking trip?</x:v>
      </x:c>
      <x:c r="F466" s="30" t="str">
        <x:v>Ergonomic hiking boots.</x:v>
      </x:c>
      <x:c r="G466" s="30" t="str">
        <x:v>Ergonomic sneakers</x:v>
      </x:c>
      <x:c r="H466" s="30" t="str">
        <x:v>deepseek-v4-flash</x:v>
      </x:c>
      <x:c r="I466" s="30" t="str">
        <x:v>deepseek-v4-flash</x:v>
      </x:c>
      <x:c r="J466" s="30" t="str">
        <x:v>3b41a339878dec2b2201a62d7effd947a54c961627a7bfcded1fc29f2005539a</x:v>
      </x:c>
      <x:c r="K466" s="30" t="str">
        <x:v>14f8a57dbc5c0390b168aabc0cab2e72656116b4439626796b11fb18cc178c80</x:v>
      </x:c>
      <x:c r="L466" s="30" t="n">
        <x:v>559.8</x:v>
      </x:c>
      <x:c r="M466" s="30" t="str">
        <x:v>{"completion_tokens": 5, "prompt_tokens": 645, "total_tokens": 650, "completion_tokens_details": null, "prompt_tokens_details": {"audio_tokens": null, "cached_tokens": 640}, "prompt_cache_hit_tokens": 640, "prompt_cache_miss_tokens": 5}</x:v>
      </x:c>
      <x:c r="N466" s="30" t="str">
        <x:v>hallucination</x:v>
      </x:c>
      <x:c r="O466"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P466" s="30" t="str">
        <x:v>LongCat-2.0</x:v>
      </x:c>
      <x:c r="Q466" s="30" t="str">
        <x:v>LongCat-2.0</x:v>
      </x:c>
      <x:c r="R466" s="30" t="n">
        <x:v>2475.17</x:v>
      </x:c>
      <x:c r="S466"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7">
      <x:c r="A467" s="30" t="str">
        <x:v>memos_long:483</x:v>
      </x:c>
      <x:c r="B467" s="30" t="str">
        <x:v>long</x:v>
      </x:c>
      <x:c r="C467" s="30" t="str">
        <x:v>Multi-hop Inference</x:v>
      </x:c>
      <x:c r="D467" s="30" t="n">
        <x:v>1</x:v>
      </x:c>
      <x:c r="E467" s="30" t="str">
        <x:v>What were the reasons behind Donald Brown's career transition on May 10, 2033?</x:v>
      </x:c>
      <x:c r="F467" s="30" t="str">
        <x:v>Flexibility, work-life balance, and leveraging expertise.</x:v>
      </x:c>
      <x:c r="G467" s="30" t="str">
        <x:v>Flexibility and better work-life balance.</x:v>
      </x:c>
      <x:c r="H467" s="30" t="str">
        <x:v>deepseek-v4-flash</x:v>
      </x:c>
      <x:c r="I467" s="30" t="str">
        <x:v>deepseek-v4-flash</x:v>
      </x:c>
      <x:c r="J467" s="30" t="str">
        <x:v>fdec71c835ae8463fd1a9ae798470733bdf11cef8a31554f840dfcddc63bdd9c</x:v>
      </x:c>
      <x:c r="K467" s="30" t="str">
        <x:v>9ef672a261b25a2b5fded503958ef8683b065b729ff8cae08e5847e73cb0abd4</x:v>
      </x:c>
      <x:c r="L467" s="30" t="n">
        <x:v>625.5</x:v>
      </x:c>
      <x:c r="M467" s="30" t="str">
        <x:v>{"completion_tokens": 8, "prompt_tokens": 607, "total_tokens": 615, "completion_tokens_details": null, "prompt_tokens_details": {"audio_tokens": null, "cached_tokens": 512}, "prompt_cache_hit_tokens": 512, "prompt_cache_miss_tokens": 95}</x:v>
      </x:c>
      <x:c r="N467" s="30" t="str">
        <x:v>omission</x:v>
      </x:c>
      <x:c r="O467" s="30" t="str">
        <x:v>The model answer provides two of the three reasons (flexibility and work-life balance) but omits the third reason (leveraging expertise) without adding any false or contradictory information.</x:v>
      </x:c>
      <x:c r="P467" s="30" t="str">
        <x:v>LongCat-2.0</x:v>
      </x:c>
      <x:c r="Q467" s="30" t="str">
        <x:v>LongCat-2.0</x:v>
      </x:c>
      <x:c r="R467" s="30" t="n">
        <x:v>3097.26</x:v>
      </x:c>
      <x:c r="S467" s="30" t="str">
        <x:v>{"completion_tokens": 48, "prompt_tokens": 158,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68">
      <x:c r="A468" s="30" t="str">
        <x:v>memos_long:483</x:v>
      </x:c>
      <x:c r="B468" s="30" t="str">
        <x:v>long</x:v>
      </x:c>
      <x:c r="C468" s="30" t="str">
        <x:v>Multi-hop Inference</x:v>
      </x:c>
      <x:c r="D468" s="30" t="n">
        <x:v>2</x:v>
      </x:c>
      <x:c r="E468" s="30" t="str">
        <x:v>What were the reasons behind Donald Brown's career transition on May 10, 2033?</x:v>
      </x:c>
      <x:c r="F468" s="30" t="str">
        <x:v>Flexibility, work-life balance, and leveraging expertise.</x:v>
      </x:c>
      <x:c r="G468" s="30" t="str">
        <x:v>Flexibility and better work-life balance.</x:v>
      </x:c>
      <x:c r="H468" s="30" t="str">
        <x:v>deepseek-v4-flash</x:v>
      </x:c>
      <x:c r="I468" s="30" t="str">
        <x:v>deepseek-v4-flash</x:v>
      </x:c>
      <x:c r="J468" s="30" t="str">
        <x:v>fdec71c835ae8463fd1a9ae798470733bdf11cef8a31554f840dfcddc63bdd9c</x:v>
      </x:c>
      <x:c r="K468" s="30" t="str">
        <x:v>9ef672a261b25a2b5fded503958ef8683b065b729ff8cae08e5847e73cb0abd4</x:v>
      </x:c>
      <x:c r="L468" s="30" t="n">
        <x:v>822.54</x:v>
      </x:c>
      <x:c r="M468" s="30" t="str">
        <x:v>{"completion_tokens": 8, "prompt_tokens": 607, "total_tokens": 615, "completion_tokens_details": null, "prompt_tokens_details": {"audio_tokens": null, "cached_tokens": 512}, "prompt_cache_hit_tokens": 512, "prompt_cache_miss_tokens": 95}</x:v>
      </x:c>
      <x:c r="N468" s="30" t="str">
        <x:v>omission</x:v>
      </x:c>
      <x:c r="O468" s="30" t="str">
        <x:v>The model answer includes 'Flexibility' and 'better work-life balance' but omits the third reason 'leveraging expertise' from the gold answer. Since it provides only an incomplete subset without adding a false claim, it is an omission.</x:v>
      </x:c>
      <x:c r="P468" s="30" t="str">
        <x:v>LongCat-2.0</x:v>
      </x:c>
      <x:c r="Q468" s="30" t="str">
        <x:v>LongCat-2.0</x:v>
      </x:c>
      <x:c r="R468" s="30" t="n">
        <x:v>2419.16</x:v>
      </x:c>
      <x:c r="S468" s="30" t="str">
        <x:v>{"completion_tokens": 61, "prompt_tokens": 158,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69">
      <x:c r="A469" s="30" t="str">
        <x:v>memos_long:483</x:v>
      </x:c>
      <x:c r="B469" s="30" t="str">
        <x:v>long</x:v>
      </x:c>
      <x:c r="C469" s="30" t="str">
        <x:v>Multi-hop Inference</x:v>
      </x:c>
      <x:c r="D469" s="30" t="n">
        <x:v>3</x:v>
      </x:c>
      <x:c r="E469" s="30" t="str">
        <x:v>What were the reasons behind Donald Brown's career transition on May 10, 2033?</x:v>
      </x:c>
      <x:c r="F469" s="30" t="str">
        <x:v>Flexibility, work-life balance, and leveraging expertise.</x:v>
      </x:c>
      <x:c r="G469" s="30" t="str">
        <x:v>Flexibility and better work-life balance.</x:v>
      </x:c>
      <x:c r="H469" s="30" t="str">
        <x:v>deepseek-v4-flash</x:v>
      </x:c>
      <x:c r="I469" s="30" t="str">
        <x:v>deepseek-v4-flash</x:v>
      </x:c>
      <x:c r="J469" s="30" t="str">
        <x:v>fdec71c835ae8463fd1a9ae798470733bdf11cef8a31554f840dfcddc63bdd9c</x:v>
      </x:c>
      <x:c r="K469" s="30" t="str">
        <x:v>9ef672a261b25a2b5fded503958ef8683b065b729ff8cae08e5847e73cb0abd4</x:v>
      </x:c>
      <x:c r="L469" s="30" t="n">
        <x:v>659.44</x:v>
      </x:c>
      <x:c r="M469" s="30" t="str">
        <x:v>{"completion_tokens": 8, "prompt_tokens": 607, "total_tokens": 615, "completion_tokens_details": null, "prompt_tokens_details": {"audio_tokens": null, "cached_tokens": 512}, "prompt_cache_hit_tokens": 512, "prompt_cache_miss_tokens": 95}</x:v>
      </x:c>
      <x:c r="N469" s="30" t="str">
        <x:v>omission</x:v>
      </x:c>
      <x:c r="O469" s="30" t="str">
        <x:v>The model answer provides two of the three reasons from the gold answer (flexibility and work-life balance) but omits the third reason (leveraging expertise) without adding any false or contradictory information.</x:v>
      </x:c>
      <x:c r="P469" s="30" t="str">
        <x:v>LongCat-2.0</x:v>
      </x:c>
      <x:c r="Q469" s="30" t="str">
        <x:v>LongCat-2.0</x:v>
      </x:c>
      <x:c r="R469" s="30" t="n">
        <x:v>3169.64</x:v>
      </x:c>
      <x:c r="S469" s="30" t="str">
        <x:v>{"completion_tokens": 52, "prompt_tokens": 158,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0">
      <x:c r="A470" s="30" t="str">
        <x:v>memos_long:484</x:v>
      </x:c>
      <x:c r="B470" s="30" t="str">
        <x:v>long</x:v>
      </x:c>
      <x:c r="C470" s="30" t="str">
        <x:v>Basic Fact Recall</x:v>
      </x:c>
      <x:c r="D470" s="30" t="n">
        <x:v>1</x:v>
      </x:c>
      <x:c r="E470" s="30" t="str">
        <x:v>What was Donald Brown's employment status on May 10, 2033?</x:v>
      </x:c>
      <x:c r="F470" s="30" t="str">
        <x:v>Employed at TechConsult Solutions</x:v>
      </x:c>
      <x:c r="G470" s="30" t="str">
        <x:v>Employed at TechConsult Solutions.</x:v>
      </x:c>
      <x:c r="H470" s="30" t="str">
        <x:v>deepseek-v4-flash</x:v>
      </x:c>
      <x:c r="I470" s="30" t="str">
        <x:v>deepseek-v4-flash</x:v>
      </x:c>
      <x:c r="J470" s="30" t="str">
        <x:v>bec3dab98f475c39dd8eb96e5c31550f9c24cfa4ab37cf9db799dc84b815ca74</x:v>
      </x:c>
      <x:c r="K470" s="30" t="str">
        <x:v>b51559ae49af1e394dbc8bbe4bb1932fe51af8844afdeb84a7070a16325645c6</x:v>
      </x:c>
      <x:c r="L470" s="30" t="n">
        <x:v>667.24</x:v>
      </x:c>
      <x:c r="M470" s="30" t="str">
        <x:v>{"completion_tokens": 7, "prompt_tokens": 532, "total_tokens": 539, "completion_tokens_details": null, "prompt_tokens_details": {"audio_tokens": null, "cached_tokens": 512}, "prompt_cache_hit_tokens": 512, "prompt_cache_miss_tokens": 20}</x:v>
      </x:c>
      <x:c r="N470" s="30" t="str">
        <x:v>correct</x:v>
      </x:c>
      <x:c r="O470" s="30" t="str">
        <x:v>The model answer 'Employed at TechConsult Solutions.' is semantically identical to the gold answer 'Employed at TechConsult Solutions', with only a minor punctuation difference (a period at the end). It provides the complete answer without any contradiction or omission.</x:v>
      </x:c>
      <x:c r="P470" s="30" t="str">
        <x:v>LongCat-2.0</x:v>
      </x:c>
      <x:c r="Q470" s="30" t="str">
        <x:v>LongCat-2.0</x:v>
      </x:c>
      <x:c r="R470" s="30" t="n">
        <x:v>2648.83</x:v>
      </x:c>
      <x:c r="S470" s="30" t="str">
        <x:v>{"completion_tokens": 62, "prompt_tokens": 150,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71">
      <x:c r="A471" s="30" t="str">
        <x:v>memos_long:484</x:v>
      </x:c>
      <x:c r="B471" s="30" t="str">
        <x:v>long</x:v>
      </x:c>
      <x:c r="C471" s="30" t="str">
        <x:v>Basic Fact Recall</x:v>
      </x:c>
      <x:c r="D471" s="30" t="n">
        <x:v>2</x:v>
      </x:c>
      <x:c r="E471" s="30" t="str">
        <x:v>What was Donald Brown's employment status on May 10, 2033?</x:v>
      </x:c>
      <x:c r="F471" s="30" t="str">
        <x:v>Employed at TechConsult Solutions</x:v>
      </x:c>
      <x:c r="G471" s="30" t="str">
        <x:v>Employed at TechConsult Solutions.</x:v>
      </x:c>
      <x:c r="H471" s="30" t="str">
        <x:v>deepseek-v4-flash</x:v>
      </x:c>
      <x:c r="I471" s="30" t="str">
        <x:v>deepseek-v4-flash</x:v>
      </x:c>
      <x:c r="J471" s="30" t="str">
        <x:v>bec3dab98f475c39dd8eb96e5c31550f9c24cfa4ab37cf9db799dc84b815ca74</x:v>
      </x:c>
      <x:c r="K471" s="30" t="str">
        <x:v>b51559ae49af1e394dbc8bbe4bb1932fe51af8844afdeb84a7070a16325645c6</x:v>
      </x:c>
      <x:c r="L471" s="30" t="n">
        <x:v>613.28</x:v>
      </x:c>
      <x:c r="M471" s="30" t="str">
        <x:v>{"completion_tokens": 7, "prompt_tokens": 532, "total_tokens": 539, "completion_tokens_details": null, "prompt_tokens_details": {"audio_tokens": null, "cached_tokens": 512}, "prompt_cache_hit_tokens": 512, "prompt_cache_miss_tokens": 20}</x:v>
      </x:c>
      <x:c r="N471" s="30" t="str">
        <x:v>correct</x:v>
      </x:c>
      <x:c r="O471" s="30" t="str">
        <x:v>The model answer 'Employed at TechConsult Solutions.' is semantically identical to the benchmark gold answer 'Employed at TechConsult Solutions', with only a minor punctuation difference (a period at the end). The core information is complete and matches exactly.</x:v>
      </x:c>
      <x:c r="P471" s="30" t="str">
        <x:v>LongCat-2.0</x:v>
      </x:c>
      <x:c r="Q471" s="30" t="str">
        <x:v>LongCat-2.0</x:v>
      </x:c>
      <x:c r="R471" s="30" t="n">
        <x:v>2834.76</x:v>
      </x:c>
      <x:c r="S471"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2">
      <x:c r="A472" s="30" t="str">
        <x:v>memos_long:484</x:v>
      </x:c>
      <x:c r="B472" s="30" t="str">
        <x:v>long</x:v>
      </x:c>
      <x:c r="C472" s="30" t="str">
        <x:v>Basic Fact Recall</x:v>
      </x:c>
      <x:c r="D472" s="30" t="n">
        <x:v>3</x:v>
      </x:c>
      <x:c r="E472" s="30" t="str">
        <x:v>What was Donald Brown's employment status on May 10, 2033?</x:v>
      </x:c>
      <x:c r="F472" s="30" t="str">
        <x:v>Employed at TechConsult Solutions</x:v>
      </x:c>
      <x:c r="G472" s="30" t="str">
        <x:v>Employed at TechConsult Solutions.</x:v>
      </x:c>
      <x:c r="H472" s="30" t="str">
        <x:v>deepseek-v4-flash</x:v>
      </x:c>
      <x:c r="I472" s="30" t="str">
        <x:v>deepseek-v4-flash</x:v>
      </x:c>
      <x:c r="J472" s="30" t="str">
        <x:v>bec3dab98f475c39dd8eb96e5c31550f9c24cfa4ab37cf9db799dc84b815ca74</x:v>
      </x:c>
      <x:c r="K472" s="30" t="str">
        <x:v>b51559ae49af1e394dbc8bbe4bb1932fe51af8844afdeb84a7070a16325645c6</x:v>
      </x:c>
      <x:c r="L472" s="30" t="n">
        <x:v>621.89</x:v>
      </x:c>
      <x:c r="M472" s="30" t="str">
        <x:v>{"completion_tokens": 7, "prompt_tokens": 532, "total_tokens": 539, "completion_tokens_details": null, "prompt_tokens_details": {"audio_tokens": null, "cached_tokens": 512}, "prompt_cache_hit_tokens": 512, "prompt_cache_miss_tokens": 20}</x:v>
      </x:c>
      <x:c r="N472" s="30" t="str">
        <x:v>correct</x:v>
      </x:c>
      <x:c r="O472" s="30" t="str">
        <x:v>The model answer 'Employed at TechConsult Solutions.' is semantically identical to the benchmark gold answer 'Employed at TechConsult Solutions', with only a minor punctuation difference (a period at the end). The core information is complete and matches exactly.</x:v>
      </x:c>
      <x:c r="P472" s="30" t="str">
        <x:v>LongCat-2.0</x:v>
      </x:c>
      <x:c r="Q472" s="30" t="str">
        <x:v>LongCat-2.0</x:v>
      </x:c>
      <x:c r="R472" s="30" t="n">
        <x:v>2262.4</x:v>
      </x:c>
      <x:c r="S472"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3">
      <x:c r="A473" s="30" t="str">
        <x:v>memos_long:491</x:v>
      </x:c>
      <x:c r="B473" s="30" t="str">
        <x:v>long</x:v>
      </x:c>
      <x:c r="C473" s="30" t="str">
        <x:v>Basic Fact Recall</x:v>
      </x:c>
      <x:c r="D473" s="30" t="n">
        <x:v>1</x:v>
      </x:c>
      <x:c r="E473" s="30" t="str">
        <x:v>What clothing preference did Donald Brown express on March 18, 2034?</x:v>
      </x:c>
      <x:c r="F473" s="30" t="str">
        <x:v>Polo shirts for their versatility and style.</x:v>
      </x:c>
      <x:c r="G473" s="30" t="str">
        <x:v>Polo shirts</x:v>
      </x:c>
      <x:c r="H473" s="30" t="str">
        <x:v>deepseek-v4-flash</x:v>
      </x:c>
      <x:c r="I473" s="30" t="str">
        <x:v>deepseek-v4-flash</x:v>
      </x:c>
      <x:c r="J473" s="30" t="str">
        <x:v>1583ce6217b3899ccfac877dbefc5e9ff66c5b5327396910abc7601a22f58bf7</x:v>
      </x:c>
      <x:c r="K473" s="30" t="str">
        <x:v>ef78e408ef989a336be5305964a9cc3e56074020d9a590f0e64b9367149148e6</x:v>
      </x:c>
      <x:c r="L473" s="30" t="n">
        <x:v>831.73</x:v>
      </x:c>
      <x:c r="M473" s="30" t="str">
        <x:v>{"completion_tokens": 3, "prompt_tokens": 541, "total_tokens": 544, "completion_tokens_details": null, "prompt_tokens_details": {"audio_tokens": null, "cached_tokens": 512}, "prompt_cache_hit_tokens": 512, "prompt_cache_miss_tokens": 29}</x:v>
      </x:c>
      <x:c r="N473" s="30" t="str">
        <x:v>omission</x:v>
      </x:c>
      <x:c r="O473" s="30" t="str">
        <x:v>The model answer 'Polo shirts' provides only an incomplete subset of the gold answer, which includes the reason 'for their versatility and style.' While the model does not make a false claim, it omits key information present in the benchmark answer.</x:v>
      </x:c>
      <x:c r="P473" s="30" t="str">
        <x:v>LongCat-2.0</x:v>
      </x:c>
      <x:c r="Q473" s="30" t="str">
        <x:v>LongCat-2.0</x:v>
      </x:c>
      <x:c r="R473" s="30" t="n">
        <x:v>2512.19</x:v>
      </x:c>
      <x:c r="S473" s="30" t="str">
        <x:v>{"completion_tokens": 62, "prompt_tokens": 149,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4">
      <x:c r="A474" s="30" t="str">
        <x:v>memos_long:491</x:v>
      </x:c>
      <x:c r="B474" s="30" t="str">
        <x:v>long</x:v>
      </x:c>
      <x:c r="C474" s="30" t="str">
        <x:v>Basic Fact Recall</x:v>
      </x:c>
      <x:c r="D474" s="30" t="n">
        <x:v>2</x:v>
      </x:c>
      <x:c r="E474" s="30" t="str">
        <x:v>What clothing preference did Donald Brown express on March 18, 2034?</x:v>
      </x:c>
      <x:c r="F474" s="30" t="str">
        <x:v>Polo shirts for their versatility and style.</x:v>
      </x:c>
      <x:c r="G474" s="30" t="str">
        <x:v>Polo shirts</x:v>
      </x:c>
      <x:c r="H474" s="30" t="str">
        <x:v>deepseek-v4-flash</x:v>
      </x:c>
      <x:c r="I474" s="30" t="str">
        <x:v>deepseek-v4-flash</x:v>
      </x:c>
      <x:c r="J474" s="30" t="str">
        <x:v>1583ce6217b3899ccfac877dbefc5e9ff66c5b5327396910abc7601a22f58bf7</x:v>
      </x:c>
      <x:c r="K474" s="30" t="str">
        <x:v>ef78e408ef989a336be5305964a9cc3e56074020d9a590f0e64b9367149148e6</x:v>
      </x:c>
      <x:c r="L474" s="30" t="n">
        <x:v>770.37</x:v>
      </x:c>
      <x:c r="M474" s="30" t="str">
        <x:v>{"completion_tokens": 3, "prompt_tokens": 541, "total_tokens": 544, "completion_tokens_details": null, "prompt_tokens_details": {"audio_tokens": null, "cached_tokens": 512}, "prompt_cache_hit_tokens": 512, "prompt_cache_miss_tokens": 29}</x:v>
      </x:c>
      <x:c r="N474" s="30" t="str">
        <x:v>omission</x:v>
      </x:c>
      <x:c r="O474" s="30" t="str">
        <x:v>The model answer 'Polo shirts' provides only a partial subset of the gold answer, which includes the reason 'for their versatility and style.' While the model does not make a false claim, it omits key information present in the gold answer, making it incomplete.</x:v>
      </x:c>
      <x:c r="P474" s="30" t="str">
        <x:v>LongCat-2.0</x:v>
      </x:c>
      <x:c r="Q474" s="30" t="str">
        <x:v>LongCat-2.0</x:v>
      </x:c>
      <x:c r="R474" s="30" t="n">
        <x:v>2812.95</x:v>
      </x:c>
      <x:c r="S474" s="30" t="str">
        <x:v>{"completion_tokens": 66, "prompt_tokens": 149,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75">
      <x:c r="A475" s="30" t="str">
        <x:v>memos_long:491</x:v>
      </x:c>
      <x:c r="B475" s="30" t="str">
        <x:v>long</x:v>
      </x:c>
      <x:c r="C475" s="30" t="str">
        <x:v>Basic Fact Recall</x:v>
      </x:c>
      <x:c r="D475" s="30" t="n">
        <x:v>3</x:v>
      </x:c>
      <x:c r="E475" s="30" t="str">
        <x:v>What clothing preference did Donald Brown express on March 18, 2034?</x:v>
      </x:c>
      <x:c r="F475" s="30" t="str">
        <x:v>Polo shirts for their versatility and style.</x:v>
      </x:c>
      <x:c r="G475" s="30" t="str">
        <x:v>Polo shirts</x:v>
      </x:c>
      <x:c r="H475" s="30" t="str">
        <x:v>deepseek-v4-flash</x:v>
      </x:c>
      <x:c r="I475" s="30" t="str">
        <x:v>deepseek-v4-flash</x:v>
      </x:c>
      <x:c r="J475" s="30" t="str">
        <x:v>1583ce6217b3899ccfac877dbefc5e9ff66c5b5327396910abc7601a22f58bf7</x:v>
      </x:c>
      <x:c r="K475" s="30" t="str">
        <x:v>ef78e408ef989a336be5305964a9cc3e56074020d9a590f0e64b9367149148e6</x:v>
      </x:c>
      <x:c r="L475" s="30" t="n">
        <x:v>765.27</x:v>
      </x:c>
      <x:c r="M475" s="30" t="str">
        <x:v>{"completion_tokens": 3, "prompt_tokens": 541, "total_tokens": 544, "completion_tokens_details": null, "prompt_tokens_details": {"audio_tokens": null, "cached_tokens": 512}, "prompt_cache_hit_tokens": 512, "prompt_cache_miss_tokens": 29}</x:v>
      </x:c>
      <x:c r="N475" s="30" t="str">
        <x:v>omission</x:v>
      </x:c>
      <x:c r="O475" s="30" t="str">
        <x:v>The model answer 'Polo shirts' provides only a partial subset of the gold answer, which includes the reason 'for their versatility and style.' While the model does not make a false claim, it omits key information present in the gold answer, making it incomplete.</x:v>
      </x:c>
      <x:c r="P475" s="30" t="str">
        <x:v>LongCat-2.0</x:v>
      </x:c>
      <x:c r="Q475" s="30" t="str">
        <x:v>LongCat-2.0</x:v>
      </x:c>
      <x:c r="R475" s="30" t="n">
        <x:v>2816.81</x:v>
      </x:c>
      <x:c r="S475" s="30" t="str">
        <x:v>{"completion_tokens": 66, "prompt_tokens": 149,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6">
      <x:c r="A476" s="30" t="str">
        <x:v>memos_long:493</x:v>
      </x:c>
      <x:c r="B476" s="30" t="str">
        <x:v>long</x:v>
      </x:c>
      <x:c r="C476" s="30" t="str">
        <x:v>Generalization &amp; Application</x:v>
      </x:c>
      <x:c r="D476" s="30" t="n">
        <x:v>1</x:v>
      </x:c>
      <x:c r="E476" s="30" t="str">
        <x:v>What type of clothing might Donald Brown prefer for a versatile wardrobe after March 18, 2034?</x:v>
      </x:c>
      <x:c r="F476" s="30" t="str">
        <x:v>Polo shirts.</x:v>
      </x:c>
      <x:c r="G476" s="30" t="str">
        <x:v>Polo shirts</x:v>
      </x:c>
      <x:c r="H476" s="30" t="str">
        <x:v>deepseek-v4-flash</x:v>
      </x:c>
      <x:c r="I476" s="30" t="str">
        <x:v>deepseek-v4-flash</x:v>
      </x:c>
      <x:c r="J476" s="30" t="str">
        <x:v>cbd2263fb33f38b98af8020fad0beb4d6affbd2eec8ac5dd43954095f9382020</x:v>
      </x:c>
      <x:c r="K476" s="30" t="str">
        <x:v>75b86bf2fe4d097250496e11a562d73e895e3854ffadd1cf1b5a08a0a72fef9d</x:v>
      </x:c>
      <x:c r="L476" s="30" t="n">
        <x:v>538.33</x:v>
      </x:c>
      <x:c r="M476" s="30" t="str">
        <x:v>{"completion_tokens": 3, "prompt_tokens": 585, "total_tokens": 588, "completion_tokens_details": null, "prompt_tokens_details": {"audio_tokens": null, "cached_tokens": 512}, "prompt_cache_hit_tokens": 512, "prompt_cache_miss_tokens": 73}</x:v>
      </x:c>
      <x:c r="N476" s="30" t="str">
        <x:v>correct</x:v>
      </x:c>
      <x:c r="O476" s="30" t="str">
        <x:v>The model answer 'Polo shirts' is semantically identical to the benchmark gold answer 'Polo shirts.' and provides the complete answer without any contradiction or unsupported material.</x:v>
      </x:c>
      <x:c r="P476" s="30" t="str">
        <x:v>LongCat-2.0</x:v>
      </x:c>
      <x:c r="Q476" s="30" t="str">
        <x:v>LongCat-2.0</x:v>
      </x:c>
      <x:c r="R476" s="30" t="n">
        <x:v>2310.13</x:v>
      </x:c>
      <x:c r="S476" s="30" t="str">
        <x:v>{"completion_tokens": 45, "prompt_tokens": 149, "total_tokens": 194,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7">
      <x:c r="A477" s="30" t="str">
        <x:v>memos_long:493</x:v>
      </x:c>
      <x:c r="B477" s="30" t="str">
        <x:v>long</x:v>
      </x:c>
      <x:c r="C477" s="30" t="str">
        <x:v>Generalization &amp; Application</x:v>
      </x:c>
      <x:c r="D477" s="30" t="n">
        <x:v>2</x:v>
      </x:c>
      <x:c r="E477" s="30" t="str">
        <x:v>What type of clothing might Donald Brown prefer for a versatile wardrobe after March 18, 2034?</x:v>
      </x:c>
      <x:c r="F477" s="30" t="str">
        <x:v>Polo shirts.</x:v>
      </x:c>
      <x:c r="G477" s="30" t="str">
        <x:v>Polo shirts</x:v>
      </x:c>
      <x:c r="H477" s="30" t="str">
        <x:v>deepseek-v4-flash</x:v>
      </x:c>
      <x:c r="I477" s="30" t="str">
        <x:v>deepseek-v4-flash</x:v>
      </x:c>
      <x:c r="J477" s="30" t="str">
        <x:v>cbd2263fb33f38b98af8020fad0beb4d6affbd2eec8ac5dd43954095f9382020</x:v>
      </x:c>
      <x:c r="K477" s="30" t="str">
        <x:v>75b86bf2fe4d097250496e11a562d73e895e3854ffadd1cf1b5a08a0a72fef9d</x:v>
      </x:c>
      <x:c r="L477" s="30" t="n">
        <x:v>515.92</x:v>
      </x:c>
      <x:c r="M477" s="30" t="str">
        <x:v>{"completion_tokens": 3, "prompt_tokens": 585, "total_tokens": 588, "completion_tokens_details": null, "prompt_tokens_details": {"audio_tokens": null, "cached_tokens": 512}, "prompt_cache_hit_tokens": 512, "prompt_cache_miss_tokens": 73}</x:v>
      </x:c>
      <x:c r="N477" s="30" t="str">
        <x:v>correct</x:v>
      </x:c>
      <x:c r="O477" s="30" t="str">
        <x:v>The model answer 'Polo shirts' matches the benchmark gold answer 'Polo shirts' exactly, providing the complete answer without any contradiction or unsupported material.</x:v>
      </x:c>
      <x:c r="P477" s="30" t="str">
        <x:v>LongCat-2.0</x:v>
      </x:c>
      <x:c r="Q477" s="30" t="str">
        <x:v>LongCat-2.0</x:v>
      </x:c>
      <x:c r="R477" s="30" t="n">
        <x:v>2637.28</x:v>
      </x:c>
      <x:c r="S477" s="30" t="str">
        <x:v>{"completion_tokens": 42, "prompt_tokens": 149, "total_tokens": 191,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78">
      <x:c r="A478" s="30" t="str">
        <x:v>memos_long:493</x:v>
      </x:c>
      <x:c r="B478" s="30" t="str">
        <x:v>long</x:v>
      </x:c>
      <x:c r="C478" s="30" t="str">
        <x:v>Generalization &amp; Application</x:v>
      </x:c>
      <x:c r="D478" s="30" t="n">
        <x:v>3</x:v>
      </x:c>
      <x:c r="E478" s="30" t="str">
        <x:v>What type of clothing might Donald Brown prefer for a versatile wardrobe after March 18, 2034?</x:v>
      </x:c>
      <x:c r="F478" s="30" t="str">
        <x:v>Polo shirts.</x:v>
      </x:c>
      <x:c r="G478" s="30" t="str">
        <x:v>Polo shirts</x:v>
      </x:c>
      <x:c r="H478" s="30" t="str">
        <x:v>deepseek-v4-flash</x:v>
      </x:c>
      <x:c r="I478" s="30" t="str">
        <x:v>deepseek-v4-flash</x:v>
      </x:c>
      <x:c r="J478" s="30" t="str">
        <x:v>cbd2263fb33f38b98af8020fad0beb4d6affbd2eec8ac5dd43954095f9382020</x:v>
      </x:c>
      <x:c r="K478" s="30" t="str">
        <x:v>75b86bf2fe4d097250496e11a562d73e895e3854ffadd1cf1b5a08a0a72fef9d</x:v>
      </x:c>
      <x:c r="L478" s="30" t="n">
        <x:v>454.13</x:v>
      </x:c>
      <x:c r="M478" s="30" t="str">
        <x:v>{"completion_tokens": 3, "prompt_tokens": 585, "total_tokens": 588, "completion_tokens_details": null, "prompt_tokens_details": {"audio_tokens": null, "cached_tokens": 512}, "prompt_cache_hit_tokens": 512, "prompt_cache_miss_tokens": 73}</x:v>
      </x:c>
      <x:c r="N478" s="30" t="str">
        <x:v>correct</x:v>
      </x:c>
      <x:c r="O478" s="30" t="str">
        <x:v>The model answer 'Polo shirts' is semantically identical to the benchmark gold answer 'Polo shirts.' and provides the complete answer without any contradiction or unsupported material.</x:v>
      </x:c>
      <x:c r="P478" s="30" t="str">
        <x:v>LongCat-2.0</x:v>
      </x:c>
      <x:c r="Q478" s="30" t="str">
        <x:v>LongCat-2.0</x:v>
      </x:c>
      <x:c r="R478" s="30" t="n">
        <x:v>2548.24</x:v>
      </x:c>
      <x:c r="S478" s="30" t="str">
        <x:v>{"completion_tokens": 45, "prompt_tokens": 149, "total_tokens": 194,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79">
      <x:c r="A479" s="30" t="str">
        <x:v>memos_long:50</x:v>
      </x:c>
      <x:c r="B479" s="30" t="str">
        <x:v>long</x:v>
      </x:c>
      <x:c r="C479" s="30" t="str">
        <x:v>Multi-hop Inference</x:v>
      </x:c>
      <x:c r="D479" s="30" t="n">
        <x:v>1</x:v>
      </x:c>
      <x:c r="E479" s="30" t="str">
        <x:v>Why did Martin decide to take a sabbatical instead of retiring early?</x:v>
      </x:c>
      <x:c r="F479" s="30" t="str">
        <x:v>Support from his social network influenced him.</x:v>
      </x:c>
      <x:c r="G479" s="30" t="str">
        <x:v>Influenced by his social network.</x:v>
      </x:c>
      <x:c r="H479" s="30" t="str">
        <x:v>deepseek-v4-flash</x:v>
      </x:c>
      <x:c r="I479" s="30" t="str">
        <x:v>deepseek-v4-flash</x:v>
      </x:c>
      <x:c r="J479" s="30" t="str">
        <x:v>915b203bff3fa1d6ebab3f296f5e62ca849d96a167594564da4124d1fdc5fecc</x:v>
      </x:c>
      <x:c r="K479" s="30" t="str">
        <x:v>5d5832edd15ba61580b757134c1a97a065f2475a24e35f3b7d894d5d1c50c370</x:v>
      </x:c>
      <x:c r="L479" s="30" t="n">
        <x:v>753.58</x:v>
      </x:c>
      <x:c r="M479" s="30" t="str">
        <x:v>{"completion_tokens": 8, "prompt_tokens": 608, "total_tokens": 616, "completion_tokens_details": null, "prompt_tokens_details": {"audio_tokens": null, "cached_tokens": 512}, "prompt_cache_hit_tokens": 512, "prompt_cache_miss_tokens": 96}</x:v>
      </x:c>
      <x:c r="N479" s="30" t="str">
        <x:v>correct</x:v>
      </x:c>
      <x:c r="O479" s="30" t="str">
        <x:v>The model answer 'Influenced by his social network' semantically captures the complete meaning of the gold answer 'Support from his social network influenced him,' with only minor wording differences.</x:v>
      </x:c>
      <x:c r="P479" s="30" t="str">
        <x:v>LongCat-2.0</x:v>
      </x:c>
      <x:c r="Q479" s="30" t="str">
        <x:v>LongCat-2.0</x:v>
      </x:c>
      <x:c r="R479" s="30" t="n">
        <x:v>2201.52</x:v>
      </x:c>
      <x:c r="S479" s="30" t="str">
        <x:v>{"completion_tokens": 48, "prompt_tokens": 148, "total_tokens": 196,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80">
      <x:c r="A480" s="30" t="str">
        <x:v>memos_long:50</x:v>
      </x:c>
      <x:c r="B480" s="30" t="str">
        <x:v>long</x:v>
      </x:c>
      <x:c r="C480" s="30" t="str">
        <x:v>Multi-hop Inference</x:v>
      </x:c>
      <x:c r="D480" s="30" t="n">
        <x:v>2</x:v>
      </x:c>
      <x:c r="E480" s="30" t="str">
        <x:v>Why did Martin decide to take a sabbatical instead of retiring early?</x:v>
      </x:c>
      <x:c r="F480" s="30" t="str">
        <x:v>Support from his social network influenced him.</x:v>
      </x:c>
      <x:c r="G480" s="30" t="str">
        <x:v>Influenced by his social network.</x:v>
      </x:c>
      <x:c r="H480" s="30" t="str">
        <x:v>deepseek-v4-flash</x:v>
      </x:c>
      <x:c r="I480" s="30" t="str">
        <x:v>deepseek-v4-flash</x:v>
      </x:c>
      <x:c r="J480" s="30" t="str">
        <x:v>915b203bff3fa1d6ebab3f296f5e62ca849d96a167594564da4124d1fdc5fecc</x:v>
      </x:c>
      <x:c r="K480" s="30" t="str">
        <x:v>5d5832edd15ba61580b757134c1a97a065f2475a24e35f3b7d894d5d1c50c370</x:v>
      </x:c>
      <x:c r="L480" s="30" t="n">
        <x:v>625.21</x:v>
      </x:c>
      <x:c r="M480" s="30" t="str">
        <x:v>{"completion_tokens": 8, "prompt_tokens": 608, "total_tokens": 616, "completion_tokens_details": null, "prompt_tokens_details": {"audio_tokens": null, "cached_tokens": 512}, "prompt_cache_hit_tokens": 512, "prompt_cache_miss_tokens": 96}</x:v>
      </x:c>
      <x:c r="N480" s="30" t="str">
        <x:v>correct</x:v>
      </x:c>
      <x:c r="O480" s="30" t="str">
        <x:v>The model answer 'Influenced by his social network' semantically conveys the complete gold answer 'Support from his social network influenced him.' The wording differs slightly, but the core meaning—that his social network influenced his decision—is fully preserved without any contradiction or unsupported material.</x:v>
      </x:c>
      <x:c r="P480" s="30" t="str">
        <x:v>LongCat-2.0</x:v>
      </x:c>
      <x:c r="Q480" s="30" t="str">
        <x:v>LongCat-2.0</x:v>
      </x:c>
      <x:c r="R480" s="30" t="n">
        <x:v>2548.01</x:v>
      </x:c>
      <x:c r="S480" s="30" t="str">
        <x:v>{"completion_tokens": 67, "prompt_tokens": 148,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1">
      <x:c r="A481" s="30" t="str">
        <x:v>memos_long:50</x:v>
      </x:c>
      <x:c r="B481" s="30" t="str">
        <x:v>long</x:v>
      </x:c>
      <x:c r="C481" s="30" t="str">
        <x:v>Multi-hop Inference</x:v>
      </x:c>
      <x:c r="D481" s="30" t="n">
        <x:v>3</x:v>
      </x:c>
      <x:c r="E481" s="30" t="str">
        <x:v>Why did Martin decide to take a sabbatical instead of retiring early?</x:v>
      </x:c>
      <x:c r="F481" s="30" t="str">
        <x:v>Support from his social network influenced him.</x:v>
      </x:c>
      <x:c r="G481" s="30" t="str">
        <x:v>Influenced by his social network.</x:v>
      </x:c>
      <x:c r="H481" s="30" t="str">
        <x:v>deepseek-v4-flash</x:v>
      </x:c>
      <x:c r="I481" s="30" t="str">
        <x:v>deepseek-v4-flash</x:v>
      </x:c>
      <x:c r="J481" s="30" t="str">
        <x:v>915b203bff3fa1d6ebab3f296f5e62ca849d96a167594564da4124d1fdc5fecc</x:v>
      </x:c>
      <x:c r="K481" s="30" t="str">
        <x:v>5d5832edd15ba61580b757134c1a97a065f2475a24e35f3b7d894d5d1c50c370</x:v>
      </x:c>
      <x:c r="L481" s="30" t="n">
        <x:v>562.61</x:v>
      </x:c>
      <x:c r="M481" s="30" t="str">
        <x:v>{"completion_tokens": 8, "prompt_tokens": 608, "total_tokens": 616, "completion_tokens_details": null, "prompt_tokens_details": {"audio_tokens": null, "cached_tokens": 512}, "prompt_cache_hit_tokens": 512, "prompt_cache_miss_tokens": 96}</x:v>
      </x:c>
      <x:c r="N481" s="30" t="str">
        <x:v>correct</x:v>
      </x:c>
      <x:c r="O481" s="30" t="str">
        <x:v>The model answer 'Influenced by his social network' semantically captures the complete meaning of the gold answer 'Support from his social network influenced him,' with only minor wording differences.</x:v>
      </x:c>
      <x:c r="P481" s="30" t="str">
        <x:v>LongCat-2.0</x:v>
      </x:c>
      <x:c r="Q481" s="30" t="str">
        <x:v>LongCat-2.0</x:v>
      </x:c>
      <x:c r="R481" s="30" t="n">
        <x:v>2149.81</x:v>
      </x:c>
      <x:c r="S481" s="30" t="str">
        <x:v>{"completion_tokens": 48, "prompt_tokens": 148,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2">
      <x:c r="A482" s="30" t="str">
        <x:v>memos_long:527</x:v>
      </x:c>
      <x:c r="B482" s="30" t="str">
        <x:v>long</x:v>
      </x:c>
      <x:c r="C482" s="30" t="str">
        <x:v>Memory Conflict</x:v>
      </x:c>
      <x:c r="D482" s="30" t="n">
        <x:v>1</x:v>
      </x:c>
      <x:c r="E482" s="30" t="str">
        <x:v>On Sep 05, 2025, what was Sarah Garcia's job title at Microsoft?</x:v>
      </x:c>
      <x:c r="F482" s="30" t="str">
        <x:v>Sarah Garcia's job title is manager at Oracle.</x:v>
      </x:c>
      <x:c r="G482" s="30" t="str">
        <x:v>Manager at Oracle</x:v>
      </x:c>
      <x:c r="H482" s="30" t="str">
        <x:v>deepseek-v4-flash</x:v>
      </x:c>
      <x:c r="I482" s="30" t="str">
        <x:v>deepseek-v4-flash</x:v>
      </x:c>
      <x:c r="J482" s="30" t="str">
        <x:v>161bb71e7a9f00e0f55af3fb374e966a325a427bd6535e65091a647b7a822a5b</x:v>
      </x:c>
      <x:c r="K482" s="30" t="str">
        <x:v>d5a999918020dc8d5f291376a62fb753eed37963d4ae6bed6d3b279f868a8d7e</x:v>
      </x:c>
      <x:c r="L482" s="30" t="n">
        <x:v>764.57</x:v>
      </x:c>
      <x:c r="M482" s="30" t="str">
        <x:v>{"completion_tokens": 3, "prompt_tokens": 546, "total_tokens": 549, "completion_tokens_details": null, "prompt_tokens_details": {"audio_tokens": null, "cached_tokens": 512}, "prompt_cache_hit_tokens": 512, "prompt_cache_miss_tokens": 34}</x:v>
      </x:c>
      <x:c r="N482" s="30" t="str">
        <x:v>hallucination</x:v>
      </x:c>
      <x:c r="O482" s="30" t="str">
        <x:v>The question asks about Sarah Garcia's job title at Microsoft on Sep 05, 2025, but the model answer states 'Manager at Oracle,' which contradicts the gold answer's context of Microsoft and provides an unsupported/incorrect company name.</x:v>
      </x:c>
      <x:c r="P482" s="30" t="str">
        <x:v>LongCat-2.0</x:v>
      </x:c>
      <x:c r="Q482" s="30" t="str">
        <x:v>LongCat-2.0</x:v>
      </x:c>
      <x:c r="R482" s="30" t="n">
        <x:v>3819.47</x:v>
      </x:c>
      <x:c r="S482" s="30" t="str">
        <x:v>{"completion_tokens": 64, "prompt_tokens": 153,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3">
      <x:c r="A483" s="30" t="str">
        <x:v>memos_long:527</x:v>
      </x:c>
      <x:c r="B483" s="30" t="str">
        <x:v>long</x:v>
      </x:c>
      <x:c r="C483" s="30" t="str">
        <x:v>Memory Conflict</x:v>
      </x:c>
      <x:c r="D483" s="30" t="n">
        <x:v>2</x:v>
      </x:c>
      <x:c r="E483" s="30" t="str">
        <x:v>On Sep 05, 2025, what was Sarah Garcia's job title at Microsoft?</x:v>
      </x:c>
      <x:c r="F483" s="30" t="str">
        <x:v>Sarah Garcia's job title is manager at Oracle.</x:v>
      </x:c>
      <x:c r="G483" s="30" t="str">
        <x:v>Manager at Oracle</x:v>
      </x:c>
      <x:c r="H483" s="30" t="str">
        <x:v>deepseek-v4-flash</x:v>
      </x:c>
      <x:c r="I483" s="30" t="str">
        <x:v>deepseek-v4-flash</x:v>
      </x:c>
      <x:c r="J483" s="30" t="str">
        <x:v>161bb71e7a9f00e0f55af3fb374e966a325a427bd6535e65091a647b7a822a5b</x:v>
      </x:c>
      <x:c r="K483" s="30" t="str">
        <x:v>d5a999918020dc8d5f291376a62fb753eed37963d4ae6bed6d3b279f868a8d7e</x:v>
      </x:c>
      <x:c r="L483" s="30" t="n">
        <x:v>610.1</x:v>
      </x:c>
      <x:c r="M483" s="30" t="str">
        <x:v>{"completion_tokens": 3, "prompt_tokens": 546, "total_tokens": 549, "completion_tokens_details": null, "prompt_tokens_details": {"audio_tokens": null, "cached_tokens": 512}, "prompt_cache_hit_tokens": 512, "prompt_cache_miss_tokens": 34}</x:v>
      </x:c>
      <x:c r="N483" s="30" t="str">
        <x:v>hallucination</x:v>
      </x:c>
      <x:c r="O483" s="30" t="str">
        <x:v>The question asks about Sarah Garcia's job title at Microsoft on Sep 05, 2025, but the model answer states 'Manager at Oracle,' which contradicts the gold answer's context of Microsoft by providing a different company (Oracle). This is a concrete answer that includes unsupported/incorrect material regarding the company, making it a hallucination.</x:v>
      </x:c>
      <x:c r="P483" s="30" t="str">
        <x:v>LongCat-2.0</x:v>
      </x:c>
      <x:c r="Q483" s="30" t="str">
        <x:v>LongCat-2.0</x:v>
      </x:c>
      <x:c r="R483" s="30" t="n">
        <x:v>3732.1</x:v>
      </x:c>
      <x:c r="S483" s="30" t="str">
        <x:v>{"completion_tokens": 84, "prompt_tokens": 153,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84">
      <x:c r="A484" s="30" t="str">
        <x:v>memos_long:527</x:v>
      </x:c>
      <x:c r="B484" s="30" t="str">
        <x:v>long</x:v>
      </x:c>
      <x:c r="C484" s="30" t="str">
        <x:v>Memory Conflict</x:v>
      </x:c>
      <x:c r="D484" s="30" t="n">
        <x:v>3</x:v>
      </x:c>
      <x:c r="E484" s="30" t="str">
        <x:v>On Sep 05, 2025, what was Sarah Garcia's job title at Microsoft?</x:v>
      </x:c>
      <x:c r="F484" s="30" t="str">
        <x:v>Sarah Garcia's job title is manager at Oracle.</x:v>
      </x:c>
      <x:c r="G484" s="30" t="str">
        <x:v>Manager at Oracle</x:v>
      </x:c>
      <x:c r="H484" s="30" t="str">
        <x:v>deepseek-v4-flash</x:v>
      </x:c>
      <x:c r="I484" s="30" t="str">
        <x:v>deepseek-v4-flash</x:v>
      </x:c>
      <x:c r="J484" s="30" t="str">
        <x:v>161bb71e7a9f00e0f55af3fb374e966a325a427bd6535e65091a647b7a822a5b</x:v>
      </x:c>
      <x:c r="K484" s="30" t="str">
        <x:v>d5a999918020dc8d5f291376a62fb753eed37963d4ae6bed6d3b279f868a8d7e</x:v>
      </x:c>
      <x:c r="L484" s="30" t="n">
        <x:v>560.29</x:v>
      </x:c>
      <x:c r="M484" s="30" t="str">
        <x:v>{"completion_tokens": 3, "prompt_tokens": 546, "total_tokens": 549, "completion_tokens_details": null, "prompt_tokens_details": {"audio_tokens": null, "cached_tokens": 512}, "prompt_cache_hit_tokens": 512, "prompt_cache_miss_tokens": 34}</x:v>
      </x:c>
      <x:c r="N484" s="30" t="str">
        <x:v>hallucination</x:v>
      </x:c>
      <x:c r="O484" s="30" t="str">
        <x:v>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x:v>
      </x:c>
      <x:c r="P484" s="30" t="str">
        <x:v>LongCat-2.0</x:v>
      </x:c>
      <x:c r="Q484" s="30" t="str">
        <x:v>LongCat-2.0</x:v>
      </x:c>
      <x:c r="R484" s="30" t="n">
        <x:v>4522.79</x:v>
      </x:c>
      <x:c r="S484" s="30" t="str">
        <x:v>{"completion_tokens": 83, "prompt_tokens": 153,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5">
      <x:c r="A485" s="30" t="str">
        <x:v>memos_long:535</x:v>
      </x:c>
      <x:c r="B485" s="30" t="str">
        <x:v>long</x:v>
      </x:c>
      <x:c r="C485" s="30" t="str">
        <x:v>Multi-hop Inference</x:v>
      </x:c>
      <x:c r="D485" s="30" t="n">
        <x:v>1</x:v>
      </x:c>
      <x:c r="E485" s="30" t="str">
        <x:v>How did Sarah Garcia's strategic vision contribute to her career achievements between Jan 15, 2026, and Feb 05, 2026?</x:v>
      </x:c>
      <x:c r="F485" s="30" t="str">
        <x:v>It was crucial for project success.</x:v>
      </x:c>
      <x:c r="G485" s="30" t="str">
        <x:v>Led major Oracle project.</x:v>
      </x:c>
      <x:c r="H485" s="30" t="str">
        <x:v>deepseek-v4-flash</x:v>
      </x:c>
      <x:c r="I485" s="30" t="str">
        <x:v>deepseek-v4-flash</x:v>
      </x:c>
      <x:c r="J485" s="30" t="str">
        <x:v>9d904d33f81cce66de93641786400507585db3880372c36b7eb6efa5ebf8ba9d</x:v>
      </x:c>
      <x:c r="K485" s="30" t="str">
        <x:v>a9f4f1a64e5d0a55e399043aa75350d9510202e28d436d1fa151a2400b152a92</x:v>
      </x:c>
      <x:c r="L485" s="30" t="n">
        <x:v>603.9</x:v>
      </x:c>
      <x:c r="M485" s="30" t="str">
        <x:v>{"completion_tokens": 5, "prompt_tokens": 580, "total_tokens": 585, "completion_tokens_details": null, "prompt_tokens_details": {"audio_tokens": null, "cached_tokens": 512}, "prompt_cache_hit_tokens": 512, "prompt_cache_miss_tokens": 68}</x:v>
      </x:c>
      <x:c r="N485" s="30" t="str">
        <x:v>omission</x:v>
      </x:c>
      <x:c r="O485" s="30" t="str">
        <x:v>The model answer 'Led major Oracle project' does not address how Sarah Garcia's strategic vision contributed to her career achievements, nor does it convey the idea that it was 'crucial for project success.' It provides a different, unsupported claim about leading a project, which is an incomplete and unrelated subset of information that fails to capture the gold answer's meaning.</x:v>
      </x:c>
      <x:c r="P485" s="30" t="str">
        <x:v>LongCat-2.0</x:v>
      </x:c>
      <x:c r="Q485" s="30" t="str">
        <x:v>LongCat-2.0</x:v>
      </x:c>
      <x:c r="R485" s="30" t="n">
        <x:v>3107.84</x:v>
      </x:c>
      <x:c r="S485" s="30" t="str">
        <x:v>{"completion_tokens": 83, "prompt_tokens": 165,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6">
      <x:c r="A486" s="30" t="str">
        <x:v>memos_long:535</x:v>
      </x:c>
      <x:c r="B486" s="30" t="str">
        <x:v>long</x:v>
      </x:c>
      <x:c r="C486" s="30" t="str">
        <x:v>Multi-hop Inference</x:v>
      </x:c>
      <x:c r="D486" s="30" t="n">
        <x:v>2</x:v>
      </x:c>
      <x:c r="E486" s="30" t="str">
        <x:v>How did Sarah Garcia's strategic vision contribute to her career achievements between Jan 15, 2026, and Feb 05, 2026?</x:v>
      </x:c>
      <x:c r="F486" s="30" t="str">
        <x:v>It was crucial for project success.</x:v>
      </x:c>
      <x:c r="G486" s="30" t="str">
        <x:v>Led major Oracle project.</x:v>
      </x:c>
      <x:c r="H486" s="30" t="str">
        <x:v>deepseek-v4-flash</x:v>
      </x:c>
      <x:c r="I486" s="30" t="str">
        <x:v>deepseek-v4-flash</x:v>
      </x:c>
      <x:c r="J486" s="30" t="str">
        <x:v>9d904d33f81cce66de93641786400507585db3880372c36b7eb6efa5ebf8ba9d</x:v>
      </x:c>
      <x:c r="K486" s="30" t="str">
        <x:v>a9f4f1a64e5d0a55e399043aa75350d9510202e28d436d1fa151a2400b152a92</x:v>
      </x:c>
      <x:c r="L486" s="30" t="n">
        <x:v>565.48</x:v>
      </x:c>
      <x:c r="M486" s="30" t="str">
        <x:v>{"completion_tokens": 5, "prompt_tokens": 580, "total_tokens": 585, "completion_tokens_details": null, "prompt_tokens_details": {"audio_tokens": null, "cached_tokens": 512}, "prompt_cache_hit_tokens": 512, "prompt_cache_miss_tokens": 68}</x:v>
      </x:c>
      <x:c r="N486" s="30" t="str">
        <x:v>omission</x:v>
      </x:c>
      <x:c r="O486" s="30" t="str">
        <x:v>The gold answer states that Sarah Garcia's strategic vision was crucial for project success, which is a general claim about the importance of her strategic vision. The model answer only mentions that she 'Led major Oracle project,' which is a specific factual claim about a project she led but does not address the strategic vision's contribution or its crucial role in project success. The model answer provides an incomplete subset of the gold answer without fully capturing the semantic content about the strategic vision's importance.</x:v>
      </x:c>
      <x:c r="P486" s="30" t="str">
        <x:v>LongCat-2.0</x:v>
      </x:c>
      <x:c r="Q486" s="30" t="str">
        <x:v>LongCat-2.0</x:v>
      </x:c>
      <x:c r="R486" s="30" t="n">
        <x:v>6198.55</x:v>
      </x:c>
      <x:c r="S486" s="30" t="str">
        <x:v>{"completion_tokens": 106, "prompt_tokens": 165, "total_tokens": 271,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87">
      <x:c r="A487" s="30" t="str">
        <x:v>memos_long:535</x:v>
      </x:c>
      <x:c r="B487" s="30" t="str">
        <x:v>long</x:v>
      </x:c>
      <x:c r="C487" s="30" t="str">
        <x:v>Multi-hop Inference</x:v>
      </x:c>
      <x:c r="D487" s="30" t="n">
        <x:v>3</x:v>
      </x:c>
      <x:c r="E487" s="30" t="str">
        <x:v>How did Sarah Garcia's strategic vision contribute to her career achievements between Jan 15, 2026, and Feb 05, 2026?</x:v>
      </x:c>
      <x:c r="F487" s="30" t="str">
        <x:v>It was crucial for project success.</x:v>
      </x:c>
      <x:c r="G487" s="30" t="str">
        <x:v>Led major Oracle project.</x:v>
      </x:c>
      <x:c r="H487" s="30" t="str">
        <x:v>deepseek-v4-flash</x:v>
      </x:c>
      <x:c r="I487" s="30" t="str">
        <x:v>deepseek-v4-flash</x:v>
      </x:c>
      <x:c r="J487" s="30" t="str">
        <x:v>9d904d33f81cce66de93641786400507585db3880372c36b7eb6efa5ebf8ba9d</x:v>
      </x:c>
      <x:c r="K487" s="30" t="str">
        <x:v>a9f4f1a64e5d0a55e399043aa75350d9510202e28d436d1fa151a2400b152a92</x:v>
      </x:c>
      <x:c r="L487" s="30" t="n">
        <x:v>715.75</x:v>
      </x:c>
      <x:c r="M487" s="30" t="str">
        <x:v>{"completion_tokens": 5, "prompt_tokens": 580, "total_tokens": 585, "completion_tokens_details": null, "prompt_tokens_details": {"audio_tokens": null, "cached_tokens": 512}, "prompt_cache_hit_tokens": 512, "prompt_cache_miss_tokens": 68}</x:v>
      </x:c>
      <x:c r="N487" s="30" t="str">
        <x:v>omission</x:v>
      </x:c>
      <x:c r="O487" s="30" t="str">
        <x:v>The model answer 'Led major Oracle project' provides a concrete claim about Sarah Garcia's actions but does not address the gold answer's point about her strategic vision being 'crucial for project success.' The model's answer is an incomplete subset that omits the key information about the contribution of her strategic vision to project success, making it an omission rather than a semantically complete match.</x:v>
      </x:c>
      <x:c r="P487" s="30" t="str">
        <x:v>LongCat-2.0</x:v>
      </x:c>
      <x:c r="Q487" s="30" t="str">
        <x:v>LongCat-2.0</x:v>
      </x:c>
      <x:c r="R487" s="30" t="n">
        <x:v>5579.14</x:v>
      </x:c>
      <x:c r="S487" s="30" t="str">
        <x:v>{"completion_tokens": 88, "prompt_tokens": 165, "total_tokens": 253,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8">
      <x:c r="A488" s="30" t="str">
        <x:v>memos_long:549</x:v>
      </x:c>
      <x:c r="B488" s="30" t="str">
        <x:v>long</x:v>
      </x:c>
      <x:c r="C488" s="30" t="str">
        <x:v>Generalization &amp; Application</x:v>
      </x:c>
      <x:c r="D488" s="30" t="n">
        <x:v>1</x:v>
      </x:c>
      <x:c r="E488" s="30" t="str">
        <x:v>What type of music event would likely align with Sarah Garcia's preferences after February 25, 2027?</x:v>
      </x:c>
      <x:c r="F488" s="30" t="str">
        <x:v>An uplifting and energetic music concert.</x:v>
      </x:c>
      <x:c r="G488" s="30" t="str">
        <x:v>Uplifting and energetic music.</x:v>
      </x:c>
      <x:c r="H488" s="30" t="str">
        <x:v>deepseek-v4-flash</x:v>
      </x:c>
      <x:c r="I488" s="30" t="str">
        <x:v>deepseek-v4-flash</x:v>
      </x:c>
      <x:c r="J488" s="30" t="str">
        <x:v>e630577b6f4959f943acfb792209aa687879f3bf03143534d069e016d2ba62ae</x:v>
      </x:c>
      <x:c r="K488" s="30" t="str">
        <x:v>ecaaa0f41dd998315cd83c04bf7178136e85ef0af801c3ac580af05859bbd20f</x:v>
      </x:c>
      <x:c r="L488" s="30" t="n">
        <x:v>918.29</x:v>
      </x:c>
      <x:c r="M488" s="30" t="str">
        <x:v>{"completion_tokens": 7, "prompt_tokens": 586, "total_tokens": 593, "completion_tokens_details": null, "prompt_tokens_details": {"audio_tokens": null, "cached_tokens": 512}, "prompt_cache_hit_tokens": 512, "prompt_cache_miss_tokens": 74}</x:v>
      </x:c>
      <x:c r="N488" s="30" t="str">
        <x:v>omission</x:v>
      </x:c>
      <x:c r="O488" s="30" t="str">
        <x:v>The model answer 'Uplifting and energetic music' captures the key descriptors from the gold answer but omits the specific event type 'concert,' making it an incomplete subset of the full gold answer.</x:v>
      </x:c>
      <x:c r="P488" s="30" t="str">
        <x:v>LongCat-2.0</x:v>
      </x:c>
      <x:c r="Q488" s="30" t="str">
        <x:v>LongCat-2.0</x:v>
      </x:c>
      <x:c r="R488" s="30" t="n">
        <x:v>3018.91</x:v>
      </x:c>
      <x:c r="S488" s="30" t="str">
        <x:v>{"completion_tokens": 52, "prompt_tokens": 157,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89">
      <x:c r="A489" s="30" t="str">
        <x:v>memos_long:549</x:v>
      </x:c>
      <x:c r="B489" s="30" t="str">
        <x:v>long</x:v>
      </x:c>
      <x:c r="C489" s="30" t="str">
        <x:v>Generalization &amp; Application</x:v>
      </x:c>
      <x:c r="D489" s="30" t="n">
        <x:v>2</x:v>
      </x:c>
      <x:c r="E489" s="30" t="str">
        <x:v>What type of music event would likely align with Sarah Garcia's preferences after February 25, 2027?</x:v>
      </x:c>
      <x:c r="F489" s="30" t="str">
        <x:v>An uplifting and energetic music concert.</x:v>
      </x:c>
      <x:c r="G489" s="30" t="str">
        <x:v>Uplifting and energetic music.</x:v>
      </x:c>
      <x:c r="H489" s="30" t="str">
        <x:v>deepseek-v4-flash</x:v>
      </x:c>
      <x:c r="I489" s="30" t="str">
        <x:v>deepseek-v4-flash</x:v>
      </x:c>
      <x:c r="J489" s="30" t="str">
        <x:v>e630577b6f4959f943acfb792209aa687879f3bf03143534d069e016d2ba62ae</x:v>
      </x:c>
      <x:c r="K489" s="30" t="str">
        <x:v>ecaaa0f41dd998315cd83c04bf7178136e85ef0af801c3ac580af05859bbd20f</x:v>
      </x:c>
      <x:c r="L489" s="30" t="n">
        <x:v>923.38</x:v>
      </x:c>
      <x:c r="M489" s="30" t="str">
        <x:v>{"completion_tokens": 7, "prompt_tokens": 586, "total_tokens": 593, "completion_tokens_details": null, "prompt_tokens_details": {"audio_tokens": null, "cached_tokens": 512}, "prompt_cache_hit_tokens": 512, "prompt_cache_miss_tokens": 74}</x:v>
      </x:c>
      <x:c r="N489" s="30" t="str">
        <x:v>omission</x:v>
      </x:c>
      <x:c r="O489" s="30" t="str">
        <x:v>The model answer 'Uplifting and energetic music' captures the key descriptors but omits the specific event type 'concert' mentioned in the gold answer 'An uplifting and energetic music concert.' While the model's answer is not false, it provides only an incomplete subset of the gold answer by leaving out the concrete event type, making it an omission rather than a complete semantic match.</x:v>
      </x:c>
      <x:c r="P489" s="30" t="str">
        <x:v>LongCat-2.0</x:v>
      </x:c>
      <x:c r="Q489" s="30" t="str">
        <x:v>LongCat-2.0</x:v>
      </x:c>
      <x:c r="R489" s="30" t="n">
        <x:v>3464.32</x:v>
      </x:c>
      <x:c r="S489" s="30" t="str">
        <x:v>{"completion_tokens": 89, "prompt_tokens": 157, "total_tokens": 246,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90">
      <x:c r="A490" s="30" t="str">
        <x:v>memos_long:549</x:v>
      </x:c>
      <x:c r="B490" s="30" t="str">
        <x:v>long</x:v>
      </x:c>
      <x:c r="C490" s="30" t="str">
        <x:v>Generalization &amp; Application</x:v>
      </x:c>
      <x:c r="D490" s="30" t="n">
        <x:v>3</x:v>
      </x:c>
      <x:c r="E490" s="30" t="str">
        <x:v>What type of music event would likely align with Sarah Garcia's preferences after February 25, 2027?</x:v>
      </x:c>
      <x:c r="F490" s="30" t="str">
        <x:v>An uplifting and energetic music concert.</x:v>
      </x:c>
      <x:c r="G490" s="30" t="str">
        <x:v>Uplifting and energetic music.</x:v>
      </x:c>
      <x:c r="H490" s="30" t="str">
        <x:v>deepseek-v4-flash</x:v>
      </x:c>
      <x:c r="I490" s="30" t="str">
        <x:v>deepseek-v4-flash</x:v>
      </x:c>
      <x:c r="J490" s="30" t="str">
        <x:v>e630577b6f4959f943acfb792209aa687879f3bf03143534d069e016d2ba62ae</x:v>
      </x:c>
      <x:c r="K490" s="30" t="str">
        <x:v>ecaaa0f41dd998315cd83c04bf7178136e85ef0af801c3ac580af05859bbd20f</x:v>
      </x:c>
      <x:c r="L490" s="30" t="n">
        <x:v>913.51</x:v>
      </x:c>
      <x:c r="M490" s="30" t="str">
        <x:v>{"completion_tokens": 7, "prompt_tokens": 586, "total_tokens": 593, "completion_tokens_details": null, "prompt_tokens_details": {"audio_tokens": null, "cached_tokens": 512}, "prompt_cache_hit_tokens": 512, "prompt_cache_miss_tokens": 74}</x:v>
      </x:c>
      <x:c r="N490" s="30" t="str">
        <x:v>omission</x:v>
      </x:c>
      <x:c r="O490" s="30" t="str">
        <x:v>The model answer 'Uplifting and energetic music' captures the key descriptors from the gold answer but omits the specific event type 'concert,' making it an incomplete subset of the full gold answer.</x:v>
      </x:c>
      <x:c r="P490" s="30" t="str">
        <x:v>LongCat-2.0</x:v>
      </x:c>
      <x:c r="Q490" s="30" t="str">
        <x:v>LongCat-2.0</x:v>
      </x:c>
      <x:c r="R490" s="30" t="n">
        <x:v>2560.27</x:v>
      </x:c>
      <x:c r="S490" s="30" t="str">
        <x:v>{"completion_tokens": 52, "prompt_tokens": 157,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91">
      <x:c r="A491" s="30" t="str">
        <x:v>memos_long:567</x:v>
      </x:c>
      <x:c r="B491" s="30" t="str">
        <x:v>long</x:v>
      </x:c>
      <x:c r="C491" s="30" t="str">
        <x:v>Generalization &amp; Application</x:v>
      </x:c>
      <x:c r="D491" s="30" t="n">
        <x:v>1</x:v>
      </x:c>
      <x:c r="E491" s="30" t="str">
        <x:v>What type of clothing might Sarah Garcia be interested in exploring after June 22, 2029?</x:v>
      </x:c>
      <x:c r="F491" s="30" t="str">
        <x:v>Clothing that combines functionality with fashion.</x:v>
      </x:c>
      <x:c r="G491" s="30" t="str">
        <x:v>Stylish cargo pants.</x:v>
      </x:c>
      <x:c r="H491" s="30" t="str">
        <x:v>deepseek-v4-flash</x:v>
      </x:c>
      <x:c r="I491" s="30" t="str">
        <x:v>deepseek-v4-flash</x:v>
      </x:c>
      <x:c r="J491" s="30" t="str">
        <x:v>a9920e7cfd93b77ec4177058dc1039ae3046633bd6942b78982cc15c6c6c134c</x:v>
      </x:c>
      <x:c r="K491" s="30" t="str">
        <x:v>631e2c322a96e430a541b81995dc59e88cd38818571c2cff3224ef9ddb9b2dd3</x:v>
      </x:c>
      <x:c r="L491" s="30" t="n">
        <x:v>771.4</x:v>
      </x:c>
      <x:c r="M491" s="30" t="str">
        <x:v>{"completion_tokens": 5, "prompt_tokens": 624, "total_tokens": 629, "completion_tokens_details": null, "prompt_tokens_details": {"audio_tokens": null, "cached_tokens": 512}, "prompt_cache_hit_tokens": 512, "prompt_cache_miss_tokens": 112}</x:v>
      </x:c>
      <x:c r="N491" s="30" t="str">
        <x:v>omission</x:v>
      </x:c>
      <x:c r="O491"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x:v>
      </x:c>
      <x:c r="P491" s="30" t="str">
        <x:v>LongCat-2.0</x:v>
      </x:c>
      <x:c r="Q491" s="30" t="str">
        <x:v>LongCat-2.0</x:v>
      </x:c>
      <x:c r="R491" s="30" t="n">
        <x:v>3015.12</x:v>
      </x:c>
      <x:c r="S491" s="30" t="str">
        <x:v>{"completion_tokens": 90, "prompt_tokens": 154,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2">
      <x:c r="A492" s="30" t="str">
        <x:v>memos_long:567</x:v>
      </x:c>
      <x:c r="B492" s="30" t="str">
        <x:v>long</x:v>
      </x:c>
      <x:c r="C492" s="30" t="str">
        <x:v>Generalization &amp; Application</x:v>
      </x:c>
      <x:c r="D492" s="30" t="n">
        <x:v>2</x:v>
      </x:c>
      <x:c r="E492" s="30" t="str">
        <x:v>What type of clothing might Sarah Garcia be interested in exploring after June 22, 2029?</x:v>
      </x:c>
      <x:c r="F492" s="30" t="str">
        <x:v>Clothing that combines functionality with fashion.</x:v>
      </x:c>
      <x:c r="G492" s="30" t="str">
        <x:v>Stylish cargo pants.</x:v>
      </x:c>
      <x:c r="H492" s="30" t="str">
        <x:v>deepseek-v4-flash</x:v>
      </x:c>
      <x:c r="I492" s="30" t="str">
        <x:v>deepseek-v4-flash</x:v>
      </x:c>
      <x:c r="J492" s="30" t="str">
        <x:v>a9920e7cfd93b77ec4177058dc1039ae3046633bd6942b78982cc15c6c6c134c</x:v>
      </x:c>
      <x:c r="K492" s="30" t="str">
        <x:v>631e2c322a96e430a541b81995dc59e88cd38818571c2cff3224ef9ddb9b2dd3</x:v>
      </x:c>
      <x:c r="L492" s="30" t="n">
        <x:v>719.32</x:v>
      </x:c>
      <x:c r="M492" s="30" t="str">
        <x:v>{"completion_tokens": 5, "prompt_tokens": 624, "total_tokens": 629, "completion_tokens_details": null, "prompt_tokens_details": {"audio_tokens": null, "cached_tokens": 512}, "prompt_cache_hit_tokens": 512, "prompt_cache_miss_tokens": 112}</x:v>
      </x:c>
      <x:c r="N492" s="30" t="str">
        <x:v>omission</x:v>
      </x:c>
      <x:c r="O492"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x:v>
      </x:c>
      <x:c r="P492" s="30" t="str">
        <x:v>LongCat-2.0</x:v>
      </x:c>
      <x:c r="Q492" s="30" t="str">
        <x:v>LongCat-2.0</x:v>
      </x:c>
      <x:c r="R492" s="30" t="n">
        <x:v>2968.8</x:v>
      </x:c>
      <x:c r="S492" s="30" t="str">
        <x:v>{"completion_tokens": 82, "prompt_tokens": 154,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3">
      <x:c r="A493" s="30" t="str">
        <x:v>memos_long:567</x:v>
      </x:c>
      <x:c r="B493" s="30" t="str">
        <x:v>long</x:v>
      </x:c>
      <x:c r="C493" s="30" t="str">
        <x:v>Generalization &amp; Application</x:v>
      </x:c>
      <x:c r="D493" s="30" t="n">
        <x:v>3</x:v>
      </x:c>
      <x:c r="E493" s="30" t="str">
        <x:v>What type of clothing might Sarah Garcia be interested in exploring after June 22, 2029?</x:v>
      </x:c>
      <x:c r="F493" s="30" t="str">
        <x:v>Clothing that combines functionality with fashion.</x:v>
      </x:c>
      <x:c r="G493" s="30" t="str">
        <x:v>Stylish cargo pants.</x:v>
      </x:c>
      <x:c r="H493" s="30" t="str">
        <x:v>deepseek-v4-flash</x:v>
      </x:c>
      <x:c r="I493" s="30" t="str">
        <x:v>deepseek-v4-flash</x:v>
      </x:c>
      <x:c r="J493" s="30" t="str">
        <x:v>a9920e7cfd93b77ec4177058dc1039ae3046633bd6942b78982cc15c6c6c134c</x:v>
      </x:c>
      <x:c r="K493" s="30" t="str">
        <x:v>631e2c322a96e430a541b81995dc59e88cd38818571c2cff3224ef9ddb9b2dd3</x:v>
      </x:c>
      <x:c r="L493" s="30" t="n">
        <x:v>548.1</x:v>
      </x:c>
      <x:c r="M493" s="30" t="str">
        <x:v>{"completion_tokens": 5, "prompt_tokens": 624, "total_tokens": 629, "completion_tokens_details": null, "prompt_tokens_details": {"audio_tokens": null, "cached_tokens": 512}, "prompt_cache_hit_tokens": 512, "prompt_cache_miss_tokens": 112}</x:v>
      </x:c>
      <x:c r="N493" s="30" t="str">
        <x:v>omission</x:v>
      </x:c>
      <x:c r="O493"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x:v>
      </x:c>
      <x:c r="P493" s="30" t="str">
        <x:v>LongCat-2.0</x:v>
      </x:c>
      <x:c r="Q493" s="30" t="str">
        <x:v>LongCat-2.0</x:v>
      </x:c>
      <x:c r="R493" s="30" t="n">
        <x:v>3464.69</x:v>
      </x:c>
      <x:c r="S493" s="30" t="str">
        <x:v>{"completion_tokens": 82, "prompt_tokens": 154, "total_tokens": 236,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94">
      <x:c r="A494" s="30" t="str">
        <x:v>memos_long:572</x:v>
      </x:c>
      <x:c r="B494" s="30" t="str">
        <x:v>long</x:v>
      </x:c>
      <x:c r="C494" s="30" t="str">
        <x:v>Dynamic Update</x:v>
      </x:c>
      <x:c r="D494" s="30" t="n">
        <x:v>1</x:v>
      </x:c>
      <x:c r="E494" s="30" t="str">
        <x:v>What strategies is Sarah Garcia currently exploring to enhance her work-life balance as of November 27, 2029?</x:v>
      </x:c>
      <x:c r="F494" s="30" t="str">
        <x:v>Mindfulness practices and structured rest periods</x:v>
      </x:c>
      <x:c r="G494" s="30" t="str">
        <x:v>Mindfulness and structured rest.</x:v>
      </x:c>
      <x:c r="H494" s="30" t="str">
        <x:v>deepseek-v4-flash</x:v>
      </x:c>
      <x:c r="I494" s="30" t="str">
        <x:v>deepseek-v4-flash</x:v>
      </x:c>
      <x:c r="J494" s="30" t="str">
        <x:v>3c7ba2d415d2107ceee82f9f52c7b9741e0acf15abe834268baefd3d394dbbb5</x:v>
      </x:c>
      <x:c r="K494" s="30" t="str">
        <x:v>c38d126371e6c50cd613a0b593f9ef41591243e841750c725bcaaa05145f9446</x:v>
      </x:c>
      <x:c r="L494" s="30" t="n">
        <x:v>667.29</x:v>
      </x:c>
      <x:c r="M494" s="30" t="str">
        <x:v>{"completion_tokens": 6, "prompt_tokens": 574, "total_tokens": 580, "completion_tokens_details": null, "prompt_tokens_details": {"audio_tokens": null, "cached_tokens": 512}, "prompt_cache_hit_tokens": 512, "prompt_cache_miss_tokens": 62}</x:v>
      </x:c>
      <x:c r="N494" s="30" t="str">
        <x:v>correct</x:v>
      </x:c>
      <x:c r="O494" s="30" t="str">
        <x:v>The model answer 'Mindfulness and structured rest' captures the complete semantic content of the gold answer 'Mindfulness practices and structured rest periods' with only minor wording differences, and adds no false or unsupported material.</x:v>
      </x:c>
      <x:c r="P494" s="30" t="str">
        <x:v>LongCat-2.0</x:v>
      </x:c>
      <x:c r="Q494" s="30" t="str">
        <x:v>LongCat-2.0</x:v>
      </x:c>
      <x:c r="R494" s="30" t="n">
        <x:v>2971.38</x:v>
      </x:c>
      <x:c r="S494" s="30" t="str">
        <x:v>{"completion_tokens": 53, "prompt_tokens": 157,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495">
      <x:c r="A495" s="30" t="str">
        <x:v>memos_long:572</x:v>
      </x:c>
      <x:c r="B495" s="30" t="str">
        <x:v>long</x:v>
      </x:c>
      <x:c r="C495" s="30" t="str">
        <x:v>Dynamic Update</x:v>
      </x:c>
      <x:c r="D495" s="30" t="n">
        <x:v>2</x:v>
      </x:c>
      <x:c r="E495" s="30" t="str">
        <x:v>What strategies is Sarah Garcia currently exploring to enhance her work-life balance as of November 27, 2029?</x:v>
      </x:c>
      <x:c r="F495" s="30" t="str">
        <x:v>Mindfulness practices and structured rest periods</x:v>
      </x:c>
      <x:c r="G495" s="30" t="str">
        <x:v>Mindfulness and structured rest.</x:v>
      </x:c>
      <x:c r="H495" s="30" t="str">
        <x:v>deepseek-v4-flash</x:v>
      </x:c>
      <x:c r="I495" s="30" t="str">
        <x:v>deepseek-v4-flash</x:v>
      </x:c>
      <x:c r="J495" s="30" t="str">
        <x:v>3c7ba2d415d2107ceee82f9f52c7b9741e0acf15abe834268baefd3d394dbbb5</x:v>
      </x:c>
      <x:c r="K495" s="30" t="str">
        <x:v>c38d126371e6c50cd613a0b593f9ef41591243e841750c725bcaaa05145f9446</x:v>
      </x:c>
      <x:c r="L495" s="30" t="n">
        <x:v>615.03</x:v>
      </x:c>
      <x:c r="M495" s="30" t="str">
        <x:v>{"completion_tokens": 6, "prompt_tokens": 574, "total_tokens": 580, "completion_tokens_details": null, "prompt_tokens_details": {"audio_tokens": null, "cached_tokens": 512}, "prompt_cache_hit_tokens": 512, "prompt_cache_miss_tokens": 62}</x:v>
      </x:c>
      <x:c r="N495" s="30" t="str">
        <x:v>correct</x:v>
      </x:c>
      <x:c r="O495" s="30" t="str">
        <x:v>The model answer 'Mindfulness and structured rest' captures the complete semantic content of the gold answer 'Mindfulness practices and structured rest periods' with only minor wording differences (omitting 'practices' and 'periods'), which is permitted under the correct label criteria.</x:v>
      </x:c>
      <x:c r="P495" s="30" t="str">
        <x:v>LongCat-2.0</x:v>
      </x:c>
      <x:c r="Q495" s="30" t="str">
        <x:v>LongCat-2.0</x:v>
      </x:c>
      <x:c r="R495" s="30" t="n">
        <x:v>2973.92</x:v>
      </x:c>
      <x:c r="S495" s="30" t="str">
        <x:v>{"completion_tokens": 65, "prompt_tokens": 157,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6">
      <x:c r="A496" s="30" t="str">
        <x:v>memos_long:572</x:v>
      </x:c>
      <x:c r="B496" s="30" t="str">
        <x:v>long</x:v>
      </x:c>
      <x:c r="C496" s="30" t="str">
        <x:v>Dynamic Update</x:v>
      </x:c>
      <x:c r="D496" s="30" t="n">
        <x:v>3</x:v>
      </x:c>
      <x:c r="E496" s="30" t="str">
        <x:v>What strategies is Sarah Garcia currently exploring to enhance her work-life balance as of November 27, 2029?</x:v>
      </x:c>
      <x:c r="F496" s="30" t="str">
        <x:v>Mindfulness practices and structured rest periods</x:v>
      </x:c>
      <x:c r="G496" s="30" t="str">
        <x:v>Mindfulness and structured rest.</x:v>
      </x:c>
      <x:c r="H496" s="30" t="str">
        <x:v>deepseek-v4-flash</x:v>
      </x:c>
      <x:c r="I496" s="30" t="str">
        <x:v>deepseek-v4-flash</x:v>
      </x:c>
      <x:c r="J496" s="30" t="str">
        <x:v>3c7ba2d415d2107ceee82f9f52c7b9741e0acf15abe834268baefd3d394dbbb5</x:v>
      </x:c>
      <x:c r="K496" s="30" t="str">
        <x:v>c38d126371e6c50cd613a0b593f9ef41591243e841750c725bcaaa05145f9446</x:v>
      </x:c>
      <x:c r="L496" s="30" t="n">
        <x:v>721.86</x:v>
      </x:c>
      <x:c r="M496" s="30" t="str">
        <x:v>{"completion_tokens": 6, "prompt_tokens": 574, "total_tokens": 580, "completion_tokens_details": null, "prompt_tokens_details": {"audio_tokens": null, "cached_tokens": 512}, "prompt_cache_hit_tokens": 512, "prompt_cache_miss_tokens": 62}</x:v>
      </x:c>
      <x:c r="N496" s="30" t="str">
        <x:v>correct</x:v>
      </x:c>
      <x:c r="O496" s="30" t="str">
        <x:v>The model answer 'Mindfulness and structured rest' captures the complete semantic content of the gold answer 'Mindfulness practices and structured rest periods' with only minor wording differences, and adds no false or unsupported material.</x:v>
      </x:c>
      <x:c r="P496" s="30" t="str">
        <x:v>LongCat-2.0</x:v>
      </x:c>
      <x:c r="Q496" s="30" t="str">
        <x:v>LongCat-2.0</x:v>
      </x:c>
      <x:c r="R496" s="30" t="n">
        <x:v>2664.54</x:v>
      </x:c>
      <x:c r="S496" s="30" t="str">
        <x:v>{"completion_tokens": 53, "prompt_tokens": 157,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7">
      <x:c r="A497" s="30" t="str">
        <x:v>memos_long:58</x:v>
      </x:c>
      <x:c r="B497" s="30" t="str">
        <x:v>long</x:v>
      </x:c>
      <x:c r="C497" s="30" t="str">
        <x:v>Basic Fact Recall</x:v>
      </x:c>
      <x:c r="D497" s="30" t="n">
        <x:v>1</x:v>
      </x:c>
      <x:c r="E497" s="30" t="str">
        <x:v>What is Martin's commitment despite career challenges?</x:v>
      </x:c>
      <x:c r="F497" s="30" t="str">
        <x:v>Humanitarian care goals</x:v>
      </x:c>
      <x:c r="G497" s="30" t="str">
        <x:v>Humanitarian care goals</x:v>
      </x:c>
      <x:c r="H497" s="30" t="str">
        <x:v>deepseek-v4-flash</x:v>
      </x:c>
      <x:c r="I497" s="30" t="str">
        <x:v>deepseek-v4-flash</x:v>
      </x:c>
      <x:c r="J497" s="30" t="str">
        <x:v>761746001c915e2e9d890c951dc76839cf324943312bca24a6a0cae5613a73cd</x:v>
      </x:c>
      <x:c r="K497" s="30" t="str">
        <x:v>21dfec91d232f49f06c3a7c4fcd15025bdc9d3817e7dc1e7bb8e40f8bb22f675</x:v>
      </x:c>
      <x:c r="L497" s="30" t="n">
        <x:v>821.37</x:v>
      </x:c>
      <x:c r="M497" s="30" t="str">
        <x:v>{"completion_tokens": 4, "prompt_tokens": 547, "total_tokens": 551, "completion_tokens_details": null, "prompt_tokens_details": {"audio_tokens": null, "cached_tokens": 512}, "prompt_cache_hit_tokens": 512, "prompt_cache_miss_tokens": 35}</x:v>
      </x:c>
      <x:c r="N497" s="30" t="str">
        <x:v>correct</x:v>
      </x:c>
      <x:c r="O497" s="30" t="str">
        <x:v>The model answer exactly matches the gold answer 'Humanitarian care goals', providing the complete semantic content without any contradiction or omission.</x:v>
      </x:c>
      <x:c r="P497" s="30" t="str">
        <x:v>LongCat-2.0</x:v>
      </x:c>
      <x:c r="Q497" s="30" t="str">
        <x:v>LongCat-2.0</x:v>
      </x:c>
      <x:c r="R497" s="30" t="n">
        <x:v>2764.66</x:v>
      </x:c>
      <x:c r="S497" s="30" t="str">
        <x:v>{"completion_tokens": 36, "prompt_tokens": 136, "total_tokens": 172,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8">
      <x:c r="A498" s="30" t="str">
        <x:v>memos_long:58</x:v>
      </x:c>
      <x:c r="B498" s="30" t="str">
        <x:v>long</x:v>
      </x:c>
      <x:c r="C498" s="30" t="str">
        <x:v>Basic Fact Recall</x:v>
      </x:c>
      <x:c r="D498" s="30" t="n">
        <x:v>2</x:v>
      </x:c>
      <x:c r="E498" s="30" t="str">
        <x:v>What is Martin's commitment despite career challenges?</x:v>
      </x:c>
      <x:c r="F498" s="30" t="str">
        <x:v>Humanitarian care goals</x:v>
      </x:c>
      <x:c r="G498" s="30" t="str">
        <x:v>Humanitarian care goals</x:v>
      </x:c>
      <x:c r="H498" s="30" t="str">
        <x:v>deepseek-v4-flash</x:v>
      </x:c>
      <x:c r="I498" s="30" t="str">
        <x:v>deepseek-v4-flash</x:v>
      </x:c>
      <x:c r="J498" s="30" t="str">
        <x:v>761746001c915e2e9d890c951dc76839cf324943312bca24a6a0cae5613a73cd</x:v>
      </x:c>
      <x:c r="K498" s="30" t="str">
        <x:v>21dfec91d232f49f06c3a7c4fcd15025bdc9d3817e7dc1e7bb8e40f8bb22f675</x:v>
      </x:c>
      <x:c r="L498" s="30" t="n">
        <x:v>722.87</x:v>
      </x:c>
      <x:c r="M498" s="30" t="str">
        <x:v>{"completion_tokens": 4, "prompt_tokens": 547, "total_tokens": 551, "completion_tokens_details": null, "prompt_tokens_details": {"audio_tokens": null, "cached_tokens": 512}, "prompt_cache_hit_tokens": 512, "prompt_cache_miss_tokens": 35}</x:v>
      </x:c>
      <x:c r="N498" s="30" t="str">
        <x:v>correct</x:v>
      </x:c>
      <x:c r="O498" s="30" t="str">
        <x:v>The model answer exactly matches the gold answer 'Humanitarian care goals', providing the complete semantic content without any contradiction or omission.</x:v>
      </x:c>
      <x:c r="P498" s="30" t="str">
        <x:v>LongCat-2.0</x:v>
      </x:c>
      <x:c r="Q498" s="30" t="str">
        <x:v>LongCat-2.0</x:v>
      </x:c>
      <x:c r="R498" s="30" t="n">
        <x:v>2886.09</x:v>
      </x:c>
      <x:c r="S498" s="30" t="str">
        <x:v>{"completion_tokens": 36, "prompt_tokens": 136, "total_tokens": 172,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499">
      <x:c r="A499" s="30" t="str">
        <x:v>memos_long:58</x:v>
      </x:c>
      <x:c r="B499" s="30" t="str">
        <x:v>long</x:v>
      </x:c>
      <x:c r="C499" s="30" t="str">
        <x:v>Basic Fact Recall</x:v>
      </x:c>
      <x:c r="D499" s="30" t="n">
        <x:v>3</x:v>
      </x:c>
      <x:c r="E499" s="30" t="str">
        <x:v>What is Martin's commitment despite career challenges?</x:v>
      </x:c>
      <x:c r="F499" s="30" t="str">
        <x:v>Humanitarian care goals</x:v>
      </x:c>
      <x:c r="G499" s="30" t="str">
        <x:v>Humanitarian care goals</x:v>
      </x:c>
      <x:c r="H499" s="30" t="str">
        <x:v>deepseek-v4-flash</x:v>
      </x:c>
      <x:c r="I499" s="30" t="str">
        <x:v>deepseek-v4-flash</x:v>
      </x:c>
      <x:c r="J499" s="30" t="str">
        <x:v>761746001c915e2e9d890c951dc76839cf324943312bca24a6a0cae5613a73cd</x:v>
      </x:c>
      <x:c r="K499" s="30" t="str">
        <x:v>21dfec91d232f49f06c3a7c4fcd15025bdc9d3817e7dc1e7bb8e40f8bb22f675</x:v>
      </x:c>
      <x:c r="L499" s="30" t="n">
        <x:v>565.17</x:v>
      </x:c>
      <x:c r="M499" s="30" t="str">
        <x:v>{"completion_tokens": 4, "prompt_tokens": 547, "total_tokens": 551, "completion_tokens_details": null, "prompt_tokens_details": {"audio_tokens": null, "cached_tokens": 512}, "prompt_cache_hit_tokens": 512, "prompt_cache_miss_tokens": 35}</x:v>
      </x:c>
      <x:c r="N499" s="30" t="str">
        <x:v>correct</x:v>
      </x:c>
      <x:c r="O499" s="30" t="str">
        <x:v>The model answer exactly matches the gold answer 'Humanitarian care goals', providing the complete semantic content without any contradiction or omission.</x:v>
      </x:c>
      <x:c r="P499" s="30" t="str">
        <x:v>LongCat-2.0</x:v>
      </x:c>
      <x:c r="Q499" s="30" t="str">
        <x:v>LongCat-2.0</x:v>
      </x:c>
      <x:c r="R499" s="30" t="n">
        <x:v>3275.24</x:v>
      </x:c>
      <x:c r="S499" s="30" t="str">
        <x:v>{"completion_tokens": 36, "prompt_tokens": 136, "total_tokens": 172,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00">
      <x:c r="A500" s="30" t="str">
        <x:v>memos_long:585</x:v>
      </x:c>
      <x:c r="B500" s="30" t="str">
        <x:v>long</x:v>
      </x:c>
      <x:c r="C500" s="30" t="str">
        <x:v>Memory Conflict</x:v>
      </x:c>
      <x:c r="D500" s="30" t="n">
        <x:v>1</x:v>
      </x:c>
      <x:c r="E500" s="30" t="str">
        <x:v>Did Sarah Garcia express disinterest in exotic herbal teas after attending the cultural festival on 2030-11-13?</x:v>
      </x:c>
      <x:c r="F500" s="30" t="str">
        <x:v>No, she expressed excitement about exploring exotic herbal teas.</x:v>
      </x:c>
      <x:c r="G500" s="30" t="str">
        <x:v>No</x:v>
      </x:c>
      <x:c r="H500" s="30" t="str">
        <x:v>deepseek-v4-flash</x:v>
      </x:c>
      <x:c r="I500" s="30" t="str">
        <x:v>deepseek-v4-flash</x:v>
      </x:c>
      <x:c r="J500" s="30" t="str">
        <x:v>c82e86c6acb0fe9a7d2760c59fb2b23dc1997345288af9df6004894edc32b63e</x:v>
      </x:c>
      <x:c r="K500" s="30" t="str">
        <x:v>c105d3ec29047568d16198037e48e39fd7d826fe862c17a79b22f682a36bf3e7</x:v>
      </x:c>
      <x:c r="L500" s="30" t="n">
        <x:v>569.96</x:v>
      </x:c>
      <x:c r="M500" s="30" t="str">
        <x:v>{"completion_tokens": 1, "prompt_tokens": 538, "total_tokens": 539, "completion_tokens_details": null, "prompt_tokens_details": {"audio_tokens": null, "cached_tokens": 512}, "prompt_cache_hit_tokens": 512, "prompt_cache_miss_tokens": 26}</x:v>
      </x:c>
      <x:c r="N500" s="30" t="str">
        <x:v>omission</x:v>
      </x:c>
      <x:c r="O500" s="30" t="str">
        <x:v>The model answer 'No' correctly denies the disinterest claim but omits the key positive detail from the gold answer that she expressed excitement about exploring exotic herbal teas. It provides only an incomplete subset without adding a false claim, fitting the definition of omission.</x:v>
      </x:c>
      <x:c r="P500" s="30" t="str">
        <x:v>LongCat-2.0</x:v>
      </x:c>
      <x:c r="Q500" s="30" t="str">
        <x:v>LongCat-2.0</x:v>
      </x:c>
      <x:c r="R500" s="30" t="n">
        <x:v>4505.17</x:v>
      </x:c>
      <x:c r="S500" s="30" t="str">
        <x:v>{"completion_tokens": 63, "prompt_tokens": 158,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1">
      <x:c r="A501" s="30" t="str">
        <x:v>memos_long:585</x:v>
      </x:c>
      <x:c r="B501" s="30" t="str">
        <x:v>long</x:v>
      </x:c>
      <x:c r="C501" s="30" t="str">
        <x:v>Memory Conflict</x:v>
      </x:c>
      <x:c r="D501" s="30" t="n">
        <x:v>2</x:v>
      </x:c>
      <x:c r="E501" s="30" t="str">
        <x:v>Did Sarah Garcia express disinterest in exotic herbal teas after attending the cultural festival on 2030-11-13?</x:v>
      </x:c>
      <x:c r="F501" s="30" t="str">
        <x:v>No, she expressed excitement about exploring exotic herbal teas.</x:v>
      </x:c>
      <x:c r="G501" s="30" t="str">
        <x:v>No</x:v>
      </x:c>
      <x:c r="H501" s="30" t="str">
        <x:v>deepseek-v4-flash</x:v>
      </x:c>
      <x:c r="I501" s="30" t="str">
        <x:v>deepseek-v4-flash</x:v>
      </x:c>
      <x:c r="J501" s="30" t="str">
        <x:v>c82e86c6acb0fe9a7d2760c59fb2b23dc1997345288af9df6004894edc32b63e</x:v>
      </x:c>
      <x:c r="K501" s="30" t="str">
        <x:v>c105d3ec29047568d16198037e48e39fd7d826fe862c17a79b22f682a36bf3e7</x:v>
      </x:c>
      <x:c r="L501" s="30" t="n">
        <x:v>632.6</x:v>
      </x:c>
      <x:c r="M501" s="30" t="str">
        <x:v>{"completion_tokens": 1, "prompt_tokens": 538, "total_tokens": 539, "completion_tokens_details": null, "prompt_tokens_details": {"audio_tokens": null, "cached_tokens": 512}, "prompt_cache_hit_tokens": 512, "prompt_cache_miss_tokens": 26}</x:v>
      </x:c>
      <x:c r="N501" s="30" t="str">
        <x:v>omission</x:v>
      </x:c>
      <x:c r="O501" s="30" t="str">
        <x:v>The model answer 'No' correctly denies the disinterest claim but fails to include the positive detail that she expressed excitement about exploring exotic herbal teas, which is a key part of the gold answer. It provides only an incomplete subset without adding a false claim.</x:v>
      </x:c>
      <x:c r="P501" s="30" t="str">
        <x:v>LongCat-2.0</x:v>
      </x:c>
      <x:c r="Q501" s="30" t="str">
        <x:v>LongCat-2.0</x:v>
      </x:c>
      <x:c r="R501" s="30" t="n">
        <x:v>4247.3</x:v>
      </x:c>
      <x:c r="S501" s="30" t="str">
        <x:v>{"completion_tokens": 63, "prompt_tokens": 158, "total_tokens": 221,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02">
      <x:c r="A502" s="30" t="str">
        <x:v>memos_long:585</x:v>
      </x:c>
      <x:c r="B502" s="30" t="str">
        <x:v>long</x:v>
      </x:c>
      <x:c r="C502" s="30" t="str">
        <x:v>Memory Conflict</x:v>
      </x:c>
      <x:c r="D502" s="30" t="n">
        <x:v>3</x:v>
      </x:c>
      <x:c r="E502" s="30" t="str">
        <x:v>Did Sarah Garcia express disinterest in exotic herbal teas after attending the cultural festival on 2030-11-13?</x:v>
      </x:c>
      <x:c r="F502" s="30" t="str">
        <x:v>No, she expressed excitement about exploring exotic herbal teas.</x:v>
      </x:c>
      <x:c r="G502" s="30" t="str">
        <x:v>No</x:v>
      </x:c>
      <x:c r="H502" s="30" t="str">
        <x:v>deepseek-v4-flash</x:v>
      </x:c>
      <x:c r="I502" s="30" t="str">
        <x:v>deepseek-v4-flash</x:v>
      </x:c>
      <x:c r="J502" s="30" t="str">
        <x:v>c82e86c6acb0fe9a7d2760c59fb2b23dc1997345288af9df6004894edc32b63e</x:v>
      </x:c>
      <x:c r="K502" s="30" t="str">
        <x:v>c105d3ec29047568d16198037e48e39fd7d826fe862c17a79b22f682a36bf3e7</x:v>
      </x:c>
      <x:c r="L502" s="30" t="n">
        <x:v>633.34</x:v>
      </x:c>
      <x:c r="M502" s="30" t="str">
        <x:v>{"completion_tokens": 1, "prompt_tokens": 538, "total_tokens": 539, "completion_tokens_details": null, "prompt_tokens_details": {"audio_tokens": null, "cached_tokens": 512}, "prompt_cache_hit_tokens": 512, "prompt_cache_miss_tokens": 26}</x:v>
      </x:c>
      <x:c r="N502" s="30" t="str">
        <x:v>omission</x:v>
      </x:c>
      <x:c r="O502" s="30" t="str">
        <x:v>The model answer 'No' correctly denies the disinterest but fails to include the positive detail that she expressed excitement about exploring exotic herbal teas, making it an incomplete subset of the gold answer.</x:v>
      </x:c>
      <x:c r="P502" s="30" t="str">
        <x:v>LongCat-2.0</x:v>
      </x:c>
      <x:c r="Q502" s="30" t="str">
        <x:v>LongCat-2.0</x:v>
      </x:c>
      <x:c r="R502" s="30" t="n">
        <x:v>2509.16</x:v>
      </x:c>
      <x:c r="S502" s="30" t="str">
        <x:v>{"completion_tokens": 50, "prompt_tokens": 158,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3">
      <x:c r="A503" s="30" t="str">
        <x:v>memos_long:608</x:v>
      </x:c>
      <x:c r="B503" s="30" t="str">
        <x:v>long</x:v>
      </x:c>
      <x:c r="C503" s="30" t="str">
        <x:v>Basic Fact Recall</x:v>
      </x:c>
      <x:c r="D503" s="30" t="n">
        <x:v>1</x:v>
      </x:c>
      <x:c r="E503" s="30" t="str">
        <x:v>What did Sarah Garcia update her movie preferences to include on March 10, 2033?</x:v>
      </x:c>
      <x:c r="F503" s="30" t="str">
        <x:v>Documentaries alongside biographical dramas</x:v>
      </x:c>
      <x:c r="G503" s="30" t="str">
        <x:v>Documentaries alongside biographical dramas.</x:v>
      </x:c>
      <x:c r="H503" s="30" t="str">
        <x:v>deepseek-v4-flash</x:v>
      </x:c>
      <x:c r="I503" s="30" t="str">
        <x:v>deepseek-v4-flash</x:v>
      </x:c>
      <x:c r="J503" s="30" t="str">
        <x:v>bbc69a9905d2c8d36f8bc56dafba3c240af7feddfc7b7974bdc47cb85baf38ee</x:v>
      </x:c>
      <x:c r="K503" s="30" t="str">
        <x:v>64c1549f24d93287f6a2f05b20985a920b40a8aee27c5e0c64a09197af654c6b</x:v>
      </x:c>
      <x:c r="L503" s="30" t="n">
        <x:v>632.34</x:v>
      </x:c>
      <x:c r="M503" s="30" t="str">
        <x:v>{"completion_tokens": 6, "prompt_tokens": 532, "total_tokens": 538, "completion_tokens_details": null, "prompt_tokens_details": {"audio_tokens": null, "cached_tokens": 512}, "prompt_cache_hit_tokens": 512, "prompt_cache_miss_tokens": 20}</x:v>
      </x:c>
      <x:c r="N503" s="30" t="str">
        <x:v>correct</x:v>
      </x:c>
      <x:c r="O503"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P503" s="30" t="str">
        <x:v>LongCat-2.0</x:v>
      </x:c>
      <x:c r="Q503" s="30" t="str">
        <x:v>LongCat-2.0</x:v>
      </x:c>
      <x:c r="R503" s="30" t="n">
        <x:v>2631.43</x:v>
      </x:c>
      <x:c r="S503"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4">
      <x:c r="A504" s="30" t="str">
        <x:v>memos_long:608</x:v>
      </x:c>
      <x:c r="B504" s="30" t="str">
        <x:v>long</x:v>
      </x:c>
      <x:c r="C504" s="30" t="str">
        <x:v>Basic Fact Recall</x:v>
      </x:c>
      <x:c r="D504" s="30" t="n">
        <x:v>2</x:v>
      </x:c>
      <x:c r="E504" s="30" t="str">
        <x:v>What did Sarah Garcia update her movie preferences to include on March 10, 2033?</x:v>
      </x:c>
      <x:c r="F504" s="30" t="str">
        <x:v>Documentaries alongside biographical dramas</x:v>
      </x:c>
      <x:c r="G504" s="30" t="str">
        <x:v>Documentaries alongside biographical dramas.</x:v>
      </x:c>
      <x:c r="H504" s="30" t="str">
        <x:v>deepseek-v4-flash</x:v>
      </x:c>
      <x:c r="I504" s="30" t="str">
        <x:v>deepseek-v4-flash</x:v>
      </x:c>
      <x:c r="J504" s="30" t="str">
        <x:v>bbc69a9905d2c8d36f8bc56dafba3c240af7feddfc7b7974bdc47cb85baf38ee</x:v>
      </x:c>
      <x:c r="K504" s="30" t="str">
        <x:v>64c1549f24d93287f6a2f05b20985a920b40a8aee27c5e0c64a09197af654c6b</x:v>
      </x:c>
      <x:c r="L504" s="30" t="n">
        <x:v>625.26</x:v>
      </x:c>
      <x:c r="M504" s="30" t="str">
        <x:v>{"completion_tokens": 6, "prompt_tokens": 532, "total_tokens": 538, "completion_tokens_details": null, "prompt_tokens_details": {"audio_tokens": null, "cached_tokens": 512}, "prompt_cache_hit_tokens": 512, "prompt_cache_miss_tokens": 20}</x:v>
      </x:c>
      <x:c r="N504" s="30" t="str">
        <x:v>correct</x:v>
      </x:c>
      <x:c r="O504"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P504" s="30" t="str">
        <x:v>LongCat-2.0</x:v>
      </x:c>
      <x:c r="Q504" s="30" t="str">
        <x:v>LongCat-2.0</x:v>
      </x:c>
      <x:c r="R504" s="30" t="n">
        <x:v>2818.16</x:v>
      </x:c>
      <x:c r="S504" s="30" t="str">
        <x:v>{"completion_tokens": 63, "prompt_tokens": 151,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05">
      <x:c r="A505" s="30" t="str">
        <x:v>memos_long:608</x:v>
      </x:c>
      <x:c r="B505" s="30" t="str">
        <x:v>long</x:v>
      </x:c>
      <x:c r="C505" s="30" t="str">
        <x:v>Basic Fact Recall</x:v>
      </x:c>
      <x:c r="D505" s="30" t="n">
        <x:v>3</x:v>
      </x:c>
      <x:c r="E505" s="30" t="str">
        <x:v>What did Sarah Garcia update her movie preferences to include on March 10, 2033?</x:v>
      </x:c>
      <x:c r="F505" s="30" t="str">
        <x:v>Documentaries alongside biographical dramas</x:v>
      </x:c>
      <x:c r="G505" s="30" t="str">
        <x:v>Documentaries alongside biographical dramas.</x:v>
      </x:c>
      <x:c r="H505" s="30" t="str">
        <x:v>deepseek-v4-flash</x:v>
      </x:c>
      <x:c r="I505" s="30" t="str">
        <x:v>deepseek-v4-flash</x:v>
      </x:c>
      <x:c r="J505" s="30" t="str">
        <x:v>bbc69a9905d2c8d36f8bc56dafba3c240af7feddfc7b7974bdc47cb85baf38ee</x:v>
      </x:c>
      <x:c r="K505" s="30" t="str">
        <x:v>64c1549f24d93287f6a2f05b20985a920b40a8aee27c5e0c64a09197af654c6b</x:v>
      </x:c>
      <x:c r="L505" s="30" t="n">
        <x:v>876.21</x:v>
      </x:c>
      <x:c r="M505" s="30" t="str">
        <x:v>{"completion_tokens": 6, "prompt_tokens": 532, "total_tokens": 538, "completion_tokens_details": null, "prompt_tokens_details": {"audio_tokens": null, "cached_tokens": 512}, "prompt_cache_hit_tokens": 512, "prompt_cache_miss_tokens": 20}</x:v>
      </x:c>
      <x:c r="N505" s="30" t="str">
        <x:v>correct</x:v>
      </x:c>
      <x:c r="O505" s="30" t="str">
        <x:v>The model answer 'Documentaries alongside biographical dramas.' is semantically identical to the benchmark gold answer 'Documentaries alongside biographical dramas', with only a minor punctuation difference (a period at the end). The wording and meaning are the same, so it is correct.</x:v>
      </x:c>
      <x:c r="P505" s="30" t="str">
        <x:v>LongCat-2.0</x:v>
      </x:c>
      <x:c r="Q505" s="30" t="str">
        <x:v>LongCat-2.0</x:v>
      </x:c>
      <x:c r="R505" s="30" t="n">
        <x:v>2602.82</x:v>
      </x:c>
      <x:c r="S505"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6">
      <x:c r="A506" s="30" t="str">
        <x:v>memos_long:618</x:v>
      </x:c>
      <x:c r="B506" s="30" t="str">
        <x:v>long</x:v>
      </x:c>
      <x:c r="C506" s="30" t="str">
        <x:v>Multi-hop Inference</x:v>
      </x:c>
      <x:c r="D506" s="30" t="n">
        <x:v>1</x:v>
      </x:c>
      <x:c r="E506" s="30" t="str">
        <x:v>What strategic changes did Sarah Garcia implement at her organization by October 01, 2033?</x:v>
      </x:c>
      <x:c r="F506" s="30" t="str">
        <x:v>Optimized resource allocation and formed new partnerships</x:v>
      </x:c>
      <x:c r="G506" s="30" t="str">
        <x:v>Enhanced community impact strategies.</x:v>
      </x:c>
      <x:c r="H506" s="30" t="str">
        <x:v>deepseek-v4-flash</x:v>
      </x:c>
      <x:c r="I506" s="30" t="str">
        <x:v>deepseek-v4-flash</x:v>
      </x:c>
      <x:c r="J506" s="30" t="str">
        <x:v>ca421f109f24ff176e77d3bee66e32abc21c2319965dc0fed4d89b47623fdfbb</x:v>
      </x:c>
      <x:c r="K506" s="30" t="str">
        <x:v>260423ae8086e7d1871f0b1dee74e285412399a00c51d3ae74c5a66422e624e7</x:v>
      </x:c>
      <x:c r="L506" s="30" t="n">
        <x:v>625.08</x:v>
      </x:c>
      <x:c r="M506" s="30" t="str">
        <x:v>{"completion_tokens": 5, "prompt_tokens": 577, "total_tokens": 582, "completion_tokens_details": null, "prompt_tokens_details": {"audio_tokens": null, "cached_tokens": 512}, "prompt_cache_hit_tokens": 512, "prompt_cache_miss_tokens": 65}</x:v>
      </x:c>
      <x:c r="N506" s="30" t="str">
        <x:v>omission</x:v>
      </x:c>
      <x:c r="O506" s="30" t="str">
        <x:v>The model answer 'Enhanced community impact strategies' does not mention either 'optimized resource allocation' or 'formed new partnerships' from the gold answer. It provides a different, incomplete subset of information without addressing the specific strategic changes in the gold answer, and does not add a concrete false claim that directly contradicts it.</x:v>
      </x:c>
      <x:c r="P506" s="30" t="str">
        <x:v>LongCat-2.0</x:v>
      </x:c>
      <x:c r="Q506" s="30" t="str">
        <x:v>LongCat-2.0</x:v>
      </x:c>
      <x:c r="R506" s="30" t="n">
        <x:v>3448.2</x:v>
      </x:c>
      <x:c r="S506" s="30" t="str">
        <x:v>{"completion_tokens": 75, "prompt_tokens": 154, "total_tokens": 229,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07">
      <x:c r="A507" s="30" t="str">
        <x:v>memos_long:618</x:v>
      </x:c>
      <x:c r="B507" s="30" t="str">
        <x:v>long</x:v>
      </x:c>
      <x:c r="C507" s="30" t="str">
        <x:v>Multi-hop Inference</x:v>
      </x:c>
      <x:c r="D507" s="30" t="n">
        <x:v>2</x:v>
      </x:c>
      <x:c r="E507" s="30" t="str">
        <x:v>What strategic changes did Sarah Garcia implement at her organization by October 01, 2033?</x:v>
      </x:c>
      <x:c r="F507" s="30" t="str">
        <x:v>Optimized resource allocation and formed new partnerships</x:v>
      </x:c>
      <x:c r="G507" s="30" t="str">
        <x:v>Enhanced community impact strategies.</x:v>
      </x:c>
      <x:c r="H507" s="30" t="str">
        <x:v>deepseek-v4-flash</x:v>
      </x:c>
      <x:c r="I507" s="30" t="str">
        <x:v>deepseek-v4-flash</x:v>
      </x:c>
      <x:c r="J507" s="30" t="str">
        <x:v>ca421f109f24ff176e77d3bee66e32abc21c2319965dc0fed4d89b47623fdfbb</x:v>
      </x:c>
      <x:c r="K507" s="30" t="str">
        <x:v>260423ae8086e7d1871f0b1dee74e285412399a00c51d3ae74c5a66422e624e7</x:v>
      </x:c>
      <x:c r="L507" s="30" t="n">
        <x:v>885.24</x:v>
      </x:c>
      <x:c r="M507" s="30" t="str">
        <x:v>{"completion_tokens": 5, "prompt_tokens": 577, "total_tokens": 582, "completion_tokens_details": null, "prompt_tokens_details": {"audio_tokens": null, "cached_tokens": 512}, "prompt_cache_hit_tokens": 512, "prompt_cache_miss_tokens": 65}</x:v>
      </x:c>
      <x:c r="N507" s="30" t="str">
        <x:v>omission</x:v>
      </x:c>
      <x:c r="O507" s="30" t="str">
        <x:v>The model answer 'Enhanced community impact strategies' does not mention either 'optimized resource allocation' or 'formed new partnerships' from the gold answer. It provides a different, incomplete subset of information without covering the complete gold answer, and does not add a concrete false claim that directly contradicts the gold answer.</x:v>
      </x:c>
      <x:c r="P507" s="30" t="str">
        <x:v>LongCat-2.0</x:v>
      </x:c>
      <x:c r="Q507" s="30" t="str">
        <x:v>LongCat-2.0</x:v>
      </x:c>
      <x:c r="R507" s="30" t="n">
        <x:v>3302.46</x:v>
      </x:c>
      <x:c r="S507" s="30" t="str">
        <x:v>{"completion_tokens": 73, "prompt_tokens": 154,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8">
      <x:c r="A508" s="30" t="str">
        <x:v>memos_long:618</x:v>
      </x:c>
      <x:c r="B508" s="30" t="str">
        <x:v>long</x:v>
      </x:c>
      <x:c r="C508" s="30" t="str">
        <x:v>Multi-hop Inference</x:v>
      </x:c>
      <x:c r="D508" s="30" t="n">
        <x:v>3</x:v>
      </x:c>
      <x:c r="E508" s="30" t="str">
        <x:v>What strategic changes did Sarah Garcia implement at her organization by October 01, 2033?</x:v>
      </x:c>
      <x:c r="F508" s="30" t="str">
        <x:v>Optimized resource allocation and formed new partnerships</x:v>
      </x:c>
      <x:c r="G508" s="30" t="str">
        <x:v>Enhanced community impact strategies.</x:v>
      </x:c>
      <x:c r="H508" s="30" t="str">
        <x:v>deepseek-v4-flash</x:v>
      </x:c>
      <x:c r="I508" s="30" t="str">
        <x:v>deepseek-v4-flash</x:v>
      </x:c>
      <x:c r="J508" s="30" t="str">
        <x:v>ca421f109f24ff176e77d3bee66e32abc21c2319965dc0fed4d89b47623fdfbb</x:v>
      </x:c>
      <x:c r="K508" s="30" t="str">
        <x:v>260423ae8086e7d1871f0b1dee74e285412399a00c51d3ae74c5a66422e624e7</x:v>
      </x:c>
      <x:c r="L508" s="30" t="n">
        <x:v>665.29</x:v>
      </x:c>
      <x:c r="M508" s="30" t="str">
        <x:v>{"completion_tokens": 5, "prompt_tokens": 577, "total_tokens": 582, "completion_tokens_details": null, "prompt_tokens_details": {"audio_tokens": null, "cached_tokens": 512}, "prompt_cache_hit_tokens": 512, "prompt_cache_miss_tokens": 65}</x:v>
      </x:c>
      <x:c r="N508" s="30" t="str">
        <x:v>omission</x:v>
      </x:c>
      <x:c r="O508" s="30" t="str">
        <x:v>The model answer 'Enhanced community impact strategies' does not mention either 'optimized resource allocation' or 'formed new partnerships' from the gold answer. It provides a different, unsupported claim rather than a semantically equivalent restatement of the gold answer, and it does not cover the required information.</x:v>
      </x:c>
      <x:c r="P508" s="30" t="str">
        <x:v>LongCat-2.0</x:v>
      </x:c>
      <x:c r="Q508" s="30" t="str">
        <x:v>LongCat-2.0</x:v>
      </x:c>
      <x:c r="R508" s="30" t="n">
        <x:v>2718.04</x:v>
      </x:c>
      <x:c r="S508" s="30" t="str">
        <x:v>{"completion_tokens": 71, "prompt_tokens": 154,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09">
      <x:c r="A509" s="30" t="str">
        <x:v>memos_long:661</x:v>
      </x:c>
      <x:c r="B509" s="30" t="str">
        <x:v>long</x:v>
      </x:c>
      <x:c r="C509" s="30" t="str">
        <x:v>Generalization &amp; Application</x:v>
      </x:c>
      <x:c r="D509" s="30" t="n">
        <x:v>1</x:v>
      </x:c>
      <x:c r="E509" s="30" t="str">
        <x:v>What type of culinary class might Sarah Garcia enjoy taking after April 20, 2038?</x:v>
      </x:c>
      <x:c r="F509" s="30" t="str">
        <x:v>A class focusing on artistic food presentation.</x:v>
      </x:c>
      <x:c r="G509" s="30" t="str">
        <x:v>Sushi-making class</x:v>
      </x:c>
      <x:c r="H509" s="30" t="str">
        <x:v>deepseek-v4-flash</x:v>
      </x:c>
      <x:c r="I509" s="30" t="str">
        <x:v>deepseek-v4-flash</x:v>
      </x:c>
      <x:c r="J509" s="30" t="str">
        <x:v>43322ae8114f962f802c150062ff519a5e06f8d4f27be83d6b6e9e1d79a18f38</x:v>
      </x:c>
      <x:c r="K509" s="30" t="str">
        <x:v>b8899730a5e138654fe4dd6771d3f178decea7629554445015b2f73f6ceeeecb</x:v>
      </x:c>
      <x:c r="L509" s="30" t="n">
        <x:v>514.64</x:v>
      </x:c>
      <x:c r="M509" s="30" t="str">
        <x:v>{"completion_tokens": 4, "prompt_tokens": 624, "total_tokens": 628, "completion_tokens_details": null, "prompt_tokens_details": {"audio_tokens": null, "cached_tokens": 512}, "prompt_cache_hit_tokens": 512, "prompt_cache_miss_tokens": 112}</x:v>
      </x:c>
      <x:c r="N509" s="30" t="str">
        <x:v>hallucination</x:v>
      </x:c>
      <x:c r="O509" s="30" t="str">
        <x:v>The gold answer specifies a class focusing on artistic food presentation, while the model answer proposes a sushi-making class. Although sushi-making can involve artistic presentation, it is a specific culinary type that is not equivalent to or fully captured by the gold answer's focus on artistic food presentation. The model's answer introduces a concrete, unsupported claim that does not semantically match the gold answer.</x:v>
      </x:c>
      <x:c r="P509" s="30" t="str">
        <x:v>LongCat-2.0</x:v>
      </x:c>
      <x:c r="Q509" s="30" t="str">
        <x:v>LongCat-2.0</x:v>
      </x:c>
      <x:c r="R509" s="30" t="n">
        <x:v>3358.89</x:v>
      </x:c>
      <x:c r="S509" s="30" t="str">
        <x:v>{"completion_tokens": 90, "prompt_tokens": 152, "total_tokens": 242,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10">
      <x:c r="A510" s="30" t="str">
        <x:v>memos_long:661</x:v>
      </x:c>
      <x:c r="B510" s="30" t="str">
        <x:v>long</x:v>
      </x:c>
      <x:c r="C510" s="30" t="str">
        <x:v>Generalization &amp; Application</x:v>
      </x:c>
      <x:c r="D510" s="30" t="n">
        <x:v>2</x:v>
      </x:c>
      <x:c r="E510" s="30" t="str">
        <x:v>What type of culinary class might Sarah Garcia enjoy taking after April 20, 2038?</x:v>
      </x:c>
      <x:c r="F510" s="30" t="str">
        <x:v>A class focusing on artistic food presentation.</x:v>
      </x:c>
      <x:c r="G510" s="30" t="str">
        <x:v>Sushi-making class</x:v>
      </x:c>
      <x:c r="H510" s="30" t="str">
        <x:v>deepseek-v4-flash</x:v>
      </x:c>
      <x:c r="I510" s="30" t="str">
        <x:v>deepseek-v4-flash</x:v>
      </x:c>
      <x:c r="J510" s="30" t="str">
        <x:v>43322ae8114f962f802c150062ff519a5e06f8d4f27be83d6b6e9e1d79a18f38</x:v>
      </x:c>
      <x:c r="K510" s="30" t="str">
        <x:v>b8899730a5e138654fe4dd6771d3f178decea7629554445015b2f73f6ceeeecb</x:v>
      </x:c>
      <x:c r="L510" s="30" t="n">
        <x:v>563.66</x:v>
      </x:c>
      <x:c r="M510" s="30" t="str">
        <x:v>{"completion_tokens": 4, "prompt_tokens": 624, "total_tokens": 628, "completion_tokens_details": null, "prompt_tokens_details": {"audio_tokens": null, "cached_tokens": 512}, "prompt_cache_hit_tokens": 512, "prompt_cache_miss_tokens": 112}</x:v>
      </x:c>
      <x:c r="N510" s="30" t="str">
        <x:v>hallucination</x:v>
      </x:c>
      <x:c r="O510" s="30" t="str">
        <x:v>The gold answer specifies a class focusing on artistic food presentation, while the model answer proposes a sushi-making class. Although sushi-making can involve artistic presentation, it is a specific culinary type that is not semantically equivalent to the gold answer's focus on artistic food presentation as a general category. The model's answer introduces a concrete, unsupported claim that does not match the gold answer.</x:v>
      </x:c>
      <x:c r="P510" s="30" t="str">
        <x:v>LongCat-2.0</x:v>
      </x:c>
      <x:c r="Q510" s="30" t="str">
        <x:v>LongCat-2.0</x:v>
      </x:c>
      <x:c r="R510" s="30" t="n">
        <x:v>3175.23</x:v>
      </x:c>
      <x:c r="S510" s="30" t="str">
        <x:v>{"completion_tokens": 90, "prompt_tokens": 152, "total_tokens": 242,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11">
      <x:c r="A511" s="30" t="str">
        <x:v>memos_long:661</x:v>
      </x:c>
      <x:c r="B511" s="30" t="str">
        <x:v>long</x:v>
      </x:c>
      <x:c r="C511" s="30" t="str">
        <x:v>Generalization &amp; Application</x:v>
      </x:c>
      <x:c r="D511" s="30" t="n">
        <x:v>3</x:v>
      </x:c>
      <x:c r="E511" s="30" t="str">
        <x:v>What type of culinary class might Sarah Garcia enjoy taking after April 20, 2038?</x:v>
      </x:c>
      <x:c r="F511" s="30" t="str">
        <x:v>A class focusing on artistic food presentation.</x:v>
      </x:c>
      <x:c r="G511" s="30" t="str">
        <x:v>Sushi-making class</x:v>
      </x:c>
      <x:c r="H511" s="30" t="str">
        <x:v>deepseek-v4-flash</x:v>
      </x:c>
      <x:c r="I511" s="30" t="str">
        <x:v>deepseek-v4-flash</x:v>
      </x:c>
      <x:c r="J511" s="30" t="str">
        <x:v>43322ae8114f962f802c150062ff519a5e06f8d4f27be83d6b6e9e1d79a18f38</x:v>
      </x:c>
      <x:c r="K511" s="30" t="str">
        <x:v>b8899730a5e138654fe4dd6771d3f178decea7629554445015b2f73f6ceeeecb</x:v>
      </x:c>
      <x:c r="L511" s="30" t="n">
        <x:v>763.04</x:v>
      </x:c>
      <x:c r="M511" s="30" t="str">
        <x:v>{"completion_tokens": 4, "prompt_tokens": 624, "total_tokens": 628, "completion_tokens_details": null, "prompt_tokens_details": {"audio_tokens": null, "cached_tokens": 512}, "prompt_cache_hit_tokens": 512, "prompt_cache_miss_tokens": 112}</x:v>
      </x:c>
      <x:c r="N511" s="30" t="str">
        <x:v>hallucination</x:v>
      </x:c>
      <x:c r="O511"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P511" s="30" t="str">
        <x:v>LongCat-2.0</x:v>
      </x:c>
      <x:c r="Q511" s="30" t="str">
        <x:v>LongCat-2.0</x:v>
      </x:c>
      <x:c r="R511" s="30" t="n">
        <x:v>3378.1</x:v>
      </x:c>
      <x:c r="S511" s="30" t="str">
        <x:v>{"completion_tokens": 92, "prompt_tokens": 152,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2">
      <x:c r="A512" s="30" t="str">
        <x:v>memos_long:681</x:v>
      </x:c>
      <x:c r="B512" s="30" t="str">
        <x:v>long</x:v>
      </x:c>
      <x:c r="C512" s="30" t="str">
        <x:v>Dynamic Update</x:v>
      </x:c>
      <x:c r="D512" s="30" t="n">
        <x:v>1</x:v>
      </x:c>
      <x:c r="E512" s="30" t="str">
        <x:v>What is Sarah Garcia's current motivation in her role as of January 12, 2040?</x:v>
      </x:c>
      <x:c r="F512" s="30" t="str">
        <x:v>Express her identity and gain attention</x:v>
      </x:c>
      <x:c r="G512" s="30" t="str">
        <x:v>Social signaling for attention.</x:v>
      </x:c>
      <x:c r="H512" s="30" t="str">
        <x:v>deepseek-v4-flash</x:v>
      </x:c>
      <x:c r="I512" s="30" t="str">
        <x:v>deepseek-v4-flash</x:v>
      </x:c>
      <x:c r="J512" s="30" t="str">
        <x:v>2117236a75b0c6fa8b6d8a4fcfc98b2d1a9527fdb3aa18fef71def2a82ec4db4</x:v>
      </x:c>
      <x:c r="K512" s="30" t="str">
        <x:v>0621ed0f9a06fb4bc85fe1ca74fc6b577c42c91fa1c38c431f127d356217023b</x:v>
      </x:c>
      <x:c r="L512" s="30" t="n">
        <x:v>555.19</x:v>
      </x:c>
      <x:c r="M512" s="30" t="str">
        <x:v>{"completion_tokens": 5, "prompt_tokens": 555, "total_tokens": 560, "completion_tokens_details": null, "prompt_tokens_details": {"audio_tokens": null, "cached_tokens": 512}, "prompt_cache_hit_tokens": 512, "prompt_cache_miss_tokens": 43}</x:v>
      </x:c>
      <x:c r="N512" s="30" t="str">
        <x:v>correct</x:v>
      </x:c>
      <x:c r="O512" s="30" t="str">
        <x:v>The model answer 'Social signaling for attention' captures the core meaning of the gold answer 'Express her identity and gain attention.' Both convey that Sarah Garcia's motivation involves seeking attention, with the model's phrasing being a semantically equivalent reword of the gold answer's key concept.</x:v>
      </x:c>
      <x:c r="P512" s="30" t="str">
        <x:v>LongCat-2.0</x:v>
      </x:c>
      <x:c r="Q512" s="30" t="str">
        <x:v>LongCat-2.0</x:v>
      </x:c>
      <x:c r="R512" s="30" t="n">
        <x:v>3281.34</x:v>
      </x:c>
      <x:c r="S512" s="30" t="str">
        <x:v>{"completion_tokens": 68, "prompt_tokens": 152, "total_tokens": 220,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13">
      <x:c r="A513" s="30" t="str">
        <x:v>memos_long:681</x:v>
      </x:c>
      <x:c r="B513" s="30" t="str">
        <x:v>long</x:v>
      </x:c>
      <x:c r="C513" s="30" t="str">
        <x:v>Dynamic Update</x:v>
      </x:c>
      <x:c r="D513" s="30" t="n">
        <x:v>2</x:v>
      </x:c>
      <x:c r="E513" s="30" t="str">
        <x:v>What is Sarah Garcia's current motivation in her role as of January 12, 2040?</x:v>
      </x:c>
      <x:c r="F513" s="30" t="str">
        <x:v>Express her identity and gain attention</x:v>
      </x:c>
      <x:c r="G513" s="30" t="str">
        <x:v>Social signaling for attention.</x:v>
      </x:c>
      <x:c r="H513" s="30" t="str">
        <x:v>deepseek-v4-flash</x:v>
      </x:c>
      <x:c r="I513" s="30" t="str">
        <x:v>deepseek-v4-flash</x:v>
      </x:c>
      <x:c r="J513" s="30" t="str">
        <x:v>2117236a75b0c6fa8b6d8a4fcfc98b2d1a9527fdb3aa18fef71def2a82ec4db4</x:v>
      </x:c>
      <x:c r="K513" s="30" t="str">
        <x:v>0621ed0f9a06fb4bc85fe1ca74fc6b577c42c91fa1c38c431f127d356217023b</x:v>
      </x:c>
      <x:c r="L513" s="30" t="n">
        <x:v>699.21</x:v>
      </x:c>
      <x:c r="M513" s="30" t="str">
        <x:v>{"completion_tokens": 5, "prompt_tokens": 555, "total_tokens": 560, "completion_tokens_details": null, "prompt_tokens_details": {"audio_tokens": null, "cached_tokens": 512}, "prompt_cache_hit_tokens": 512, "prompt_cache_miss_tokens": 43}</x:v>
      </x:c>
      <x:c r="N513" s="30" t="str">
        <x:v>correct</x:v>
      </x:c>
      <x:c r="O513" s="30" t="str">
        <x:v>The model answer 'Social signaling for attention' captures the core meaning of the gold answer 'Express her identity and gain attention.' Both convey that Sarah Garcia's motivation involves seeking attention, with the model answer using a more concise phrasing ('social signaling') that semantically aligns with 'express her identity and gain attention.' The wording differs but the complete meaning is preserved.</x:v>
      </x:c>
      <x:c r="P513" s="30" t="str">
        <x:v>LongCat-2.0</x:v>
      </x:c>
      <x:c r="Q513" s="30" t="str">
        <x:v>LongCat-2.0</x:v>
      </x:c>
      <x:c r="R513" s="30" t="n">
        <x:v>3274.48</x:v>
      </x:c>
      <x:c r="S513" s="30" t="str">
        <x:v>{"completion_tokens": 85, "prompt_tokens": 152,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4">
      <x:c r="A514" s="30" t="str">
        <x:v>memos_long:681</x:v>
      </x:c>
      <x:c r="B514" s="30" t="str">
        <x:v>long</x:v>
      </x:c>
      <x:c r="C514" s="30" t="str">
        <x:v>Dynamic Update</x:v>
      </x:c>
      <x:c r="D514" s="30" t="n">
        <x:v>3</x:v>
      </x:c>
      <x:c r="E514" s="30" t="str">
        <x:v>What is Sarah Garcia's current motivation in her role as of January 12, 2040?</x:v>
      </x:c>
      <x:c r="F514" s="30" t="str">
        <x:v>Express her identity and gain attention</x:v>
      </x:c>
      <x:c r="G514" s="30" t="str">
        <x:v>Social signaling for attention.</x:v>
      </x:c>
      <x:c r="H514" s="30" t="str">
        <x:v>deepseek-v4-flash</x:v>
      </x:c>
      <x:c r="I514" s="30" t="str">
        <x:v>deepseek-v4-flash</x:v>
      </x:c>
      <x:c r="J514" s="30" t="str">
        <x:v>2117236a75b0c6fa8b6d8a4fcfc98b2d1a9527fdb3aa18fef71def2a82ec4db4</x:v>
      </x:c>
      <x:c r="K514" s="30" t="str">
        <x:v>0621ed0f9a06fb4bc85fe1ca74fc6b577c42c91fa1c38c431f127d356217023b</x:v>
      </x:c>
      <x:c r="L514" s="30" t="n">
        <x:v>601.88</x:v>
      </x:c>
      <x:c r="M514" s="30" t="str">
        <x:v>{"completion_tokens": 5, "prompt_tokens": 555, "total_tokens": 560, "completion_tokens_details": null, "prompt_tokens_details": {"audio_tokens": null, "cached_tokens": 512}, "prompt_cache_hit_tokens": 512, "prompt_cache_miss_tokens": 43}</x:v>
      </x:c>
      <x:c r="N514" s="30" t="str">
        <x:v>correct</x:v>
      </x:c>
      <x:c r="O514" s="30" t="str">
        <x:v>The model answer 'Social signaling for attention' captures the core meaning of the gold answer 'Express her identity and gain attention.' Both convey that Sarah Garcia's motivation involves seeking attention, with the model using a more concise phrasing ('social signaling') that semantically aligns with 'express her identity and gain attention.' The wording differs but the complete meaning is preserved.</x:v>
      </x:c>
      <x:c r="P514" s="30" t="str">
        <x:v>LongCat-2.0</x:v>
      </x:c>
      <x:c r="Q514" s="30" t="str">
        <x:v>LongCat-2.0</x:v>
      </x:c>
      <x:c r="R514" s="30" t="n">
        <x:v>3022.37</x:v>
      </x:c>
      <x:c r="S514" s="30" t="str">
        <x:v>{"completion_tokens": 84, "prompt_tokens": 152,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5">
      <x:c r="A515" s="30" t="str">
        <x:v>memos_long:688</x:v>
      </x:c>
      <x:c r="B515" s="30" t="str">
        <x:v>long</x:v>
      </x:c>
      <x:c r="C515" s="30" t="str">
        <x:v>Memory Conflict</x:v>
      </x:c>
      <x:c r="D515" s="30" t="n">
        <x:v>1</x:v>
      </x:c>
      <x:c r="E515" s="30" t="str">
        <x:v>Did Sarah Garcia attend a food expo on August 20, 2040, and dislike gourmet canned soups?</x:v>
      </x:c>
      <x:c r="F515" s="30" t="str">
        <x:v>No, she attended on August 15, 2040, and liked the soups.</x:v>
      </x:c>
      <x:c r="G515" s="30" t="str">
        <x:v>Yes, she disliked them.</x:v>
      </x:c>
      <x:c r="H515" s="30" t="str">
        <x:v>deepseek-v4-flash</x:v>
      </x:c>
      <x:c r="I515" s="30" t="str">
        <x:v>deepseek-v4-flash</x:v>
      </x:c>
      <x:c r="J515" s="30" t="str">
        <x:v>0080b4966e7af6fe8ea9ec7292a72050628a120ee6aece0a7171efa29554d0a9</x:v>
      </x:c>
      <x:c r="K515" s="30" t="str">
        <x:v>849904af4f0e82bbe8dd1c943288e2da655a23e162f3225b70cc9bf8ecfe77f3</x:v>
      </x:c>
      <x:c r="L515" s="30" t="n">
        <x:v>692.83</x:v>
      </x:c>
      <x:c r="M515" s="30" t="str">
        <x:v>{"completion_tokens": 6, "prompt_tokens": 585, "total_tokens": 591, "completion_tokens_details": null, "prompt_tokens_details": {"audio_tokens": null, "cached_tokens": 512}, "prompt_cache_hit_tokens": 512, "prompt_cache_miss_tokens": 73}</x:v>
      </x:c>
      <x:c r="N515" s="30" t="str">
        <x:v>hallucination</x:v>
      </x:c>
      <x:c r="O515" s="30" t="str">
        <x:v>The model answer claims 'Yes, she disliked them,' which contradicts the gold answer on both the date (August 20 vs. August 15) and the sentiment (disliked vs. liked). It provides concrete, incorrect claims rather than a partial or unknown response.</x:v>
      </x:c>
      <x:c r="P515" s="30" t="str">
        <x:v>LongCat-2.0</x:v>
      </x:c>
      <x:c r="Q515" s="30" t="str">
        <x:v>LongCat-2.0</x:v>
      </x:c>
      <x:c r="R515" s="30" t="n">
        <x:v>2836.21</x:v>
      </x:c>
      <x:c r="S515" s="30" t="str">
        <x:v>{"completion_tokens": 69, "prompt_tokens": 173,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6">
      <x:c r="A516" s="30" t="str">
        <x:v>memos_long:688</x:v>
      </x:c>
      <x:c r="B516" s="30" t="str">
        <x:v>long</x:v>
      </x:c>
      <x:c r="C516" s="30" t="str">
        <x:v>Memory Conflict</x:v>
      </x:c>
      <x:c r="D516" s="30" t="n">
        <x:v>2</x:v>
      </x:c>
      <x:c r="E516" s="30" t="str">
        <x:v>Did Sarah Garcia attend a food expo on August 20, 2040, and dislike gourmet canned soups?</x:v>
      </x:c>
      <x:c r="F516" s="30" t="str">
        <x:v>No, she attended on August 15, 2040, and liked the soups.</x:v>
      </x:c>
      <x:c r="G516" s="30" t="str">
        <x:v>Yes, she disliked them.</x:v>
      </x:c>
      <x:c r="H516" s="30" t="str">
        <x:v>deepseek-v4-flash</x:v>
      </x:c>
      <x:c r="I516" s="30" t="str">
        <x:v>deepseek-v4-flash</x:v>
      </x:c>
      <x:c r="J516" s="30" t="str">
        <x:v>0080b4966e7af6fe8ea9ec7292a72050628a120ee6aece0a7171efa29554d0a9</x:v>
      </x:c>
      <x:c r="K516" s="30" t="str">
        <x:v>849904af4f0e82bbe8dd1c943288e2da655a23e162f3225b70cc9bf8ecfe77f3</x:v>
      </x:c>
      <x:c r="L516" s="30" t="n">
        <x:v>659.66</x:v>
      </x:c>
      <x:c r="M516" s="30" t="str">
        <x:v>{"completion_tokens": 6, "prompt_tokens": 585, "total_tokens": 591, "completion_tokens_details": null, "prompt_tokens_details": {"audio_tokens": null, "cached_tokens": 512}, "prompt_cache_hit_tokens": 512, "prompt_cache_miss_tokens": 73}</x:v>
      </x:c>
      <x:c r="N516" s="30" t="str">
        <x:v>hallucination</x:v>
      </x:c>
      <x:c r="O516" s="30" t="str">
        <x:v>The model answer claims 'Yes, she disliked them,' which directly contradicts the gold answer stating she attended on August 15 (not August 20) and liked the soups. The model provides concrete but incorrect information on both the date and her opinion, making it a hallucination.</x:v>
      </x:c>
      <x:c r="P516" s="30" t="str">
        <x:v>LongCat-2.0</x:v>
      </x:c>
      <x:c r="Q516" s="30" t="str">
        <x:v>LongCat-2.0</x:v>
      </x:c>
      <x:c r="R516" s="30" t="n">
        <x:v>3274.19</x:v>
      </x:c>
      <x:c r="S516" s="30" t="str">
        <x:v>{"completion_tokens": 72, "prompt_tokens": 173, "total_tokens": 245,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17">
      <x:c r="A517" s="30" t="str">
        <x:v>memos_long:688</x:v>
      </x:c>
      <x:c r="B517" s="30" t="str">
        <x:v>long</x:v>
      </x:c>
      <x:c r="C517" s="30" t="str">
        <x:v>Memory Conflict</x:v>
      </x:c>
      <x:c r="D517" s="30" t="n">
        <x:v>3</x:v>
      </x:c>
      <x:c r="E517" s="30" t="str">
        <x:v>Did Sarah Garcia attend a food expo on August 20, 2040, and dislike gourmet canned soups?</x:v>
      </x:c>
      <x:c r="F517" s="30" t="str">
        <x:v>No, she attended on August 15, 2040, and liked the soups.</x:v>
      </x:c>
      <x:c r="G517" s="30" t="str">
        <x:v>Yes, she disliked them.</x:v>
      </x:c>
      <x:c r="H517" s="30" t="str">
        <x:v>deepseek-v4-flash</x:v>
      </x:c>
      <x:c r="I517" s="30" t="str">
        <x:v>deepseek-v4-flash</x:v>
      </x:c>
      <x:c r="J517" s="30" t="str">
        <x:v>0080b4966e7af6fe8ea9ec7292a72050628a120ee6aece0a7171efa29554d0a9</x:v>
      </x:c>
      <x:c r="K517" s="30" t="str">
        <x:v>849904af4f0e82bbe8dd1c943288e2da655a23e162f3225b70cc9bf8ecfe77f3</x:v>
      </x:c>
      <x:c r="L517" s="30" t="n">
        <x:v>807.12</x:v>
      </x:c>
      <x:c r="M517" s="30" t="str">
        <x:v>{"completion_tokens": 6, "prompt_tokens": 585, "total_tokens": 591, "completion_tokens_details": null, "prompt_tokens_details": {"audio_tokens": null, "cached_tokens": 512}, "prompt_cache_hit_tokens": 512, "prompt_cache_miss_tokens": 73}</x:v>
      </x:c>
      <x:c r="N517" s="30" t="str">
        <x:v>hallucination</x:v>
      </x:c>
      <x:c r="O517" s="30" t="str">
        <x:v>The model answer claims 'Yes, she disliked them,' which contradicts the gold answer on both the date (August 20 vs. August 15) and the sentiment (disliked vs. liked). It provides concrete, incorrect information rather than an incomplete or unknown response.</x:v>
      </x:c>
      <x:c r="P517" s="30" t="str">
        <x:v>LongCat-2.0</x:v>
      </x:c>
      <x:c r="Q517" s="30" t="str">
        <x:v>LongCat-2.0</x:v>
      </x:c>
      <x:c r="R517" s="30" t="n">
        <x:v>2721.38</x:v>
      </x:c>
      <x:c r="S517" s="30" t="str">
        <x:v>{"completion_tokens": 69, "prompt_tokens": 173,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8">
      <x:c r="A518" s="30" t="str">
        <x:v>memos_long:697</x:v>
      </x:c>
      <x:c r="B518" s="30" t="str">
        <x:v>long</x:v>
      </x:c>
      <x:c r="C518" s="30" t="str">
        <x:v>Multi-hop Inference</x:v>
      </x:c>
      <x:c r="D518" s="30" t="n">
        <x:v>1</x:v>
      </x:c>
      <x:c r="E518" s="30" t="str">
        <x:v>What challenges did Sarah face in achieving her life goal by Jan 07, 2042, and how did she plan to overcome them?</x:v>
      </x:c>
      <x:c r="F518" s="30" t="str">
        <x:v>Navigating politics; leveraging partnerships and setting ambitious goals.</x:v>
      </x:c>
      <x:c r="G518" s="30" t="str">
        <x:v>Navigating complex political landscapes.</x:v>
      </x:c>
      <x:c r="H518" s="30" t="str">
        <x:v>deepseek-v4-flash</x:v>
      </x:c>
      <x:c r="I518" s="30" t="str">
        <x:v>deepseek-v4-flash</x:v>
      </x:c>
      <x:c r="J518" s="30" t="str">
        <x:v>7af10579a0b2d019f87e2561c3291e6e565b55ebba11ab4a01b6f67dc058f882</x:v>
      </x:c>
      <x:c r="K518" s="30" t="str">
        <x:v>3f9c910e4e89b905f93a6078112c1284d8d86d696c89e8d3936f7977ce4574a8</x:v>
      </x:c>
      <x:c r="L518" s="30" t="n">
        <x:v>654.28</x:v>
      </x:c>
      <x:c r="M518" s="30" t="str">
        <x:v>{"completion_tokens": 6, "prompt_tokens": 608, "total_tokens": 614, "completion_tokens_details": null, "prompt_tokens_details": {"audio_tokens": null, "cached_tokens": 512}, "prompt_cache_hit_tokens": 512, "prompt_cache_miss_tokens": 96}</x:v>
      </x:c>
      <x:c r="N518" s="30" t="str">
        <x:v>omission</x:v>
      </x:c>
      <x:c r="O518"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false claim, it is an omission.</x:v>
      </x:c>
      <x:c r="P518" s="30" t="str">
        <x:v>LongCat-2.0</x:v>
      </x:c>
      <x:c r="Q518" s="30" t="str">
        <x:v>LongCat-2.0</x:v>
      </x:c>
      <x:c r="R518" s="30" t="n">
        <x:v>2602.88</x:v>
      </x:c>
      <x:c r="S518"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19">
      <x:c r="A519" s="30" t="str">
        <x:v>memos_long:697</x:v>
      </x:c>
      <x:c r="B519" s="30" t="str">
        <x:v>long</x:v>
      </x:c>
      <x:c r="C519" s="30" t="str">
        <x:v>Multi-hop Inference</x:v>
      </x:c>
      <x:c r="D519" s="30" t="n">
        <x:v>2</x:v>
      </x:c>
      <x:c r="E519" s="30" t="str">
        <x:v>What challenges did Sarah face in achieving her life goal by Jan 07, 2042, and how did she plan to overcome them?</x:v>
      </x:c>
      <x:c r="F519" s="30" t="str">
        <x:v>Navigating politics; leveraging partnerships and setting ambitious goals.</x:v>
      </x:c>
      <x:c r="G519" s="30" t="str">
        <x:v>Navigating complex political landscapes.</x:v>
      </x:c>
      <x:c r="H519" s="30" t="str">
        <x:v>deepseek-v4-flash</x:v>
      </x:c>
      <x:c r="I519" s="30" t="str">
        <x:v>deepseek-v4-flash</x:v>
      </x:c>
      <x:c r="J519" s="30" t="str">
        <x:v>7af10579a0b2d019f87e2561c3291e6e565b55ebba11ab4a01b6f67dc058f882</x:v>
      </x:c>
      <x:c r="K519" s="30" t="str">
        <x:v>3f9c910e4e89b905f93a6078112c1284d8d86d696c89e8d3936f7977ce4574a8</x:v>
      </x:c>
      <x:c r="L519" s="30" t="n">
        <x:v>575.6</x:v>
      </x:c>
      <x:c r="M519" s="30" t="str">
        <x:v>{"completion_tokens": 6, "prompt_tokens": 608, "total_tokens": 614, "completion_tokens_details": null, "prompt_tokens_details": {"audio_tokens": null, "cached_tokens": 512}, "prompt_cache_hit_tokens": 512, "prompt_cache_miss_tokens": 96}</x:v>
      </x:c>
      <x:c r="N519" s="30" t="str">
        <x:v>omission</x:v>
      </x:c>
      <x:c r="O519"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P519" s="30" t="str">
        <x:v>LongCat-2.0</x:v>
      </x:c>
      <x:c r="Q519" s="30" t="str">
        <x:v>LongCat-2.0</x:v>
      </x:c>
      <x:c r="R519" s="30" t="n">
        <x:v>2910.63</x:v>
      </x:c>
      <x:c r="S519" s="30" t="str">
        <x:v>{"completion_tokens": 72, "prompt_tokens": 165,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20">
      <x:c r="A520" s="30" t="str">
        <x:v>memos_long:697</x:v>
      </x:c>
      <x:c r="B520" s="30" t="str">
        <x:v>long</x:v>
      </x:c>
      <x:c r="C520" s="30" t="str">
        <x:v>Multi-hop Inference</x:v>
      </x:c>
      <x:c r="D520" s="30" t="n">
        <x:v>3</x:v>
      </x:c>
      <x:c r="E520" s="30" t="str">
        <x:v>What challenges did Sarah face in achieving her life goal by Jan 07, 2042, and how did she plan to overcome them?</x:v>
      </x:c>
      <x:c r="F520" s="30" t="str">
        <x:v>Navigating politics; leveraging partnerships and setting ambitious goals.</x:v>
      </x:c>
      <x:c r="G520" s="30" t="str">
        <x:v>Navigating complex political landscapes.</x:v>
      </x:c>
      <x:c r="H520" s="30" t="str">
        <x:v>deepseek-v4-flash</x:v>
      </x:c>
      <x:c r="I520" s="30" t="str">
        <x:v>deepseek-v4-flash</x:v>
      </x:c>
      <x:c r="J520" s="30" t="str">
        <x:v>7af10579a0b2d019f87e2561c3291e6e565b55ebba11ab4a01b6f67dc058f882</x:v>
      </x:c>
      <x:c r="K520" s="30" t="str">
        <x:v>3f9c910e4e89b905f93a6078112c1284d8d86d696c89e8d3936f7977ce4574a8</x:v>
      </x:c>
      <x:c r="L520" s="30" t="n">
        <x:v>674.83</x:v>
      </x:c>
      <x:c r="M520" s="30" t="str">
        <x:v>{"completion_tokens": 6, "prompt_tokens": 608, "total_tokens": 614, "completion_tokens_details": null, "prompt_tokens_details": {"audio_tokens": null, "cached_tokens": 512}, "prompt_cache_hit_tokens": 512, "prompt_cache_miss_tokens": 96}</x:v>
      </x:c>
      <x:c r="N520" s="30" t="str">
        <x:v>omission</x:v>
      </x:c>
      <x:c r="O520"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P520" s="30" t="str">
        <x:v>LongCat-2.0</x:v>
      </x:c>
      <x:c r="Q520" s="30" t="str">
        <x:v>LongCat-2.0</x:v>
      </x:c>
      <x:c r="R520" s="30" t="n">
        <x:v>3147.41</x:v>
      </x:c>
      <x:c r="S520" s="30" t="str">
        <x:v>{"completion_tokens": 72, "prompt_tokens": 165,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1">
      <x:c r="A521" s="30" t="str">
        <x:v>memos_long:70</x:v>
      </x:c>
      <x:c r="B521" s="30" t="str">
        <x:v>long</x:v>
      </x:c>
      <x:c r="C521" s="30" t="str">
        <x:v>Generalization &amp; Application</x:v>
      </x:c>
      <x:c r="D521" s="30" t="n">
        <x:v>1</x:v>
      </x:c>
      <x:c r="E521" s="30" t="str">
        <x:v>How might Martin adapt his smoothie recipes for a high-energy event on 2029-05-20?</x:v>
      </x:c>
      <x:c r="F521" s="30" t="str">
        <x:v>Include chia seeds, spirulina, and goji berries.</x:v>
      </x:c>
      <x:c r="G521" s="30" t="str">
        <x:v>Add superfood ingredients.</x:v>
      </x:c>
      <x:c r="H521" s="30" t="str">
        <x:v>deepseek-v4-flash</x:v>
      </x:c>
      <x:c r="I521" s="30" t="str">
        <x:v>deepseek-v4-flash</x:v>
      </x:c>
      <x:c r="J521" s="30" t="str">
        <x:v>330b250223be4605619ab0a982861c07be9dd4c540de15b36d0526d820c46169</x:v>
      </x:c>
      <x:c r="K521" s="30" t="str">
        <x:v>0d3e0234fb15b4df6dad36c8aa06476f087653100e83328883f6d4496ed29b58</x:v>
      </x:c>
      <x:c r="L521" s="30" t="n">
        <x:v>664.02</x:v>
      </x:c>
      <x:c r="M521" s="30" t="str">
        <x:v>{"completion_tokens": 5, "prompt_tokens": 612, "total_tokens": 617, "completion_tokens_details": null, "prompt_tokens_details": {"audio_tokens": null, "cached_tokens": 512}, "prompt_cache_hit_tokens": 512, "prompt_cache_miss_tokens": 100}</x:v>
      </x:c>
      <x:c r="N521" s="30" t="str">
        <x:v>omission</x:v>
      </x:c>
      <x:c r="O521" s="30" t="str">
        <x:v>The model answer 'Add superfood ingredients' is vague and does not specify the concrete ingredients (chia seeds, spirulina, and goji berries) required by the gold answer. It provides only an incomplete, generic subset without adding a false claim.</x:v>
      </x:c>
      <x:c r="P521" s="30" t="str">
        <x:v>LongCat-2.0</x:v>
      </x:c>
      <x:c r="Q521" s="30" t="str">
        <x:v>LongCat-2.0</x:v>
      </x:c>
      <x:c r="R521" s="30" t="n">
        <x:v>3878.18</x:v>
      </x:c>
      <x:c r="S521" s="30" t="str">
        <x:v>{"completion_tokens": 63, "prompt_tokens": 162,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2">
      <x:c r="A522" s="30" t="str">
        <x:v>memos_long:70</x:v>
      </x:c>
      <x:c r="B522" s="30" t="str">
        <x:v>long</x:v>
      </x:c>
      <x:c r="C522" s="30" t="str">
        <x:v>Generalization &amp; Application</x:v>
      </x:c>
      <x:c r="D522" s="30" t="n">
        <x:v>2</x:v>
      </x:c>
      <x:c r="E522" s="30" t="str">
        <x:v>How might Martin adapt his smoothie recipes for a high-energy event on 2029-05-20?</x:v>
      </x:c>
      <x:c r="F522" s="30" t="str">
        <x:v>Include chia seeds, spirulina, and goji berries.</x:v>
      </x:c>
      <x:c r="G522" s="30" t="str">
        <x:v>Add superfood ingredients.</x:v>
      </x:c>
      <x:c r="H522" s="30" t="str">
        <x:v>deepseek-v4-flash</x:v>
      </x:c>
      <x:c r="I522" s="30" t="str">
        <x:v>deepseek-v4-flash</x:v>
      </x:c>
      <x:c r="J522" s="30" t="str">
        <x:v>330b250223be4605619ab0a982861c07be9dd4c540de15b36d0526d820c46169</x:v>
      </x:c>
      <x:c r="K522" s="30" t="str">
        <x:v>0d3e0234fb15b4df6dad36c8aa06476f087653100e83328883f6d4496ed29b58</x:v>
      </x:c>
      <x:c r="L522" s="30" t="n">
        <x:v>548.86</x:v>
      </x:c>
      <x:c r="M522" s="30" t="str">
        <x:v>{"completion_tokens": 5, "prompt_tokens": 612, "total_tokens": 617, "completion_tokens_details": null, "prompt_tokens_details": {"audio_tokens": null, "cached_tokens": 512}, "prompt_cache_hit_tokens": 512, "prompt_cache_miss_tokens": 100}</x:v>
      </x:c>
      <x:c r="N522" s="30" t="str">
        <x:v>omission</x:v>
      </x:c>
      <x:c r="O522" s="30" t="str">
        <x:v>The model answer 'Add superfood ingredients' is too vague and does not specify the concrete ingredients (chia seeds, spirulina, and goji berries) required by the gold answer. It provides only an incomplete subset without adding a false claim, so it qualifies as an omission.</x:v>
      </x:c>
      <x:c r="P522" s="30" t="str">
        <x:v>LongCat-2.0</x:v>
      </x:c>
      <x:c r="Q522" s="30" t="str">
        <x:v>LongCat-2.0</x:v>
      </x:c>
      <x:c r="R522" s="30" t="n">
        <x:v>4808.67</x:v>
      </x:c>
      <x:c r="S522" s="30" t="str">
        <x:v>{"completion_tokens": 69, "prompt_tokens": 162, "total_tokens": 231,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23">
      <x:c r="A523" s="30" t="str">
        <x:v>memos_long:70</x:v>
      </x:c>
      <x:c r="B523" s="30" t="str">
        <x:v>long</x:v>
      </x:c>
      <x:c r="C523" s="30" t="str">
        <x:v>Generalization &amp; Application</x:v>
      </x:c>
      <x:c r="D523" s="30" t="n">
        <x:v>3</x:v>
      </x:c>
      <x:c r="E523" s="30" t="str">
        <x:v>How might Martin adapt his smoothie recipes for a high-energy event on 2029-05-20?</x:v>
      </x:c>
      <x:c r="F523" s="30" t="str">
        <x:v>Include chia seeds, spirulina, and goji berries.</x:v>
      </x:c>
      <x:c r="G523" s="30" t="str">
        <x:v>Add superfood ingredients.</x:v>
      </x:c>
      <x:c r="H523" s="30" t="str">
        <x:v>deepseek-v4-flash</x:v>
      </x:c>
      <x:c r="I523" s="30" t="str">
        <x:v>deepseek-v4-flash</x:v>
      </x:c>
      <x:c r="J523" s="30" t="str">
        <x:v>330b250223be4605619ab0a982861c07be9dd4c540de15b36d0526d820c46169</x:v>
      </x:c>
      <x:c r="K523" s="30" t="str">
        <x:v>0d3e0234fb15b4df6dad36c8aa06476f087653100e83328883f6d4496ed29b58</x:v>
      </x:c>
      <x:c r="L523" s="30" t="n">
        <x:v>721.08</x:v>
      </x:c>
      <x:c r="M523" s="30" t="str">
        <x:v>{"completion_tokens": 5, "prompt_tokens": 612, "total_tokens": 617, "completion_tokens_details": null, "prompt_tokens_details": {"audio_tokens": null, "cached_tokens": 512}, "prompt_cache_hit_tokens": 512, "prompt_cache_miss_tokens": 100}</x:v>
      </x:c>
      <x:c r="N523" s="30" t="str">
        <x:v>omission</x:v>
      </x:c>
      <x:c r="O523" s="30" t="str">
        <x:v>The model answer 'Add superfood ingredients' is vague and does not specify the concrete ingredients (chia seeds, spirulina, goji berries) required by the gold answer. It provides only an incomplete subset without adding a false claim, so it qualifies as an omission.</x:v>
      </x:c>
      <x:c r="P523" s="30" t="str">
        <x:v>LongCat-2.0</x:v>
      </x:c>
      <x:c r="Q523" s="30" t="str">
        <x:v>LongCat-2.0</x:v>
      </x:c>
      <x:c r="R523" s="30" t="n">
        <x:v>3609.28</x:v>
      </x:c>
      <x:c r="S523" s="30" t="str">
        <x:v>{"completion_tokens": 67, "prompt_tokens": 162,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4">
      <x:c r="A524" s="30" t="str">
        <x:v>memos_long:721</x:v>
      </x:c>
      <x:c r="B524" s="30" t="str">
        <x:v>long</x:v>
      </x:c>
      <x:c r="C524" s="30" t="str">
        <x:v>Dynamic Update</x:v>
      </x:c>
      <x:c r="D524" s="30" t="n">
        <x:v>1</x:v>
      </x:c>
      <x:c r="E524" s="30" t="str">
        <x:v>How has Donna Gonzalez's health status changed since Jan 11, 2026?</x:v>
      </x:c>
      <x:c r="F524" s="30" t="str">
        <x:v>Diagnosed with a chronic disease</x:v>
      </x:c>
      <x:c r="G524" s="30" t="str">
        <x:v>Diagnosed with chronic disease.</x:v>
      </x:c>
      <x:c r="H524" s="30" t="str">
        <x:v>deepseek-v4-flash</x:v>
      </x:c>
      <x:c r="I524" s="30" t="str">
        <x:v>deepseek-v4-flash</x:v>
      </x:c>
      <x:c r="J524" s="30" t="str">
        <x:v>e03c16e8c92108b945ae8a6bd88e6639b8dd3b489cf581631df657934bd29f53</x:v>
      </x:c>
      <x:c r="K524" s="30" t="str">
        <x:v>6096c0a83c172a6b80e2a859892e32a3c8528fc4157339359e19e845cdd4a73b</x:v>
      </x:c>
      <x:c r="L524" s="30" t="n">
        <x:v>563.76</x:v>
      </x:c>
      <x:c r="M524" s="30" t="str">
        <x:v>{"completion_tokens": 6, "prompt_tokens": 557, "total_tokens": 563, "completion_tokens_details": null, "prompt_tokens_details": {"audio_tokens": null, "cached_tokens": 512}, "prompt_cache_hit_tokens": 512, "prompt_cache_miss_tokens": 45}</x:v>
      </x:c>
      <x:c r="N524" s="30" t="str">
        <x:v>correct</x:v>
      </x:c>
      <x:c r="O524"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524" s="30" t="str">
        <x:v>LongCat-2.0</x:v>
      </x:c>
      <x:c r="Q524" s="30" t="str">
        <x:v>LongCat-2.0</x:v>
      </x:c>
      <x:c r="R524" s="30" t="n">
        <x:v>3033.48</x:v>
      </x:c>
      <x:c r="S524" s="30" t="str">
        <x:v>{"completion_tokens": 69, "prompt_tokens": 150, "total_tokens": 219,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25">
      <x:c r="A525" s="30" t="str">
        <x:v>memos_long:721</x:v>
      </x:c>
      <x:c r="B525" s="30" t="str">
        <x:v>long</x:v>
      </x:c>
      <x:c r="C525" s="30" t="str">
        <x:v>Dynamic Update</x:v>
      </x:c>
      <x:c r="D525" s="30" t="n">
        <x:v>2</x:v>
      </x:c>
      <x:c r="E525" s="30" t="str">
        <x:v>How has Donna Gonzalez's health status changed since Jan 11, 2026?</x:v>
      </x:c>
      <x:c r="F525" s="30" t="str">
        <x:v>Diagnosed with a chronic disease</x:v>
      </x:c>
      <x:c r="G525" s="30" t="str">
        <x:v>Diagnosed with chronic disease.</x:v>
      </x:c>
      <x:c r="H525" s="30" t="str">
        <x:v>deepseek-v4-flash</x:v>
      </x:c>
      <x:c r="I525" s="30" t="str">
        <x:v>deepseek-v4-flash</x:v>
      </x:c>
      <x:c r="J525" s="30" t="str">
        <x:v>e03c16e8c92108b945ae8a6bd88e6639b8dd3b489cf581631df657934bd29f53</x:v>
      </x:c>
      <x:c r="K525" s="30" t="str">
        <x:v>6096c0a83c172a6b80e2a859892e32a3c8528fc4157339359e19e845cdd4a73b</x:v>
      </x:c>
      <x:c r="L525" s="30" t="n">
        <x:v>658.96</x:v>
      </x:c>
      <x:c r="M525" s="30" t="str">
        <x:v>{"completion_tokens": 6, "prompt_tokens": 557, "total_tokens": 563, "completion_tokens_details": null, "prompt_tokens_details": {"audio_tokens": null, "cached_tokens": 512}, "prompt_cache_hit_tokens": 512, "prompt_cache_miss_tokens": 45}</x:v>
      </x:c>
      <x:c r="N525" s="30" t="str">
        <x:v>correct</x:v>
      </x:c>
      <x:c r="O525"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525" s="30" t="str">
        <x:v>LongCat-2.0</x:v>
      </x:c>
      <x:c r="Q525" s="30" t="str">
        <x:v>LongCat-2.0</x:v>
      </x:c>
      <x:c r="R525" s="30" t="n">
        <x:v>2566.29</x:v>
      </x:c>
      <x:c r="S525" s="30" t="str">
        <x:v>{"completion_tokens": 69, "prompt_tokens": 150,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6">
      <x:c r="A526" s="30" t="str">
        <x:v>memos_long:721</x:v>
      </x:c>
      <x:c r="B526" s="30" t="str">
        <x:v>long</x:v>
      </x:c>
      <x:c r="C526" s="30" t="str">
        <x:v>Dynamic Update</x:v>
      </x:c>
      <x:c r="D526" s="30" t="n">
        <x:v>3</x:v>
      </x:c>
      <x:c r="E526" s="30" t="str">
        <x:v>How has Donna Gonzalez's health status changed since Jan 11, 2026?</x:v>
      </x:c>
      <x:c r="F526" s="30" t="str">
        <x:v>Diagnosed with a chronic disease</x:v>
      </x:c>
      <x:c r="G526" s="30" t="str">
        <x:v>Diagnosed with chronic disease.</x:v>
      </x:c>
      <x:c r="H526" s="30" t="str">
        <x:v>deepseek-v4-flash</x:v>
      </x:c>
      <x:c r="I526" s="30" t="str">
        <x:v>deepseek-v4-flash</x:v>
      </x:c>
      <x:c r="J526" s="30" t="str">
        <x:v>e03c16e8c92108b945ae8a6bd88e6639b8dd3b489cf581631df657934bd29f53</x:v>
      </x:c>
      <x:c r="K526" s="30" t="str">
        <x:v>6096c0a83c172a6b80e2a859892e32a3c8528fc4157339359e19e845cdd4a73b</x:v>
      </x:c>
      <x:c r="L526" s="30" t="n">
        <x:v>613.09</x:v>
      </x:c>
      <x:c r="M526" s="30" t="str">
        <x:v>{"completion_tokens": 6, "prompt_tokens": 557, "total_tokens": 563, "completion_tokens_details": null, "prompt_tokens_details": {"audio_tokens": null, "cached_tokens": 512}, "prompt_cache_hit_tokens": 512, "prompt_cache_miss_tokens": 45}</x:v>
      </x:c>
      <x:c r="N526" s="30" t="str">
        <x:v>correct</x:v>
      </x:c>
      <x:c r="O526"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526" s="30" t="str">
        <x:v>LongCat-2.0</x:v>
      </x:c>
      <x:c r="Q526" s="30" t="str">
        <x:v>LongCat-2.0</x:v>
      </x:c>
      <x:c r="R526" s="30" t="n">
        <x:v>3744.59</x:v>
      </x:c>
      <x:c r="S526" s="30" t="str">
        <x:v>{"completion_tokens": 69, "prompt_tokens": 150,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7">
      <x:c r="A527" s="30" t="str">
        <x:v>memos_long:765</x:v>
      </x:c>
      <x:c r="B527" s="30" t="str">
        <x:v>long</x:v>
      </x:c>
      <x:c r="C527" s="30" t="str">
        <x:v>Generalization &amp; Application</x:v>
      </x:c>
      <x:c r="D527" s="30" t="n">
        <x:v>1</x:v>
      </x:c>
      <x:c r="E527" s="30" t="str">
        <x:v>What strategies might Donna implement to manage stress as a Creative Director by Aug 2029?</x:v>
      </x:c>
      <x:c r="F527" s="30" t="str">
        <x:v>Regular breaks and mindfulness practices.</x:v>
      </x:c>
      <x:c r="G527" s="30" t="str">
        <x:v>Mindfulness and alternative therapies.</x:v>
      </x:c>
      <x:c r="H527" s="30" t="str">
        <x:v>deepseek-v4-flash</x:v>
      </x:c>
      <x:c r="I527" s="30" t="str">
        <x:v>deepseek-v4-flash</x:v>
      </x:c>
      <x:c r="J527" s="30" t="str">
        <x:v>2ab722e519644338e0a8ff16ecb7cf7640edd01ee9c8c64715ce85f14a79b553</x:v>
      </x:c>
      <x:c r="K527" s="30" t="str">
        <x:v>2fff52ae9af6523ed8aab78b16bffca574302ba4efa6b97e15dd8346be099fb4</x:v>
      </x:c>
      <x:c r="L527" s="30" t="n">
        <x:v>743.31</x:v>
      </x:c>
      <x:c r="M527" s="30" t="str">
        <x:v>{"completion_tokens": 6, "prompt_tokens": 596, "total_tokens": 602, "completion_tokens_details": null, "prompt_tokens_details": {"audio_tokens": null, "cached_tokens": 512}, "prompt_cache_hit_tokens": 512, "prompt_cache_miss_tokens": 84}</x:v>
      </x:c>
      <x:c r="N527" s="30" t="str">
        <x:v>omission</x:v>
      </x:c>
      <x:c r="O527" s="30" t="str">
        <x:v>The model answer mentions 'mindfulness' which partially overlaps with the gold answer, but omits 'regular breaks' which is a key component of the gold answer. Additionally, 'alternative therapies' is not mentioned in the gold answer and is not a supported substitute for the missing 'regular breaks' component.</x:v>
      </x:c>
      <x:c r="P527" s="30" t="str">
        <x:v>LongCat-2.0</x:v>
      </x:c>
      <x:c r="Q527" s="30" t="str">
        <x:v>LongCat-2.0</x:v>
      </x:c>
      <x:c r="R527" s="30" t="n">
        <x:v>3623.55</x:v>
      </x:c>
      <x:c r="S527" s="30" t="str">
        <x:v>{"completion_tokens": 73, "prompt_tokens": 149,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28">
      <x:c r="A528" s="30" t="str">
        <x:v>memos_long:765</x:v>
      </x:c>
      <x:c r="B528" s="30" t="str">
        <x:v>long</x:v>
      </x:c>
      <x:c r="C528" s="30" t="str">
        <x:v>Generalization &amp; Application</x:v>
      </x:c>
      <x:c r="D528" s="30" t="n">
        <x:v>2</x:v>
      </x:c>
      <x:c r="E528" s="30" t="str">
        <x:v>What strategies might Donna implement to manage stress as a Creative Director by Aug 2029?</x:v>
      </x:c>
      <x:c r="F528" s="30" t="str">
        <x:v>Regular breaks and mindfulness practices.</x:v>
      </x:c>
      <x:c r="G528" s="30" t="str">
        <x:v>Mindfulness and alternative therapies.</x:v>
      </x:c>
      <x:c r="H528" s="30" t="str">
        <x:v>deepseek-v4-flash</x:v>
      </x:c>
      <x:c r="I528" s="30" t="str">
        <x:v>deepseek-v4-flash</x:v>
      </x:c>
      <x:c r="J528" s="30" t="str">
        <x:v>2ab722e519644338e0a8ff16ecb7cf7640edd01ee9c8c64715ce85f14a79b553</x:v>
      </x:c>
      <x:c r="K528" s="30" t="str">
        <x:v>2fff52ae9af6523ed8aab78b16bffca574302ba4efa6b97e15dd8346be099fb4</x:v>
      </x:c>
      <x:c r="L528" s="30" t="n">
        <x:v>718.2</x:v>
      </x:c>
      <x:c r="M528" s="30" t="str">
        <x:v>{"completion_tokens": 6, "prompt_tokens": 596, "total_tokens": 602, "completion_tokens_details": null, "prompt_tokens_details": {"audio_tokens": null, "cached_tokens": 512}, "prompt_cache_hit_tokens": 512, "prompt_cache_miss_tokens": 84}</x:v>
      </x:c>
      <x:c r="N528" s="30" t="str">
        <x:v>omission</x:v>
      </x:c>
      <x:c r="O528" s="30" t="str">
        <x:v>The model answer mentions 'mindfulness' which partially overlaps with the gold answer's 'mindfulness practices', but it omits 'regular breaks' entirely. Additionally, 'alternative therapies' is not supported by the gold answer. Since the model only provides an incomplete subset of the gold answer, it qualifies as an omission.</x:v>
      </x:c>
      <x:c r="P528" s="30" t="str">
        <x:v>LongCat-2.0</x:v>
      </x:c>
      <x:c r="Q528" s="30" t="str">
        <x:v>LongCat-2.0</x:v>
      </x:c>
      <x:c r="R528" s="30" t="n">
        <x:v>3201.23</x:v>
      </x:c>
      <x:c r="S528" s="30" t="str">
        <x:v>{"completion_tokens": 76, "prompt_tokens": 149,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29">
      <x:c r="A529" s="30" t="str">
        <x:v>memos_long:765</x:v>
      </x:c>
      <x:c r="B529" s="30" t="str">
        <x:v>long</x:v>
      </x:c>
      <x:c r="C529" s="30" t="str">
        <x:v>Generalization &amp; Application</x:v>
      </x:c>
      <x:c r="D529" s="30" t="n">
        <x:v>3</x:v>
      </x:c>
      <x:c r="E529" s="30" t="str">
        <x:v>What strategies might Donna implement to manage stress as a Creative Director by Aug 2029?</x:v>
      </x:c>
      <x:c r="F529" s="30" t="str">
        <x:v>Regular breaks and mindfulness practices.</x:v>
      </x:c>
      <x:c r="G529" s="30" t="str">
        <x:v>Mindfulness and alternative therapies.</x:v>
      </x:c>
      <x:c r="H529" s="30" t="str">
        <x:v>deepseek-v4-flash</x:v>
      </x:c>
      <x:c r="I529" s="30" t="str">
        <x:v>deepseek-v4-flash</x:v>
      </x:c>
      <x:c r="J529" s="30" t="str">
        <x:v>2ab722e519644338e0a8ff16ecb7cf7640edd01ee9c8c64715ce85f14a79b553</x:v>
      </x:c>
      <x:c r="K529" s="30" t="str">
        <x:v>2fff52ae9af6523ed8aab78b16bffca574302ba4efa6b97e15dd8346be099fb4</x:v>
      </x:c>
      <x:c r="L529" s="30" t="n">
        <x:v>800.48</x:v>
      </x:c>
      <x:c r="M529" s="30" t="str">
        <x:v>{"completion_tokens": 6, "prompt_tokens": 596, "total_tokens": 602, "completion_tokens_details": null, "prompt_tokens_details": {"audio_tokens": null, "cached_tokens": 512}, "prompt_cache_hit_tokens": 512, "prompt_cache_miss_tokens": 84}</x:v>
      </x:c>
      <x:c r="N529" s="30" t="str">
        <x:v>omission</x:v>
      </x:c>
      <x:c r="O529" s="30" t="str">
        <x:v>The gold answer includes two strategies: 'regular breaks' and 'mindfulness practices.' The model answer mentions 'mindfulness' (matching one part) but replaces 'regular breaks' with 'alternative therapies,' which is not supported by the gold answer. Since the model omits a key component of the gold answer and does not fully cover it, this is an omission.</x:v>
      </x:c>
      <x:c r="P529" s="30" t="str">
        <x:v>LongCat-2.0</x:v>
      </x:c>
      <x:c r="Q529" s="30" t="str">
        <x:v>LongCat-2.0</x:v>
      </x:c>
      <x:c r="R529" s="30" t="n">
        <x:v>13592.73</x:v>
      </x:c>
      <x:c r="S529" s="30" t="str">
        <x:v>{"completion_tokens": 87, "prompt_tokens": 149,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0">
      <x:c r="A530" s="30" t="str">
        <x:v>memos_long:77</x:v>
      </x:c>
      <x:c r="B530" s="30" t="str">
        <x:v>long</x:v>
      </x:c>
      <x:c r="C530" s="30" t="str">
        <x:v>Memory Conflict</x:v>
      </x:c>
      <x:c r="D530" s="30" t="n">
        <x:v>1</x:v>
      </x:c>
      <x:c r="E530" s="30" t="str">
        <x:v>Did Martin Mark express optimism about his future role as Senior Director before June 2029?</x:v>
      </x:c>
      <x:c r="F530" s="30" t="str">
        <x:v>Yes, in May 2029, he viewed challenges as growth opportunities.</x:v>
      </x:c>
      <x:c r="G530" s="30" t="str">
        <x:v>Yes, before June 2029.</x:v>
      </x:c>
      <x:c r="H530" s="30" t="str">
        <x:v>deepseek-v4-flash</x:v>
      </x:c>
      <x:c r="I530" s="30" t="str">
        <x:v>deepseek-v4-flash</x:v>
      </x:c>
      <x:c r="J530" s="30" t="str">
        <x:v>ff8f5d1805a0f8ee4b9831dbf8a5c0919dd89420a704b0da5f20b434ee0ec325</x:v>
      </x:c>
      <x:c r="K530" s="30" t="str">
        <x:v>301d49e0ce8d26714fbf39df3736285d54e43b3dcfddbc107c3f58bb6cb4118c</x:v>
      </x:c>
      <x:c r="L530" s="30" t="n">
        <x:v>787.33</x:v>
      </x:c>
      <x:c r="M530" s="30" t="str">
        <x:v>{"completion_tokens": 8, "prompt_tokens": 579, "total_tokens": 587, "completion_tokens_details": null, "prompt_tokens_details": {"audio_tokens": null, "cached_tokens": 512}, "prompt_cache_hit_tokens": 512, "prompt_cache_miss_tokens": 67}</x:v>
      </x:c>
      <x:c r="N530" s="30" t="str">
        <x:v>omission</x:v>
      </x:c>
      <x:c r="O530" s="30" t="str">
        <x:v>The model answer confirms the timeframe but omits the key detail from the gold answer that he viewed challenges as growth opportunities, providing only an incomplete subset of the information.</x:v>
      </x:c>
      <x:c r="P530" s="30" t="str">
        <x:v>LongCat-2.0</x:v>
      </x:c>
      <x:c r="Q530" s="30" t="str">
        <x:v>LongCat-2.0</x:v>
      </x:c>
      <x:c r="R530" s="30" t="n">
        <x:v>2341.92</x:v>
      </x:c>
      <x:c r="S530" s="30" t="str">
        <x:v>{"completion_tokens": 46, "prompt_tokens": 164,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1">
      <x:c r="A531" s="30" t="str">
        <x:v>memos_long:77</x:v>
      </x:c>
      <x:c r="B531" s="30" t="str">
        <x:v>long</x:v>
      </x:c>
      <x:c r="C531" s="30" t="str">
        <x:v>Memory Conflict</x:v>
      </x:c>
      <x:c r="D531" s="30" t="n">
        <x:v>2</x:v>
      </x:c>
      <x:c r="E531" s="30" t="str">
        <x:v>Did Martin Mark express optimism about his future role as Senior Director before June 2029?</x:v>
      </x:c>
      <x:c r="F531" s="30" t="str">
        <x:v>Yes, in May 2029, he viewed challenges as growth opportunities.</x:v>
      </x:c>
      <x:c r="G531" s="30" t="str">
        <x:v>Yes, before June 2029.</x:v>
      </x:c>
      <x:c r="H531" s="30" t="str">
        <x:v>deepseek-v4-flash</x:v>
      </x:c>
      <x:c r="I531" s="30" t="str">
        <x:v>deepseek-v4-flash</x:v>
      </x:c>
      <x:c r="J531" s="30" t="str">
        <x:v>ff8f5d1805a0f8ee4b9831dbf8a5c0919dd89420a704b0da5f20b434ee0ec325</x:v>
      </x:c>
      <x:c r="K531" s="30" t="str">
        <x:v>301d49e0ce8d26714fbf39df3736285d54e43b3dcfddbc107c3f58bb6cb4118c</x:v>
      </x:c>
      <x:c r="L531" s="30" t="n">
        <x:v>665.52</x:v>
      </x:c>
      <x:c r="M531" s="30" t="str">
        <x:v>{"completion_tokens": 8, "prompt_tokens": 579, "total_tokens": 587, "completion_tokens_details": null, "prompt_tokens_details": {"audio_tokens": null, "cached_tokens": 512}, "prompt_cache_hit_tokens": 512, "prompt_cache_miss_tokens": 67}</x:v>
      </x:c>
      <x:c r="N531" s="30" t="str">
        <x:v>omission</x:v>
      </x:c>
      <x:c r="O531" s="30" t="str">
        <x:v>The model answer confirms the timeframe but omits the key detail from the gold answer that Martin Mark viewed challenges as growth opportunities, providing only an incomplete subset of the information.</x:v>
      </x:c>
      <x:c r="P531" s="30" t="str">
        <x:v>LongCat-2.0</x:v>
      </x:c>
      <x:c r="Q531" s="30" t="str">
        <x:v>LongCat-2.0</x:v>
      </x:c>
      <x:c r="R531" s="30" t="n">
        <x:v>2314.04</x:v>
      </x:c>
      <x:c r="S531" s="30" t="str">
        <x:v>{"completion_tokens": 47, "prompt_tokens": 164,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2">
      <x:c r="A532" s="30" t="str">
        <x:v>memos_long:77</x:v>
      </x:c>
      <x:c r="B532" s="30" t="str">
        <x:v>long</x:v>
      </x:c>
      <x:c r="C532" s="30" t="str">
        <x:v>Memory Conflict</x:v>
      </x:c>
      <x:c r="D532" s="30" t="n">
        <x:v>3</x:v>
      </x:c>
      <x:c r="E532" s="30" t="str">
        <x:v>Did Martin Mark express optimism about his future role as Senior Director before June 2029?</x:v>
      </x:c>
      <x:c r="F532" s="30" t="str">
        <x:v>Yes, in May 2029, he viewed challenges as growth opportunities.</x:v>
      </x:c>
      <x:c r="G532" s="30" t="str">
        <x:v>Yes, before June 2029.</x:v>
      </x:c>
      <x:c r="H532" s="30" t="str">
        <x:v>deepseek-v4-flash</x:v>
      </x:c>
      <x:c r="I532" s="30" t="str">
        <x:v>deepseek-v4-flash</x:v>
      </x:c>
      <x:c r="J532" s="30" t="str">
        <x:v>ff8f5d1805a0f8ee4b9831dbf8a5c0919dd89420a704b0da5f20b434ee0ec325</x:v>
      </x:c>
      <x:c r="K532" s="30" t="str">
        <x:v>301d49e0ce8d26714fbf39df3736285d54e43b3dcfddbc107c3f58bb6cb4118c</x:v>
      </x:c>
      <x:c r="L532" s="30" t="n">
        <x:v>561.39</x:v>
      </x:c>
      <x:c r="M532" s="30" t="str">
        <x:v>{"completion_tokens": 8, "prompt_tokens": 579, "total_tokens": 587, "completion_tokens_details": null, "prompt_tokens_details": {"audio_tokens": null, "cached_tokens": 512}, "prompt_cache_hit_tokens": 512, "prompt_cache_miss_tokens": 67}</x:v>
      </x:c>
      <x:c r="N532" s="30" t="str">
        <x:v>omission</x:v>
      </x:c>
      <x:c r="O532" s="30" t="str">
        <x:v>The model answer confirms the timeframe but omits the key detail from the gold answer that Martin Mark viewed challenges as growth opportunities, providing only an incomplete subset of the information.</x:v>
      </x:c>
      <x:c r="P532" s="30" t="str">
        <x:v>LongCat-2.0</x:v>
      </x:c>
      <x:c r="Q532" s="30" t="str">
        <x:v>LongCat-2.0</x:v>
      </x:c>
      <x:c r="R532" s="30" t="n">
        <x:v>2237.56</x:v>
      </x:c>
      <x:c r="S532" s="30" t="str">
        <x:v>{"completion_tokens": 47, "prompt_tokens": 164,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33">
      <x:c r="A533" s="30" t="str">
        <x:v>memos_long:789</x:v>
      </x:c>
      <x:c r="B533" s="30" t="str">
        <x:v>long</x:v>
      </x:c>
      <x:c r="C533" s="30" t="str">
        <x:v>Multi-hop Inference</x:v>
      </x:c>
      <x:c r="D533" s="30" t="n">
        <x:v>1</x:v>
      </x:c>
      <x:c r="E533" s="30" t="str">
        <x:v>What strategies did Donna use to manage her health challenges and career demands by Aug 20, 2031?</x:v>
      </x:c>
      <x:c r="F533" s="30" t="str">
        <x:v>Mindfulness, regular breaks, and leveraging her social network.</x:v>
      </x:c>
      <x:c r="G533" s="30" t="str">
        <x:v>Mindfulness and social support.</x:v>
      </x:c>
      <x:c r="H533" s="30" t="str">
        <x:v>deepseek-v4-flash</x:v>
      </x:c>
      <x:c r="I533" s="30" t="str">
        <x:v>deepseek-v4-flash</x:v>
      </x:c>
      <x:c r="J533" s="30" t="str">
        <x:v>829dfee7a5b23c43f15c4c218b8ff2c246871ce30b091122767a8a7f3239a698</x:v>
      </x:c>
      <x:c r="K533" s="30" t="str">
        <x:v>d372a1aa113ae642d682c7d6df743604f5c5f05bee667c01a0664aa148d94d74</x:v>
      </x:c>
      <x:c r="L533" s="30" t="n">
        <x:v>621.91</x:v>
      </x:c>
      <x:c r="M533" s="30" t="str">
        <x:v>{"completion_tokens": 6, "prompt_tokens": 624, "total_tokens": 630, "completion_tokens_details": null, "prompt_tokens_details": {"audio_tokens": null, "cached_tokens": 512}, "prompt_cache_hit_tokens": 512, "prompt_cache_miss_tokens": 112}</x:v>
      </x:c>
      <x:c r="N533" s="30" t="str">
        <x:v>omission</x:v>
      </x:c>
      <x:c r="O533" s="30" t="str">
        <x:v>The model answer includes 'mindfulness' and 'social support' (which aligns with 'leveraging her social network'), but omits 'regular breaks' from the gold answer. Since it provides only an incomplete subset without adding a false claim, it is an omission.</x:v>
      </x:c>
      <x:c r="P533" s="30" t="str">
        <x:v>LongCat-2.0</x:v>
      </x:c>
      <x:c r="Q533" s="30" t="str">
        <x:v>LongCat-2.0</x:v>
      </x:c>
      <x:c r="R533" s="30" t="n">
        <x:v>2740.22</x:v>
      </x:c>
      <x:c r="S533" s="30" t="str">
        <x:v>{"completion_tokens": 67, "prompt_tokens": 160,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34">
      <x:c r="A534" s="30" t="str">
        <x:v>memos_long:789</x:v>
      </x:c>
      <x:c r="B534" s="30" t="str">
        <x:v>long</x:v>
      </x:c>
      <x:c r="C534" s="30" t="str">
        <x:v>Multi-hop Inference</x:v>
      </x:c>
      <x:c r="D534" s="30" t="n">
        <x:v>2</x:v>
      </x:c>
      <x:c r="E534" s="30" t="str">
        <x:v>What strategies did Donna use to manage her health challenges and career demands by Aug 20, 2031?</x:v>
      </x:c>
      <x:c r="F534" s="30" t="str">
        <x:v>Mindfulness, regular breaks, and leveraging her social network.</x:v>
      </x:c>
      <x:c r="G534" s="30" t="str">
        <x:v>Mindfulness and social support.</x:v>
      </x:c>
      <x:c r="H534" s="30" t="str">
        <x:v>deepseek-v4-flash</x:v>
      </x:c>
      <x:c r="I534" s="30" t="str">
        <x:v>deepseek-v4-flash</x:v>
      </x:c>
      <x:c r="J534" s="30" t="str">
        <x:v>829dfee7a5b23c43f15c4c218b8ff2c246871ce30b091122767a8a7f3239a698</x:v>
      </x:c>
      <x:c r="K534" s="30" t="str">
        <x:v>d372a1aa113ae642d682c7d6df743604f5c5f05bee667c01a0664aa148d94d74</x:v>
      </x:c>
      <x:c r="L534" s="30" t="n">
        <x:v>721.23</x:v>
      </x:c>
      <x:c r="M534" s="30" t="str">
        <x:v>{"completion_tokens": 6, "prompt_tokens": 624, "total_tokens": 630, "completion_tokens_details": null, "prompt_tokens_details": {"audio_tokens": null, "cached_tokens": 512}, "prompt_cache_hit_tokens": 512, "prompt_cache_miss_tokens": 112}</x:v>
      </x:c>
      <x:c r="N534" s="30" t="str">
        <x:v>omission</x:v>
      </x:c>
      <x:c r="O534" s="30" t="str">
        <x:v>The model answer includes 'mindfulness' and 'social support' (which aligns with 'leveraging her social network'), but omits 'regular breaks' from the gold answer. Since it provides only an incomplete subset without adding a false claim, it is an omission.</x:v>
      </x:c>
      <x:c r="P534" s="30" t="str">
        <x:v>LongCat-2.0</x:v>
      </x:c>
      <x:c r="Q534" s="30" t="str">
        <x:v>LongCat-2.0</x:v>
      </x:c>
      <x:c r="R534" s="30" t="n">
        <x:v>2400.47</x:v>
      </x:c>
      <x:c r="S534" s="30" t="str">
        <x:v>{"completion_tokens": 67, "prompt_tokens": 160,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5">
      <x:c r="A535" s="30" t="str">
        <x:v>memos_long:789</x:v>
      </x:c>
      <x:c r="B535" s="30" t="str">
        <x:v>long</x:v>
      </x:c>
      <x:c r="C535" s="30" t="str">
        <x:v>Multi-hop Inference</x:v>
      </x:c>
      <x:c r="D535" s="30" t="n">
        <x:v>3</x:v>
      </x:c>
      <x:c r="E535" s="30" t="str">
        <x:v>What strategies did Donna use to manage her health challenges and career demands by Aug 20, 2031?</x:v>
      </x:c>
      <x:c r="F535" s="30" t="str">
        <x:v>Mindfulness, regular breaks, and leveraging her social network.</x:v>
      </x:c>
      <x:c r="G535" s="30" t="str">
        <x:v>Mindfulness and social support.</x:v>
      </x:c>
      <x:c r="H535" s="30" t="str">
        <x:v>deepseek-v4-flash</x:v>
      </x:c>
      <x:c r="I535" s="30" t="str">
        <x:v>deepseek-v4-flash</x:v>
      </x:c>
      <x:c r="J535" s="30" t="str">
        <x:v>829dfee7a5b23c43f15c4c218b8ff2c246871ce30b091122767a8a7f3239a698</x:v>
      </x:c>
      <x:c r="K535" s="30" t="str">
        <x:v>d372a1aa113ae642d682c7d6df743604f5c5f05bee667c01a0664aa148d94d74</x:v>
      </x:c>
      <x:c r="L535" s="30" t="n">
        <x:v>771.18</x:v>
      </x:c>
      <x:c r="M535" s="30" t="str">
        <x:v>{"completion_tokens": 6, "prompt_tokens": 624, "total_tokens": 630, "completion_tokens_details": null, "prompt_tokens_details": {"audio_tokens": null, "cached_tokens": 512}, "prompt_cache_hit_tokens": 512, "prompt_cache_miss_tokens": 112}</x:v>
      </x:c>
      <x:c r="N535" s="30" t="str">
        <x:v>omission</x:v>
      </x:c>
      <x:c r="O535" s="30" t="str">
        <x:v>The model answer includes 'mindfulness' and 'social support' (which aligns with 'leveraging her social network'), but omits 'regular breaks' from the gold answer. Since it provides only an incomplete subset without adding a false claim, it is an omission.</x:v>
      </x:c>
      <x:c r="P535" s="30" t="str">
        <x:v>LongCat-2.0</x:v>
      </x:c>
      <x:c r="Q535" s="30" t="str">
        <x:v>LongCat-2.0</x:v>
      </x:c>
      <x:c r="R535" s="30" t="n">
        <x:v>2304.24</x:v>
      </x:c>
      <x:c r="S535" s="30" t="str">
        <x:v>{"completion_tokens": 67, "prompt_tokens": 160,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6">
      <x:c r="A536" s="30" t="str">
        <x:v>memos_long:81</x:v>
      </x:c>
      <x:c r="B536" s="30" t="str">
        <x:v>long</x:v>
      </x:c>
      <x:c r="C536" s="30" t="str">
        <x:v>Generalization &amp; Application</x:v>
      </x:c>
      <x:c r="D536" s="30" t="n">
        <x:v>1</x:v>
      </x:c>
      <x:c r="E536" s="30" t="str">
        <x:v>What type of music might Martin explore to enhance his creativity in September 2029?</x:v>
      </x:c>
      <x:c r="F536" s="30" t="str">
        <x:v>Contemporary classical music.</x:v>
      </x:c>
      <x:c r="G536" s="30" t="str">
        <x:v>Contemporary classical music</x:v>
      </x:c>
      <x:c r="H536" s="30" t="str">
        <x:v>deepseek-v4-flash</x:v>
      </x:c>
      <x:c r="I536" s="30" t="str">
        <x:v>deepseek-v4-flash</x:v>
      </x:c>
      <x:c r="J536" s="30" t="str">
        <x:v>ad3df4203feae5d76d76dff6d8be28717c6f65274687c7470f3e4ca24adfdd0f</x:v>
      </x:c>
      <x:c r="K536" s="30" t="str">
        <x:v>a7c23fb4ce247364f86db72779db3d566e941d787ac5a552f0c0feaad2a40218</x:v>
      </x:c>
      <x:c r="L536" s="30" t="n">
        <x:v>575.58</x:v>
      </x:c>
      <x:c r="M536" s="30" t="str">
        <x:v>{"completion_tokens": 3, "prompt_tokens": 604, "total_tokens": 607, "completion_tokens_details": null, "prompt_tokens_details": {"audio_tokens": null, "cached_tokens": 512}, "prompt_cache_hit_tokens": 512, "prompt_cache_miss_tokens": 92}</x:v>
      </x:c>
      <x:c r="N536" s="30" t="str">
        <x:v>correct</x:v>
      </x:c>
      <x:c r="O536" s="30" t="str">
        <x:v>The model answer 'Contemporary classical music' is semantically identical to the benchmark gold answer 'Contemporary classical music.' The wording matches exactly, providing the complete answer without any contradiction or omission.</x:v>
      </x:c>
      <x:c r="P536" s="30" t="str">
        <x:v>LongCat-2.0</x:v>
      </x:c>
      <x:c r="Q536" s="30" t="str">
        <x:v>LongCat-2.0</x:v>
      </x:c>
      <x:c r="R536" s="30" t="n">
        <x:v>2513.11</x:v>
      </x:c>
      <x:c r="S536" s="30" t="str">
        <x:v>{"completion_tokens": 50, "prompt_tokens": 146, "total_tokens": 196,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37">
      <x:c r="A537" s="30" t="str">
        <x:v>memos_long:81</x:v>
      </x:c>
      <x:c r="B537" s="30" t="str">
        <x:v>long</x:v>
      </x:c>
      <x:c r="C537" s="30" t="str">
        <x:v>Generalization &amp; Application</x:v>
      </x:c>
      <x:c r="D537" s="30" t="n">
        <x:v>2</x:v>
      </x:c>
      <x:c r="E537" s="30" t="str">
        <x:v>What type of music might Martin explore to enhance his creativity in September 2029?</x:v>
      </x:c>
      <x:c r="F537" s="30" t="str">
        <x:v>Contemporary classical music.</x:v>
      </x:c>
      <x:c r="G537" s="30" t="str">
        <x:v>Contemporary classical music</x:v>
      </x:c>
      <x:c r="H537" s="30" t="str">
        <x:v>deepseek-v4-flash</x:v>
      </x:c>
      <x:c r="I537" s="30" t="str">
        <x:v>deepseek-v4-flash</x:v>
      </x:c>
      <x:c r="J537" s="30" t="str">
        <x:v>ad3df4203feae5d76d76dff6d8be28717c6f65274687c7470f3e4ca24adfdd0f</x:v>
      </x:c>
      <x:c r="K537" s="30" t="str">
        <x:v>a7c23fb4ce247364f86db72779db3d566e941d787ac5a552f0c0feaad2a40218</x:v>
      </x:c>
      <x:c r="L537" s="30" t="n">
        <x:v>563.66</x:v>
      </x:c>
      <x:c r="M537" s="30" t="str">
        <x:v>{"completion_tokens": 3, "prompt_tokens": 604, "total_tokens": 607, "completion_tokens_details": null, "prompt_tokens_details": {"audio_tokens": null, "cached_tokens": 512}, "prompt_cache_hit_tokens": 512, "prompt_cache_miss_tokens": 92}</x:v>
      </x:c>
      <x:c r="N537" s="30" t="str">
        <x:v>correct</x:v>
      </x:c>
      <x:c r="O537" s="30" t="str">
        <x:v>The model answer 'Contemporary classical music' is semantically identical to the benchmark gold answer 'Contemporary classical music.' The wording is the same, and no information is omitted or contradicted.</x:v>
      </x:c>
      <x:c r="P537" s="30" t="str">
        <x:v>LongCat-2.0</x:v>
      </x:c>
      <x:c r="Q537" s="30" t="str">
        <x:v>LongCat-2.0</x:v>
      </x:c>
      <x:c r="R537" s="30" t="n">
        <x:v>3843.62</x:v>
      </x:c>
      <x:c r="S537" s="30" t="str">
        <x:v>{"completion_tokens": 50, "prompt_tokens": 146,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8">
      <x:c r="A538" s="30" t="str">
        <x:v>memos_long:81</x:v>
      </x:c>
      <x:c r="B538" s="30" t="str">
        <x:v>long</x:v>
      </x:c>
      <x:c r="C538" s="30" t="str">
        <x:v>Generalization &amp; Application</x:v>
      </x:c>
      <x:c r="D538" s="30" t="n">
        <x:v>3</x:v>
      </x:c>
      <x:c r="E538" s="30" t="str">
        <x:v>What type of music might Martin explore to enhance his creativity in September 2029?</x:v>
      </x:c>
      <x:c r="F538" s="30" t="str">
        <x:v>Contemporary classical music.</x:v>
      </x:c>
      <x:c r="G538" s="30" t="str">
        <x:v>Contemporary classical music</x:v>
      </x:c>
      <x:c r="H538" s="30" t="str">
        <x:v>deepseek-v4-flash</x:v>
      </x:c>
      <x:c r="I538" s="30" t="str">
        <x:v>deepseek-v4-flash</x:v>
      </x:c>
      <x:c r="J538" s="30" t="str">
        <x:v>ad3df4203feae5d76d76dff6d8be28717c6f65274687c7470f3e4ca24adfdd0f</x:v>
      </x:c>
      <x:c r="K538" s="30" t="str">
        <x:v>a7c23fb4ce247364f86db72779db3d566e941d787ac5a552f0c0feaad2a40218</x:v>
      </x:c>
      <x:c r="L538" s="30" t="n">
        <x:v>559.91</x:v>
      </x:c>
      <x:c r="M538" s="30" t="str">
        <x:v>{"completion_tokens": 3, "prompt_tokens": 604, "total_tokens": 607, "completion_tokens_details": null, "prompt_tokens_details": {"audio_tokens": null, "cached_tokens": 512}, "prompt_cache_hit_tokens": 512, "prompt_cache_miss_tokens": 92}</x:v>
      </x:c>
      <x:c r="N538" s="30" t="str">
        <x:v>correct</x:v>
      </x:c>
      <x:c r="O538" s="30" t="str">
        <x:v>The model answer 'Contemporary classical music' is semantically identical to the benchmark gold answer 'Contemporary classical music.' The wording matches exactly, providing the complete answer without any contradiction or omission.</x:v>
      </x:c>
      <x:c r="P538" s="30" t="str">
        <x:v>LongCat-2.0</x:v>
      </x:c>
      <x:c r="Q538" s="30" t="str">
        <x:v>LongCat-2.0</x:v>
      </x:c>
      <x:c r="R538" s="30" t="n">
        <x:v>3323.28</x:v>
      </x:c>
      <x:c r="S538" s="30" t="str">
        <x:v>{"completion_tokens": 50, "prompt_tokens": 146,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39">
      <x:c r="A539" s="30" t="str">
        <x:v>memos_long:862</x:v>
      </x:c>
      <x:c r="B539" s="30" t="str">
        <x:v>long</x:v>
      </x:c>
      <x:c r="C539" s="30" t="str">
        <x:v>Multi-hop Inference</x:v>
      </x:c>
      <x:c r="D539" s="30" t="n">
        <x:v>1</x:v>
      </x:c>
      <x:c r="E539" s="30" t="str">
        <x:v>What impact did Donna's health recovery have on her professional ambitions by Feb 15, 2038?</x:v>
      </x:c>
      <x:c r="F539" s="30" t="str">
        <x:v>Reignited passion for music composition.</x:v>
      </x:c>
      <x:c r="G539" s="30" t="str">
        <x:v>Reignited passion for music.</x:v>
      </x:c>
      <x:c r="H539" s="30" t="str">
        <x:v>deepseek-v4-flash</x:v>
      </x:c>
      <x:c r="I539" s="30" t="str">
        <x:v>deepseek-v4-flash</x:v>
      </x:c>
      <x:c r="J539" s="30" t="str">
        <x:v>944bc587885e1a2051d5d5f448e8d63e43521a797b4311deabc0ca4219de4db2</x:v>
      </x:c>
      <x:c r="K539" s="30" t="str">
        <x:v>6c72133081d7bc4c9d6fc5d283feaf73b1de609ab76b228ecb2ef21c2a6d2e17</x:v>
      </x:c>
      <x:c r="L539" s="30" t="n">
        <x:v>744.81</x:v>
      </x:c>
      <x:c r="M539" s="30" t="str">
        <x:v>{"completion_tokens": 7, "prompt_tokens": 610, "total_tokens": 617, "completion_tokens_details": null, "prompt_tokens_details": {"audio_tokens": null, "cached_tokens": 512}, "prompt_cache_hit_tokens": 512, "prompt_cache_miss_tokens": 98}</x:v>
      </x:c>
      <x:c r="N539" s="30" t="str">
        <x:v>omission</x:v>
      </x:c>
      <x:c r="O539" s="30" t="str">
        <x:v>The model answer 'Reignited passion for music' is an incomplete subset of the gold answer 'Reignited passion for music composition.' The specific domain 'composition' is omitted, making the answer less precise and incomplete.</x:v>
      </x:c>
      <x:c r="P539" s="30" t="str">
        <x:v>LongCat-2.0</x:v>
      </x:c>
      <x:c r="Q539" s="30" t="str">
        <x:v>LongCat-2.0</x:v>
      </x:c>
      <x:c r="R539" s="30" t="n">
        <x:v>2838.11</x:v>
      </x:c>
      <x:c r="S539" s="30" t="str">
        <x:v>{"completion_tokens": 57, "prompt_tokens": 156,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0">
      <x:c r="A540" s="30" t="str">
        <x:v>memos_long:862</x:v>
      </x:c>
      <x:c r="B540" s="30" t="str">
        <x:v>long</x:v>
      </x:c>
      <x:c r="C540" s="30" t="str">
        <x:v>Multi-hop Inference</x:v>
      </x:c>
      <x:c r="D540" s="30" t="n">
        <x:v>2</x:v>
      </x:c>
      <x:c r="E540" s="30" t="str">
        <x:v>What impact did Donna's health recovery have on her professional ambitions by Feb 15, 2038?</x:v>
      </x:c>
      <x:c r="F540" s="30" t="str">
        <x:v>Reignited passion for music composition.</x:v>
      </x:c>
      <x:c r="G540" s="30" t="str">
        <x:v>Reignited passion for music.</x:v>
      </x:c>
      <x:c r="H540" s="30" t="str">
        <x:v>deepseek-v4-flash</x:v>
      </x:c>
      <x:c r="I540" s="30" t="str">
        <x:v>deepseek-v4-flash</x:v>
      </x:c>
      <x:c r="J540" s="30" t="str">
        <x:v>944bc587885e1a2051d5d5f448e8d63e43521a797b4311deabc0ca4219de4db2</x:v>
      </x:c>
      <x:c r="K540" s="30" t="str">
        <x:v>6c72133081d7bc4c9d6fc5d283feaf73b1de609ab76b228ecb2ef21c2a6d2e17</x:v>
      </x:c>
      <x:c r="L540" s="30" t="n">
        <x:v>732.43</x:v>
      </x:c>
      <x:c r="M540" s="30" t="str">
        <x:v>{"completion_tokens": 7, "prompt_tokens": 610, "total_tokens": 617, "completion_tokens_details": null, "prompt_tokens_details": {"audio_tokens": null, "cached_tokens": 512}, "prompt_cache_hit_tokens": 512, "prompt_cache_miss_tokens": 98}</x:v>
      </x:c>
      <x:c r="N540" s="30" t="str">
        <x:v>omission</x:v>
      </x:c>
      <x:c r="O540" s="30" t="str">
        <x:v>The model answer 'Reignited passion for music' is an incomplete subset of the gold answer 'Reignited passion for music composition.' The specific domain 'composition' is omitted, making the answer less precise and not semantically complete.</x:v>
      </x:c>
      <x:c r="P540" s="30" t="str">
        <x:v>LongCat-2.0</x:v>
      </x:c>
      <x:c r="Q540" s="30" t="str">
        <x:v>LongCat-2.0</x:v>
      </x:c>
      <x:c r="R540" s="30" t="n">
        <x:v>2964.99</x:v>
      </x:c>
      <x:c r="S540" s="30" t="str">
        <x:v>{"completion_tokens": 60, "prompt_tokens": 156,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41">
      <x:c r="A541" s="30" t="str">
        <x:v>memos_long:862</x:v>
      </x:c>
      <x:c r="B541" s="30" t="str">
        <x:v>long</x:v>
      </x:c>
      <x:c r="C541" s="30" t="str">
        <x:v>Multi-hop Inference</x:v>
      </x:c>
      <x:c r="D541" s="30" t="n">
        <x:v>3</x:v>
      </x:c>
      <x:c r="E541" s="30" t="str">
        <x:v>What impact did Donna's health recovery have on her professional ambitions by Feb 15, 2038?</x:v>
      </x:c>
      <x:c r="F541" s="30" t="str">
        <x:v>Reignited passion for music composition.</x:v>
      </x:c>
      <x:c r="G541" s="30" t="str">
        <x:v>Reignited passion for music.</x:v>
      </x:c>
      <x:c r="H541" s="30" t="str">
        <x:v>deepseek-v4-flash</x:v>
      </x:c>
      <x:c r="I541" s="30" t="str">
        <x:v>deepseek-v4-flash</x:v>
      </x:c>
      <x:c r="J541" s="30" t="str">
        <x:v>944bc587885e1a2051d5d5f448e8d63e43521a797b4311deabc0ca4219de4db2</x:v>
      </x:c>
      <x:c r="K541" s="30" t="str">
        <x:v>6c72133081d7bc4c9d6fc5d283feaf73b1de609ab76b228ecb2ef21c2a6d2e17</x:v>
      </x:c>
      <x:c r="L541" s="30" t="n">
        <x:v>796.61</x:v>
      </x:c>
      <x:c r="M541" s="30" t="str">
        <x:v>{"completion_tokens": 7, "prompt_tokens": 610, "total_tokens": 617, "completion_tokens_details": null, "prompt_tokens_details": {"audio_tokens": null, "cached_tokens": 512}, "prompt_cache_hit_tokens": 512, "prompt_cache_miss_tokens": 98}</x:v>
      </x:c>
      <x:c r="N541" s="30" t="str">
        <x:v>omission</x:v>
      </x:c>
      <x:c r="O541" s="30" t="str">
        <x:v>The model answer 'Reignited passion for music' is an incomplete subset of the gold answer 'Reignited passion for music composition.' It omits the specific detail 'composition,' which is a key part of the professional ambition described in the gold answer, and does not add any concrete false claim.</x:v>
      </x:c>
      <x:c r="P541" s="30" t="str">
        <x:v>LongCat-2.0</x:v>
      </x:c>
      <x:c r="Q541" s="30" t="str">
        <x:v>LongCat-2.0</x:v>
      </x:c>
      <x:c r="R541" s="30" t="n">
        <x:v>3494.13</x:v>
      </x:c>
      <x:c r="S541" s="30" t="str">
        <x:v>{"completion_tokens": 73, "prompt_tokens": 156,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2">
      <x:c r="A542" s="30" t="str">
        <x:v>memos_long:88</x:v>
      </x:c>
      <x:c r="B542" s="30" t="str">
        <x:v>long</x:v>
      </x:c>
      <x:c r="C542" s="30" t="str">
        <x:v>Generalization &amp; Application</x:v>
      </x:c>
      <x:c r="D542" s="30" t="n">
        <x:v>1</x:v>
      </x:c>
      <x:c r="E542" s="30" t="str">
        <x:v>Based on Martin Mark's preferences as of Feb 26, 2030, what other pet breeds might he explore for companionship?</x:v>
      </x:c>
      <x:c r="F542" s="30" t="str">
        <x:v>Martin might explore breeds known for social and affectionate traits.</x:v>
      </x:c>
      <x:c r="G542" s="30" t="str">
        <x:v>Sphynx cats and diverse breeds.</x:v>
      </x:c>
      <x:c r="H542" s="30" t="str">
        <x:v>deepseek-v4-flash</x:v>
      </x:c>
      <x:c r="I542" s="30" t="str">
        <x:v>deepseek-v4-flash</x:v>
      </x:c>
      <x:c r="J542" s="30" t="str">
        <x:v>3a754ec88b4906bf51a8181c546de23cbece6a74f335e0fe94b200cc0a32f24a</x:v>
      </x:c>
      <x:c r="K542" s="30" t="str">
        <x:v>b6a870f5a29826ffd216c8a31b345746e0c9e51a27557fcc51dc988f4d9dbfd6</x:v>
      </x:c>
      <x:c r="L542" s="30" t="n">
        <x:v>632.64</x:v>
      </x:c>
      <x:c r="M542" s="30" t="str">
        <x:v>{"completion_tokens": 9, "prompt_tokens": 649, "total_tokens": 658, "completion_tokens_details": null, "prompt_tokens_details": {"audio_tokens": null, "cached_tokens": 640}, "prompt_cache_hit_tokens": 640, "prompt_cache_miss_tokens": 9}</x:v>
      </x:c>
      <x:c r="N542" s="30" t="str">
        <x:v>hallucination</x:v>
      </x:c>
      <x:c r="O542" s="30" t="str">
        <x:v>The gold answer states that Martin might explore breeds known for social and affectionate traits, which is a general category description. The model answer specifies 'Sphynx cats and diverse breeds,' which introduces a concrete, unsupported claim about a specific breed (Sphynx cats) that is not mentioned or implied in the gold answer. This constitutes hallucination because it adds incorrect/unsupported material.</x:v>
      </x:c>
      <x:c r="P542" s="30" t="str">
        <x:v>LongCat-2.0</x:v>
      </x:c>
      <x:c r="Q542" s="30" t="str">
        <x:v>LongCat-2.0</x:v>
      </x:c>
      <x:c r="R542" s="30" t="n">
        <x:v>4008.7</x:v>
      </x:c>
      <x:c r="S542" s="30" t="str">
        <x:v>{"completion_tokens": 92, "prompt_tokens": 168, "total_tokens": 260,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3">
      <x:c r="A543" s="30" t="str">
        <x:v>memos_long:88</x:v>
      </x:c>
      <x:c r="B543" s="30" t="str">
        <x:v>long</x:v>
      </x:c>
      <x:c r="C543" s="30" t="str">
        <x:v>Generalization &amp; Application</x:v>
      </x:c>
      <x:c r="D543" s="30" t="n">
        <x:v>2</x:v>
      </x:c>
      <x:c r="E543" s="30" t="str">
        <x:v>Based on Martin Mark's preferences as of Feb 26, 2030, what other pet breeds might he explore for companionship?</x:v>
      </x:c>
      <x:c r="F543" s="30" t="str">
        <x:v>Martin might explore breeds known for social and affectionate traits.</x:v>
      </x:c>
      <x:c r="G543" s="30" t="str">
        <x:v>Sphynx cats and diverse breeds.</x:v>
      </x:c>
      <x:c r="H543" s="30" t="str">
        <x:v>deepseek-v4-flash</x:v>
      </x:c>
      <x:c r="I543" s="30" t="str">
        <x:v>deepseek-v4-flash</x:v>
      </x:c>
      <x:c r="J543" s="30" t="str">
        <x:v>3a754ec88b4906bf51a8181c546de23cbece6a74f335e0fe94b200cc0a32f24a</x:v>
      </x:c>
      <x:c r="K543" s="30" t="str">
        <x:v>b6a870f5a29826ffd216c8a31b345746e0c9e51a27557fcc51dc988f4d9dbfd6</x:v>
      </x:c>
      <x:c r="L543" s="30" t="n">
        <x:v>830.08</x:v>
      </x:c>
      <x:c r="M543" s="30" t="str">
        <x:v>{"completion_tokens": 9, "prompt_tokens": 649, "total_tokens": 658, "completion_tokens_details": null, "prompt_tokens_details": {"audio_tokens": null, "cached_tokens": 640}, "prompt_cache_hit_tokens": 640, "prompt_cache_miss_tokens": 9}</x:v>
      </x:c>
      <x:c r="N543" s="30" t="str">
        <x:v>hallucination</x:v>
      </x:c>
      <x:c r="O543" s="30" t="str">
        <x:v>The gold answer states that Martin might explore breeds known for social and affectionate traits, which is a general category description. The model answer specifies 'Sphynx cats and diverse breeds,' introducing a concrete breed (Sphynx cats) that is not mentioned or supported by the gold answer, making it unsupported material.</x:v>
      </x:c>
      <x:c r="P543" s="30" t="str">
        <x:v>LongCat-2.0</x:v>
      </x:c>
      <x:c r="Q543" s="30" t="str">
        <x:v>LongCat-2.0</x:v>
      </x:c>
      <x:c r="R543" s="30" t="n">
        <x:v>2744.96</x:v>
      </x:c>
      <x:c r="S543" s="30" t="str">
        <x:v>{"completion_tokens": 78, "prompt_tokens": 168, "total_tokens": 246,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4">
      <x:c r="A544" s="30" t="str">
        <x:v>memos_long:88</x:v>
      </x:c>
      <x:c r="B544" s="30" t="str">
        <x:v>long</x:v>
      </x:c>
      <x:c r="C544" s="30" t="str">
        <x:v>Generalization &amp; Application</x:v>
      </x:c>
      <x:c r="D544" s="30" t="n">
        <x:v>3</x:v>
      </x:c>
      <x:c r="E544" s="30" t="str">
        <x:v>Based on Martin Mark's preferences as of Feb 26, 2030, what other pet breeds might he explore for companionship?</x:v>
      </x:c>
      <x:c r="F544" s="30" t="str">
        <x:v>Martin might explore breeds known for social and affectionate traits.</x:v>
      </x:c>
      <x:c r="G544" s="30" t="str">
        <x:v>Sphynx cats and diverse breeds.</x:v>
      </x:c>
      <x:c r="H544" s="30" t="str">
        <x:v>deepseek-v4-flash</x:v>
      </x:c>
      <x:c r="I544" s="30" t="str">
        <x:v>deepseek-v4-flash</x:v>
      </x:c>
      <x:c r="J544" s="30" t="str">
        <x:v>3a754ec88b4906bf51a8181c546de23cbece6a74f335e0fe94b200cc0a32f24a</x:v>
      </x:c>
      <x:c r="K544" s="30" t="str">
        <x:v>b6a870f5a29826ffd216c8a31b345746e0c9e51a27557fcc51dc988f4d9dbfd6</x:v>
      </x:c>
      <x:c r="L544" s="30" t="n">
        <x:v>612.07</x:v>
      </x:c>
      <x:c r="M544" s="30" t="str">
        <x:v>{"completion_tokens": 9, "prompt_tokens": 649, "total_tokens": 658, "completion_tokens_details": null, "prompt_tokens_details": {"audio_tokens": null, "cached_tokens": 640}, "prompt_cache_hit_tokens": 640, "prompt_cache_miss_tokens": 9}</x:v>
      </x:c>
      <x:c r="N544" s="30" t="str">
        <x:v>hallucination</x:v>
      </x:c>
      <x:c r="O544" s="30" t="str">
        <x:v>The gold answer states Martin might explore breeds known for social and affectionate traits, which is a general category description. The model answer specifies 'Sphynx cats and diverse breeds,' introducing a concrete breed (Sphynx cats) that is not supported by the gold answer and constitutes unsupported material.</x:v>
      </x:c>
      <x:c r="P544" s="30" t="str">
        <x:v>LongCat-2.0</x:v>
      </x:c>
      <x:c r="Q544" s="30" t="str">
        <x:v>LongCat-2.0</x:v>
      </x:c>
      <x:c r="R544" s="30" t="n">
        <x:v>3768.27</x:v>
      </x:c>
      <x:c r="S544" s="30" t="str">
        <x:v>{"completion_tokens": 74, "prompt_tokens": 168, "total_tokens": 242,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45">
      <x:c r="A545" s="30" t="str">
        <x:v>memos_long:9</x:v>
      </x:c>
      <x:c r="B545" s="30" t="str">
        <x:v>long</x:v>
      </x:c>
      <x:c r="C545" s="30" t="str">
        <x:v>Basic Fact Recall</x:v>
      </x:c>
      <x:c r="D545" s="30" t="n">
        <x:v>1</x:v>
      </x:c>
      <x:c r="E545" s="30" t="str">
        <x:v>What type of pets does Martin Mark like?</x:v>
      </x:c>
      <x:c r="F545" s="30" t="str">
        <x:v>Dogs, cats, and parrots.</x:v>
      </x:c>
      <x:c r="G545" s="30" t="str">
        <x:v>Dogs, cats, and parrots</x:v>
      </x:c>
      <x:c r="H545" s="30" t="str">
        <x:v>deepseek-v4-flash</x:v>
      </x:c>
      <x:c r="I545" s="30" t="str">
        <x:v>deepseek-v4-flash</x:v>
      </x:c>
      <x:c r="J545" s="30" t="str">
        <x:v>c7c503395c5ba9b75e356928a79557640f0ff5b011e98d2774e351afc2935184</x:v>
      </x:c>
      <x:c r="K545" s="30" t="str">
        <x:v>8ba9d7819485efc5acf8ee93d1ede582dd59340ceec63490af6acc47fb9f8c8c</x:v>
      </x:c>
      <x:c r="L545" s="30" t="n">
        <x:v>613.12</x:v>
      </x:c>
      <x:c r="M545" s="30" t="str">
        <x:v>{"completion_tokens": 8, "prompt_tokens": 565, "total_tokens": 573, "completion_tokens_details": null, "prompt_tokens_details": {"audio_tokens": null, "cached_tokens": 512}, "prompt_cache_hit_tokens": 512, "prompt_cache_miss_tokens": 53}</x:v>
      </x:c>
      <x:c r="N545" s="30" t="str">
        <x:v>correct</x:v>
      </x:c>
      <x:c r="O545" s="30" t="str">
        <x:v>The model answer 'Dogs, cats, and parrots' is semantically identical to the gold answer 'Dogs, cats, and parrots.' The only difference is the absence of a period at the end, which is a minor punctuation variation that does not affect the semantic completeness of the answer.</x:v>
      </x:c>
      <x:c r="P545" s="30" t="str">
        <x:v>LongCat-2.0</x:v>
      </x:c>
      <x:c r="Q545" s="30" t="str">
        <x:v>LongCat-2.0</x:v>
      </x:c>
      <x:c r="R545" s="30" t="n">
        <x:v>4853.9</x:v>
      </x:c>
      <x:c r="S545" s="30" t="str">
        <x:v>{"completion_tokens": 72, "prompt_tokens": 144,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46">
      <x:c r="A546" s="30" t="str">
        <x:v>memos_long:9</x:v>
      </x:c>
      <x:c r="B546" s="30" t="str">
        <x:v>long</x:v>
      </x:c>
      <x:c r="C546" s="30" t="str">
        <x:v>Basic Fact Recall</x:v>
      </x:c>
      <x:c r="D546" s="30" t="n">
        <x:v>2</x:v>
      </x:c>
      <x:c r="E546" s="30" t="str">
        <x:v>What type of pets does Martin Mark like?</x:v>
      </x:c>
      <x:c r="F546" s="30" t="str">
        <x:v>Dogs, cats, and parrots.</x:v>
      </x:c>
      <x:c r="G546" s="30" t="str">
        <x:v>Dogs, cats, and parrots</x:v>
      </x:c>
      <x:c r="H546" s="30" t="str">
        <x:v>deepseek-v4-flash</x:v>
      </x:c>
      <x:c r="I546" s="30" t="str">
        <x:v>deepseek-v4-flash</x:v>
      </x:c>
      <x:c r="J546" s="30" t="str">
        <x:v>c7c503395c5ba9b75e356928a79557640f0ff5b011e98d2774e351afc2935184</x:v>
      </x:c>
      <x:c r="K546" s="30" t="str">
        <x:v>8ba9d7819485efc5acf8ee93d1ede582dd59340ceec63490af6acc47fb9f8c8c</x:v>
      </x:c>
      <x:c r="L546" s="30" t="n">
        <x:v>752</x:v>
      </x:c>
      <x:c r="M546" s="30" t="str">
        <x:v>{"completion_tokens": 8, "prompt_tokens": 565, "total_tokens": 573, "completion_tokens_details": null, "prompt_tokens_details": {"audio_tokens": null, "cached_tokens": 512}, "prompt_cache_hit_tokens": 512, "prompt_cache_miss_tokens": 53}</x:v>
      </x:c>
      <x:c r="N546" s="30" t="str">
        <x:v>correct</x:v>
      </x:c>
      <x:c r="O546" s="30" t="str">
        <x:v>The model answer 'Dogs, cats, and parrots' is semantically identical to the gold answer 'Dogs, cats, and parrots.' The only difference is the absence of a period, which is a minor punctuation variation that does not affect the meaning. The answer is complete and contains no false or unsupported claims.</x:v>
      </x:c>
      <x:c r="P546" s="30" t="str">
        <x:v>LongCat-2.0</x:v>
      </x:c>
      <x:c r="Q546" s="30" t="str">
        <x:v>LongCat-2.0</x:v>
      </x:c>
      <x:c r="R546" s="30" t="n">
        <x:v>3093.81</x:v>
      </x:c>
      <x:c r="S546" s="30" t="str">
        <x:v>{"completion_tokens": 77, "prompt_tokens": 144,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7">
      <x:c r="A547" s="30" t="str">
        <x:v>memos_long:9</x:v>
      </x:c>
      <x:c r="B547" s="30" t="str">
        <x:v>long</x:v>
      </x:c>
      <x:c r="C547" s="30" t="str">
        <x:v>Basic Fact Recall</x:v>
      </x:c>
      <x:c r="D547" s="30" t="n">
        <x:v>3</x:v>
      </x:c>
      <x:c r="E547" s="30" t="str">
        <x:v>What type of pets does Martin Mark like?</x:v>
      </x:c>
      <x:c r="F547" s="30" t="str">
        <x:v>Dogs, cats, and parrots.</x:v>
      </x:c>
      <x:c r="G547" s="30" t="str">
        <x:v>Dogs, cats, and parrots</x:v>
      </x:c>
      <x:c r="H547" s="30" t="str">
        <x:v>deepseek-v4-flash</x:v>
      </x:c>
      <x:c r="I547" s="30" t="str">
        <x:v>deepseek-v4-flash</x:v>
      </x:c>
      <x:c r="J547" s="30" t="str">
        <x:v>c7c503395c5ba9b75e356928a79557640f0ff5b011e98d2774e351afc2935184</x:v>
      </x:c>
      <x:c r="K547" s="30" t="str">
        <x:v>8ba9d7819485efc5acf8ee93d1ede582dd59340ceec63490af6acc47fb9f8c8c</x:v>
      </x:c>
      <x:c r="L547" s="30" t="n">
        <x:v>1274.14</x:v>
      </x:c>
      <x:c r="M547" s="30" t="str">
        <x:v>{"completion_tokens": 8, "prompt_tokens": 565, "total_tokens": 573, "completion_tokens_details": null, "prompt_tokens_details": {"audio_tokens": null, "cached_tokens": 512}, "prompt_cache_hit_tokens": 512, "prompt_cache_miss_tokens": 53}</x:v>
      </x:c>
      <x:c r="N547" s="30" t="str">
        <x:v>correct</x:v>
      </x:c>
      <x:c r="O547" s="30" t="str">
        <x:v>The model answer lists the same three pet types as the gold answer (dogs, cats, and parrots), with only a minor punctuation difference (missing period), which does not affect semantic completeness.</x:v>
      </x:c>
      <x:c r="P547" s="30" t="str">
        <x:v>LongCat-2.0</x:v>
      </x:c>
      <x:c r="Q547" s="30" t="str">
        <x:v>LongCat-2.0</x:v>
      </x:c>
      <x:c r="R547" s="30" t="n">
        <x:v>4788.17</x:v>
      </x:c>
      <x:c r="S547" s="30" t="str">
        <x:v>{"completion_tokens": 51, "prompt_tokens": 144,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48">
      <x:c r="A548" s="30" t="str">
        <x:v>memos_long:910</x:v>
      </x:c>
      <x:c r="B548" s="30" t="str">
        <x:v>long</x:v>
      </x:c>
      <x:c r="C548" s="30" t="str">
        <x:v>Dynamic Update</x:v>
      </x:c>
      <x:c r="D548" s="30" t="n">
        <x:v>1</x:v>
      </x:c>
      <x:c r="E548" s="30" t="str">
        <x:v>Who is currently providing significant support to Donna during her health challenges as of April 20, 2028?</x:v>
      </x:c>
      <x:c r="F548" s="30" t="str">
        <x:v>Karen</x:v>
      </x:c>
      <x:c r="G548" s="30" t="str">
        <x:v>SmithKaren</x:v>
      </x:c>
      <x:c r="H548" s="30" t="str">
        <x:v>deepseek-v4-flash</x:v>
      </x:c>
      <x:c r="I548" s="30" t="str">
        <x:v>deepseek-v4-flash</x:v>
      </x:c>
      <x:c r="J548" s="30" t="str">
        <x:v>2a7d83e60166d7ba2903dc7251c870318a6bf3be9955a38dcad8e9552a8226af</x:v>
      </x:c>
      <x:c r="K548" s="30" t="str">
        <x:v>56451231a5421b649a06988957661d87a19c13db11a7e99461f09c4ff1291c61</x:v>
      </x:c>
      <x:c r="L548" s="30" t="n">
        <x:v>765.27</x:v>
      </x:c>
      <x:c r="M548" s="30" t="str">
        <x:v>{"completion_tokens": 2, "prompt_tokens": 591, "total_tokens": 593, "completion_tokens_details": null, "prompt_tokens_details": {"audio_tokens": null, "cached_tokens": 512}, "prompt_cache_hit_tokens": 512, "prompt_cache_miss_tokens": 79}</x:v>
      </x:c>
      <x:c r="N548" s="30" t="str">
        <x:v>hallucination</x:v>
      </x:c>
      <x:c r="O548" s="30" t="str">
        <x:v>The gold answer is 'Karen', but the model answer is 'SmithKaren', which adds the unsupported surname 'Smith' to the correct first name. This constitutes a concrete false claim (unsupported material), making it a hallucination rather than a correct answer.</x:v>
      </x:c>
      <x:c r="P548" s="30" t="str">
        <x:v>LongCat-2.0</x:v>
      </x:c>
      <x:c r="Q548" s="30" t="str">
        <x:v>LongCat-2.0</x:v>
      </x:c>
      <x:c r="R548" s="30" t="n">
        <x:v>4316.78</x:v>
      </x:c>
      <x:c r="S548" s="30" t="str">
        <x:v>{"completion_tokens": 64, "prompt_tokens": 147,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49">
      <x:c r="A549" s="30" t="str">
        <x:v>memos_long:910</x:v>
      </x:c>
      <x:c r="B549" s="30" t="str">
        <x:v>long</x:v>
      </x:c>
      <x:c r="C549" s="30" t="str">
        <x:v>Dynamic Update</x:v>
      </x:c>
      <x:c r="D549" s="30" t="n">
        <x:v>2</x:v>
      </x:c>
      <x:c r="E549" s="30" t="str">
        <x:v>Who is currently providing significant support to Donna during her health challenges as of April 20, 2028?</x:v>
      </x:c>
      <x:c r="F549" s="30" t="str">
        <x:v>Karen</x:v>
      </x:c>
      <x:c r="G549" s="30" t="str">
        <x:v>SmithKaren</x:v>
      </x:c>
      <x:c r="H549" s="30" t="str">
        <x:v>deepseek-v4-flash</x:v>
      </x:c>
      <x:c r="I549" s="30" t="str">
        <x:v>deepseek-v4-flash</x:v>
      </x:c>
      <x:c r="J549" s="30" t="str">
        <x:v>2a7d83e60166d7ba2903dc7251c870318a6bf3be9955a38dcad8e9552a8226af</x:v>
      </x:c>
      <x:c r="K549" s="30" t="str">
        <x:v>56451231a5421b649a06988957661d87a19c13db11a7e99461f09c4ff1291c61</x:v>
      </x:c>
      <x:c r="L549" s="30" t="n">
        <x:v>838.08</x:v>
      </x:c>
      <x:c r="M549" s="30" t="str">
        <x:v>{"completion_tokens": 2, "prompt_tokens": 591, "total_tokens": 593, "completion_tokens_details": null, "prompt_tokens_details": {"audio_tokens": null, "cached_tokens": 512}, "prompt_cache_hit_tokens": 512, "prompt_cache_miss_tokens": 79}</x:v>
      </x:c>
      <x:c r="N549" s="30" t="str">
        <x:v>hallucination</x:v>
      </x:c>
      <x:c r="O549" s="30" t="str">
        <x:v>The model answer 'SmithKaren' includes the unsupported/incorrect material 'Smith' which is not part of the gold answer 'Karen'. This constitutes a hallucination as it adds incorrect information to the correct answer.</x:v>
      </x:c>
      <x:c r="P549" s="30" t="str">
        <x:v>LongCat-2.0</x:v>
      </x:c>
      <x:c r="Q549" s="30" t="str">
        <x:v>LongCat-2.0</x:v>
      </x:c>
      <x:c r="R549" s="30" t="n">
        <x:v>3609.88</x:v>
      </x:c>
      <x:c r="S549" s="30" t="str">
        <x:v>{"completion_tokens": 55, "prompt_tokens": 147,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0">
      <x:c r="A550" s="30" t="str">
        <x:v>memos_long:910</x:v>
      </x:c>
      <x:c r="B550" s="30" t="str">
        <x:v>long</x:v>
      </x:c>
      <x:c r="C550" s="30" t="str">
        <x:v>Dynamic Update</x:v>
      </x:c>
      <x:c r="D550" s="30" t="n">
        <x:v>3</x:v>
      </x:c>
      <x:c r="E550" s="30" t="str">
        <x:v>Who is currently providing significant support to Donna during her health challenges as of April 20, 2028?</x:v>
      </x:c>
      <x:c r="F550" s="30" t="str">
        <x:v>Karen</x:v>
      </x:c>
      <x:c r="G550" s="30" t="str">
        <x:v>SmithKaren</x:v>
      </x:c>
      <x:c r="H550" s="30" t="str">
        <x:v>deepseek-v4-flash</x:v>
      </x:c>
      <x:c r="I550" s="30" t="str">
        <x:v>deepseek-v4-flash</x:v>
      </x:c>
      <x:c r="J550" s="30" t="str">
        <x:v>2a7d83e60166d7ba2903dc7251c870318a6bf3be9955a38dcad8e9552a8226af</x:v>
      </x:c>
      <x:c r="K550" s="30" t="str">
        <x:v>56451231a5421b649a06988957661d87a19c13db11a7e99461f09c4ff1291c61</x:v>
      </x:c>
      <x:c r="L550" s="30" t="n">
        <x:v>822.93</x:v>
      </x:c>
      <x:c r="M550" s="30" t="str">
        <x:v>{"completion_tokens": 2, "prompt_tokens": 591, "total_tokens": 593, "completion_tokens_details": null, "prompt_tokens_details": {"audio_tokens": null, "cached_tokens": 512}, "prompt_cache_hit_tokens": 512, "prompt_cache_miss_tokens": 79}</x:v>
      </x:c>
      <x:c r="N550" s="30" t="str">
        <x:v>hallucination</x:v>
      </x:c>
      <x:c r="O550" s="30" t="str">
        <x:v>The gold answer is 'Karen', but the model answer is 'SmithKaren', which adds the unsupported surname 'Smith' to the correct first name. This constitutes a concrete false claim (unsupported material), making it a hallucination rather than a correct answer.</x:v>
      </x:c>
      <x:c r="P550" s="30" t="str">
        <x:v>LongCat-2.0</x:v>
      </x:c>
      <x:c r="Q550" s="30" t="str">
        <x:v>LongCat-2.0</x:v>
      </x:c>
      <x:c r="R550" s="30" t="n">
        <x:v>3973.83</x:v>
      </x:c>
      <x:c r="S550" s="30" t="str">
        <x:v>{"completion_tokens": 64, "prompt_tokens": 147,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1">
      <x:c r="A551" s="30" t="str">
        <x:v>memos_long:912</x:v>
      </x:c>
      <x:c r="B551" s="30" t="str">
        <x:v>long</x:v>
      </x:c>
      <x:c r="C551" s="30" t="str">
        <x:v>Generalization &amp; Application</x:v>
      </x:c>
      <x:c r="D551" s="30" t="n">
        <x:v>1</x:v>
      </x:c>
      <x:c r="E551" s="30" t="str">
        <x:v>How might Donna's reliance on AI for emotional support influence her leadership style in 2028?</x:v>
      </x:c>
      <x:c r="F551" s="30" t="str">
        <x:v>Donna's leadership may become more empathetic.</x:v>
      </x:c>
      <x:c r="G551" s="30" t="str">
        <x:v>Empathetic and task-focused leadership.</x:v>
      </x:c>
      <x:c r="H551" s="30" t="str">
        <x:v>deepseek-v4-flash</x:v>
      </x:c>
      <x:c r="I551" s="30" t="str">
        <x:v>deepseek-v4-flash</x:v>
      </x:c>
      <x:c r="J551" s="30" t="str">
        <x:v>147316df46038f91fc7460653608e14a9e80e81996c684559f0ada778b7600f7</x:v>
      </x:c>
      <x:c r="K551" s="30" t="str">
        <x:v>7673d23845d01b1a93b3af9422a415da6cf76a0618d4b6836814bff6a2297ce6</x:v>
      </x:c>
      <x:c r="L551" s="30" t="n">
        <x:v>629.63</x:v>
      </x:c>
      <x:c r="M551" s="30" t="str">
        <x:v>{"completion_tokens": 8, "prompt_tokens": 565, "total_tokens": 573, "completion_tokens_details": null, "prompt_tokens_details": {"audio_tokens": null, "cached_tokens": 512}, "prompt_cache_hit_tokens": 512, "prompt_cache_miss_tokens": 53}</x:v>
      </x:c>
      <x:c r="N551" s="30" t="str">
        <x:v>hallucination</x:v>
      </x:c>
      <x:c r="O551" s="30" t="str">
        <x:v>The gold answer states that Donna's leadership may become more empathetic. The model answer adds 'task-focused,' which is not supported by or present in the gold answer, making it an unsupported addition that constitutes a hallucination.</x:v>
      </x:c>
      <x:c r="P551" s="30" t="str">
        <x:v>LongCat-2.0</x:v>
      </x:c>
      <x:c r="Q551" s="30" t="str">
        <x:v>LongCat-2.0</x:v>
      </x:c>
      <x:c r="R551" s="30" t="n">
        <x:v>2522.67</x:v>
      </x:c>
      <x:c r="S551" s="30" t="str">
        <x:v>{"completion_tokens": 58, "prompt_tokens": 156,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2">
      <x:c r="A552" s="30" t="str">
        <x:v>memos_long:912</x:v>
      </x:c>
      <x:c r="B552" s="30" t="str">
        <x:v>long</x:v>
      </x:c>
      <x:c r="C552" s="30" t="str">
        <x:v>Generalization &amp; Application</x:v>
      </x:c>
      <x:c r="D552" s="30" t="n">
        <x:v>2</x:v>
      </x:c>
      <x:c r="E552" s="30" t="str">
        <x:v>How might Donna's reliance on AI for emotional support influence her leadership style in 2028?</x:v>
      </x:c>
      <x:c r="F552" s="30" t="str">
        <x:v>Donna's leadership may become more empathetic.</x:v>
      </x:c>
      <x:c r="G552" s="30" t="str">
        <x:v>Empathetic and task-focused leadership.</x:v>
      </x:c>
      <x:c r="H552" s="30" t="str">
        <x:v>deepseek-v4-flash</x:v>
      </x:c>
      <x:c r="I552" s="30" t="str">
        <x:v>deepseek-v4-flash</x:v>
      </x:c>
      <x:c r="J552" s="30" t="str">
        <x:v>147316df46038f91fc7460653608e14a9e80e81996c684559f0ada778b7600f7</x:v>
      </x:c>
      <x:c r="K552" s="30" t="str">
        <x:v>7673d23845d01b1a93b3af9422a415da6cf76a0618d4b6836814bff6a2297ce6</x:v>
      </x:c>
      <x:c r="L552" s="30" t="n">
        <x:v>562.09</x:v>
      </x:c>
      <x:c r="M552" s="30" t="str">
        <x:v>{"completion_tokens": 8, "prompt_tokens": 565, "total_tokens": 573, "completion_tokens_details": null, "prompt_tokens_details": {"audio_tokens": null, "cached_tokens": 512}, "prompt_cache_hit_tokens": 512, "prompt_cache_miss_tokens": 53}</x:v>
      </x:c>
      <x:c r="N552" s="30" t="str">
        <x:v>hallucination</x:v>
      </x:c>
      <x:c r="O552" s="30" t="str">
        <x:v>The gold answer states that Donna's leadership may become more empathetic. The model answer adds 'task-focused,' which is not supported by the gold answer and constitutes unsupported material.</x:v>
      </x:c>
      <x:c r="P552" s="30" t="str">
        <x:v>LongCat-2.0</x:v>
      </x:c>
      <x:c r="Q552" s="30" t="str">
        <x:v>LongCat-2.0</x:v>
      </x:c>
      <x:c r="R552" s="30" t="n">
        <x:v>2654.38</x:v>
      </x:c>
      <x:c r="S552" s="30" t="str">
        <x:v>{"completion_tokens": 48, "prompt_tokens": 156, "total_tokens": 204,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53">
      <x:c r="A553" s="30" t="str">
        <x:v>memos_long:912</x:v>
      </x:c>
      <x:c r="B553" s="30" t="str">
        <x:v>long</x:v>
      </x:c>
      <x:c r="C553" s="30" t="str">
        <x:v>Generalization &amp; Application</x:v>
      </x:c>
      <x:c r="D553" s="30" t="n">
        <x:v>3</x:v>
      </x:c>
      <x:c r="E553" s="30" t="str">
        <x:v>How might Donna's reliance on AI for emotional support influence her leadership style in 2028?</x:v>
      </x:c>
      <x:c r="F553" s="30" t="str">
        <x:v>Donna's leadership may become more empathetic.</x:v>
      </x:c>
      <x:c r="G553" s="30" t="str">
        <x:v>Empathetic and task-focused leadership.</x:v>
      </x:c>
      <x:c r="H553" s="30" t="str">
        <x:v>deepseek-v4-flash</x:v>
      </x:c>
      <x:c r="I553" s="30" t="str">
        <x:v>deepseek-v4-flash</x:v>
      </x:c>
      <x:c r="J553" s="30" t="str">
        <x:v>147316df46038f91fc7460653608e14a9e80e81996c684559f0ada778b7600f7</x:v>
      </x:c>
      <x:c r="K553" s="30" t="str">
        <x:v>7673d23845d01b1a93b3af9422a415da6cf76a0618d4b6836814bff6a2297ce6</x:v>
      </x:c>
      <x:c r="L553" s="30" t="n">
        <x:v>596.95</x:v>
      </x:c>
      <x:c r="M553" s="30" t="str">
        <x:v>{"completion_tokens": 8, "prompt_tokens": 565, "total_tokens": 573, "completion_tokens_details": null, "prompt_tokens_details": {"audio_tokens": null, "cached_tokens": 512}, "prompt_cache_hit_tokens": 512, "prompt_cache_miss_tokens": 53}</x:v>
      </x:c>
      <x:c r="N553" s="30" t="str">
        <x:v>hallucination</x:v>
      </x:c>
      <x:c r="O553" s="30" t="str">
        <x:v>The gold answer states that Donna's leadership may become more empathetic. The model answer adds 'task-focused,' which is not supported by the gold answer and constitutes unsupported material.</x:v>
      </x:c>
      <x:c r="P553" s="30" t="str">
        <x:v>LongCat-2.0</x:v>
      </x:c>
      <x:c r="Q553" s="30" t="str">
        <x:v>LongCat-2.0</x:v>
      </x:c>
      <x:c r="R553" s="30" t="n">
        <x:v>2003.95</x:v>
      </x:c>
      <x:c r="S553" s="30" t="str">
        <x:v>{"completion_tokens": 48, "prompt_tokens": 156, "total_tokens": 204,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4">
      <x:c r="A554" s="30" t="str">
        <x:v>memos_long:922</x:v>
      </x:c>
      <x:c r="B554" s="30" t="str">
        <x:v>long</x:v>
      </x:c>
      <x:c r="C554" s="30" t="str">
        <x:v>Basic Fact Recall</x:v>
      </x:c>
      <x:c r="D554" s="30" t="n">
        <x:v>1</x:v>
      </x:c>
      <x:c r="E554" s="30" t="str">
        <x:v>What modification did Donna make to her travel preferences on April 10, 2029?</x:v>
      </x:c>
      <x:c r="F554" s="30" t="str">
        <x:v>She included popular tourist spots for networking opportunities.</x:v>
      </x:c>
      <x:c r="G554" s="30" t="str">
        <x:v>Added popular tourist spots.</x:v>
      </x:c>
      <x:c r="H554" s="30" t="str">
        <x:v>deepseek-v4-flash</x:v>
      </x:c>
      <x:c r="I554" s="30" t="str">
        <x:v>deepseek-v4-flash</x:v>
      </x:c>
      <x:c r="J554" s="30" t="str">
        <x:v>4bef44cb3bbd7b6451ce5512614f8a2b4cf9a89259effcdaeb40ea2a1b134abe</x:v>
      </x:c>
      <x:c r="K554" s="30" t="str">
        <x:v>ebd69843a479431fcde051e676d26725310db7726c58206c7e3a57a6044a1110</x:v>
      </x:c>
      <x:c r="L554" s="30" t="n">
        <x:v>554.58</x:v>
      </x:c>
      <x:c r="M554" s="30" t="str">
        <x:v>{"completion_tokens": 5, "prompt_tokens": 539, "total_tokens": 544, "completion_tokens_details": null, "prompt_tokens_details": {"audio_tokens": null, "cached_tokens": 512}, "prompt_cache_hit_tokens": 512, "prompt_cache_miss_tokens": 27}</x:v>
      </x:c>
      <x:c r="N554" s="30" t="str">
        <x:v>omission</x:v>
      </x:c>
      <x:c r="O554" s="30" t="str">
        <x:v>The model answer states that Donna added popular tourist spots, but omits the key reason/purpose specified in the gold answer: 'for networking opportunities.' This makes the answer an incomplete subset of the gold answer.</x:v>
      </x:c>
      <x:c r="P554" s="30" t="str">
        <x:v>LongCat-2.0</x:v>
      </x:c>
      <x:c r="Q554" s="30" t="str">
        <x:v>LongCat-2.0</x:v>
      </x:c>
      <x:c r="R554" s="30" t="n">
        <x:v>2434.92</x:v>
      </x:c>
      <x:c r="S554" s="30" t="str">
        <x:v>{"completion_tokens": 54, "prompt_tokens": 152,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55">
      <x:c r="A555" s="30" t="str">
        <x:v>memos_long:922</x:v>
      </x:c>
      <x:c r="B555" s="30" t="str">
        <x:v>long</x:v>
      </x:c>
      <x:c r="C555" s="30" t="str">
        <x:v>Basic Fact Recall</x:v>
      </x:c>
      <x:c r="D555" s="30" t="n">
        <x:v>2</x:v>
      </x:c>
      <x:c r="E555" s="30" t="str">
        <x:v>What modification did Donna make to her travel preferences on April 10, 2029?</x:v>
      </x:c>
      <x:c r="F555" s="30" t="str">
        <x:v>She included popular tourist spots for networking opportunities.</x:v>
      </x:c>
      <x:c r="G555" s="30" t="str">
        <x:v>Added popular tourist spots.</x:v>
      </x:c>
      <x:c r="H555" s="30" t="str">
        <x:v>deepseek-v4-flash</x:v>
      </x:c>
      <x:c r="I555" s="30" t="str">
        <x:v>deepseek-v4-flash</x:v>
      </x:c>
      <x:c r="J555" s="30" t="str">
        <x:v>4bef44cb3bbd7b6451ce5512614f8a2b4cf9a89259effcdaeb40ea2a1b134abe</x:v>
      </x:c>
      <x:c r="K555" s="30" t="str">
        <x:v>ebd69843a479431fcde051e676d26725310db7726c58206c7e3a57a6044a1110</x:v>
      </x:c>
      <x:c r="L555" s="30" t="n">
        <x:v>586</x:v>
      </x:c>
      <x:c r="M555" s="30" t="str">
        <x:v>{"completion_tokens": 5, "prompt_tokens": 539, "total_tokens": 544, "completion_tokens_details": null, "prompt_tokens_details": {"audio_tokens": null, "cached_tokens": 512}, "prompt_cache_hit_tokens": 512, "prompt_cache_miss_tokens": 27}</x:v>
      </x:c>
      <x:c r="N555" s="30" t="str">
        <x:v>omission</x:v>
      </x:c>
      <x:c r="O555" s="30" t="str">
        <x:v>The model answer states that Donna added popular tourist spots, but omits the key purpose mentioned in the gold answer: 'for networking opportunities.' This makes the answer an incomplete subset of the gold answer.</x:v>
      </x:c>
      <x:c r="P555" s="30" t="str">
        <x:v>LongCat-2.0</x:v>
      </x:c>
      <x:c r="Q555" s="30" t="str">
        <x:v>LongCat-2.0</x:v>
      </x:c>
      <x:c r="R555" s="30" t="n">
        <x:v>2431.86</x:v>
      </x:c>
      <x:c r="S555" s="30" t="str">
        <x:v>{"completion_tokens": 52, "prompt_tokens": 152, "total_tokens": 204,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6">
      <x:c r="A556" s="30" t="str">
        <x:v>memos_long:922</x:v>
      </x:c>
      <x:c r="B556" s="30" t="str">
        <x:v>long</x:v>
      </x:c>
      <x:c r="C556" s="30" t="str">
        <x:v>Basic Fact Recall</x:v>
      </x:c>
      <x:c r="D556" s="30" t="n">
        <x:v>3</x:v>
      </x:c>
      <x:c r="E556" s="30" t="str">
        <x:v>What modification did Donna make to her travel preferences on April 10, 2029?</x:v>
      </x:c>
      <x:c r="F556" s="30" t="str">
        <x:v>She included popular tourist spots for networking opportunities.</x:v>
      </x:c>
      <x:c r="G556" s="30" t="str">
        <x:v>Added popular tourist spots.</x:v>
      </x:c>
      <x:c r="H556" s="30" t="str">
        <x:v>deepseek-v4-flash</x:v>
      </x:c>
      <x:c r="I556" s="30" t="str">
        <x:v>deepseek-v4-flash</x:v>
      </x:c>
      <x:c r="J556" s="30" t="str">
        <x:v>4bef44cb3bbd7b6451ce5512614f8a2b4cf9a89259effcdaeb40ea2a1b134abe</x:v>
      </x:c>
      <x:c r="K556" s="30" t="str">
        <x:v>ebd69843a479431fcde051e676d26725310db7726c58206c7e3a57a6044a1110</x:v>
      </x:c>
      <x:c r="L556" s="30" t="n">
        <x:v>869.97</x:v>
      </x:c>
      <x:c r="M556" s="30" t="str">
        <x:v>{"completion_tokens": 5, "prompt_tokens": 539, "total_tokens": 544, "completion_tokens_details": null, "prompt_tokens_details": {"audio_tokens": null, "cached_tokens": 512}, "prompt_cache_hit_tokens": 512, "prompt_cache_miss_tokens": 27}</x:v>
      </x:c>
      <x:c r="N556" s="30" t="str">
        <x:v>omission</x:v>
      </x:c>
      <x:c r="O556" s="30" t="str">
        <x:v>The model answer states that Donna added popular tourist spots, but omits the key reason/purpose specified in the gold answer: 'for networking opportunities.' This makes the answer an incomplete subset of the gold answer.</x:v>
      </x:c>
      <x:c r="P556" s="30" t="str">
        <x:v>LongCat-2.0</x:v>
      </x:c>
      <x:c r="Q556" s="30" t="str">
        <x:v>LongCat-2.0</x:v>
      </x:c>
      <x:c r="R556" s="30" t="n">
        <x:v>2456.33</x:v>
      </x:c>
      <x:c r="S556" s="30" t="str">
        <x:v>{"completion_tokens": 54, "prompt_tokens": 152,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7">
      <x:c r="A557" s="30" t="str">
        <x:v>memos_long:923</x:v>
      </x:c>
      <x:c r="B557" s="30" t="str">
        <x:v>long</x:v>
      </x:c>
      <x:c r="C557" s="30" t="str">
        <x:v>Generalization &amp; Application</x:v>
      </x:c>
      <x:c r="D557" s="30" t="n">
        <x:v>1</x:v>
      </x:c>
      <x:c r="E557" s="30" t="str">
        <x:v>How might Donna approach networking opportunities at tech events after April 10, 2029?</x:v>
      </x:c>
      <x:c r="F557" s="30" t="str">
        <x:v>Donna will prioritize popular tourist spots for networking.</x:v>
      </x:c>
      <x:c r="G557" s="30" t="str">
        <x:v>Prioritize popular tourist spots.</x:v>
      </x:c>
      <x:c r="H557" s="30" t="str">
        <x:v>deepseek-v4-flash</x:v>
      </x:c>
      <x:c r="I557" s="30" t="str">
        <x:v>deepseek-v4-flash</x:v>
      </x:c>
      <x:c r="J557" s="30" t="str">
        <x:v>3f52fab844b07102da1a4cdd475879659b35dd8694258577277217c1a8f6b0b9</x:v>
      </x:c>
      <x:c r="K557" s="30" t="str">
        <x:v>a7e1f862f32fa42d27e63b087045839c9355c38c5fc83cfe4d9030153514dfd0</x:v>
      </x:c>
      <x:c r="L557" s="30" t="n">
        <x:v>729.72</x:v>
      </x:c>
      <x:c r="M557" s="30" t="str">
        <x:v>{"completion_tokens": 7, "prompt_tokens": 572, "total_tokens": 579, "completion_tokens_details": null, "prompt_tokens_details": {"audio_tokens": null, "cached_tokens": 512}, "prompt_cache_hit_tokens": 512, "prompt_cache_miss_tokens": 60}</x:v>
      </x:c>
      <x:c r="N557" s="30" t="str">
        <x:v>correct</x:v>
      </x:c>
      <x:c r="O557" s="30" t="str">
        <x:v>The model answer 'Prioritize popular tourist spots' is a concise restatement of the gold answer 'Donna will prioritize popular tourist spots for networking.' It captures the complete semantic meaning without adding false or unsupported information.</x:v>
      </x:c>
      <x:c r="P557" s="30" t="str">
        <x:v>LongCat-2.0</x:v>
      </x:c>
      <x:c r="Q557" s="30" t="str">
        <x:v>LongCat-2.0</x:v>
      </x:c>
      <x:c r="R557" s="30" t="n">
        <x:v>2720.13</x:v>
      </x:c>
      <x:c r="S557" s="30" t="str">
        <x:v>{"completion_tokens": 54, "prompt_tokens": 154,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58">
      <x:c r="A558" s="30" t="str">
        <x:v>memos_long:923</x:v>
      </x:c>
      <x:c r="B558" s="30" t="str">
        <x:v>long</x:v>
      </x:c>
      <x:c r="C558" s="30" t="str">
        <x:v>Generalization &amp; Application</x:v>
      </x:c>
      <x:c r="D558" s="30" t="n">
        <x:v>2</x:v>
      </x:c>
      <x:c r="E558" s="30" t="str">
        <x:v>How might Donna approach networking opportunities at tech events after April 10, 2029?</x:v>
      </x:c>
      <x:c r="F558" s="30" t="str">
        <x:v>Donna will prioritize popular tourist spots for networking.</x:v>
      </x:c>
      <x:c r="G558" s="30" t="str">
        <x:v>Prioritize popular tourist spots.</x:v>
      </x:c>
      <x:c r="H558" s="30" t="str">
        <x:v>deepseek-v4-flash</x:v>
      </x:c>
      <x:c r="I558" s="30" t="str">
        <x:v>deepseek-v4-flash</x:v>
      </x:c>
      <x:c r="J558" s="30" t="str">
        <x:v>3f52fab844b07102da1a4cdd475879659b35dd8694258577277217c1a8f6b0b9</x:v>
      </x:c>
      <x:c r="K558" s="30" t="str">
        <x:v>a7e1f862f32fa42d27e63b087045839c9355c38c5fc83cfe4d9030153514dfd0</x:v>
      </x:c>
      <x:c r="L558" s="30" t="n">
        <x:v>971.53</x:v>
      </x:c>
      <x:c r="M558" s="30" t="str">
        <x:v>{"completion_tokens": 7, "prompt_tokens": 572, "total_tokens": 579, "completion_tokens_details": null, "prompt_tokens_details": {"audio_tokens": null, "cached_tokens": 512}, "prompt_cache_hit_tokens": 512, "prompt_cache_miss_tokens": 60}</x:v>
      </x:c>
      <x:c r="N558" s="30" t="str">
        <x:v>correct</x:v>
      </x:c>
      <x:c r="O558" s="30" t="str">
        <x:v>The model answer 'Prioritize popular tourist spots' is a concise restatement of the gold answer 'Donna will prioritize popular tourist spots for networking.' It captures the complete semantic meaning without adding false or unsupported information.</x:v>
      </x:c>
      <x:c r="P558" s="30" t="str">
        <x:v>LongCat-2.0</x:v>
      </x:c>
      <x:c r="Q558" s="30" t="str">
        <x:v>LongCat-2.0</x:v>
      </x:c>
      <x:c r="R558" s="30" t="n">
        <x:v>2446.69</x:v>
      </x:c>
      <x:c r="S558" s="30" t="str">
        <x:v>{"completion_tokens": 54, "prompt_tokens": 154,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59">
      <x:c r="A559" s="30" t="str">
        <x:v>memos_long:923</x:v>
      </x:c>
      <x:c r="B559" s="30" t="str">
        <x:v>long</x:v>
      </x:c>
      <x:c r="C559" s="30" t="str">
        <x:v>Generalization &amp; Application</x:v>
      </x:c>
      <x:c r="D559" s="30" t="n">
        <x:v>3</x:v>
      </x:c>
      <x:c r="E559" s="30" t="str">
        <x:v>How might Donna approach networking opportunities at tech events after April 10, 2029?</x:v>
      </x:c>
      <x:c r="F559" s="30" t="str">
        <x:v>Donna will prioritize popular tourist spots for networking.</x:v>
      </x:c>
      <x:c r="G559" s="30" t="str">
        <x:v>Prioritize popular tourist spots.</x:v>
      </x:c>
      <x:c r="H559" s="30" t="str">
        <x:v>deepseek-v4-flash</x:v>
      </x:c>
      <x:c r="I559" s="30" t="str">
        <x:v>deepseek-v4-flash</x:v>
      </x:c>
      <x:c r="J559" s="30" t="str">
        <x:v>3f52fab844b07102da1a4cdd475879659b35dd8694258577277217c1a8f6b0b9</x:v>
      </x:c>
      <x:c r="K559" s="30" t="str">
        <x:v>a7e1f862f32fa42d27e63b087045839c9355c38c5fc83cfe4d9030153514dfd0</x:v>
      </x:c>
      <x:c r="L559" s="30" t="n">
        <x:v>519.65</x:v>
      </x:c>
      <x:c r="M559" s="30" t="str">
        <x:v>{"completion_tokens": 7, "prompt_tokens": 572, "total_tokens": 579, "completion_tokens_details": null, "prompt_tokens_details": {"audio_tokens": null, "cached_tokens": 512}, "prompt_cache_hit_tokens": 512, "prompt_cache_miss_tokens": 60}</x:v>
      </x:c>
      <x:c r="N559" s="30" t="str">
        <x:v>correct</x:v>
      </x:c>
      <x:c r="O559" s="30" t="str">
        <x:v>The model answer 'Prioritize popular tourist spots' is a concise restatement of the gold answer 'Donna will prioritize popular tourist spots for networking.' It captures the complete semantic meaning without adding false or unsupported information.</x:v>
      </x:c>
      <x:c r="P559" s="30" t="str">
        <x:v>LongCat-2.0</x:v>
      </x:c>
      <x:c r="Q559" s="30" t="str">
        <x:v>LongCat-2.0</x:v>
      </x:c>
      <x:c r="R559" s="30" t="n">
        <x:v>2790.25</x:v>
      </x:c>
      <x:c r="S559" s="30" t="str">
        <x:v>{"completion_tokens": 54, "prompt_tokens": 154,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0">
      <x:c r="A560" s="30" t="str">
        <x:v>memos_long:942</x:v>
      </x:c>
      <x:c r="B560" s="30" t="str">
        <x:v>long</x:v>
      </x:c>
      <x:c r="C560" s="30" t="str">
        <x:v>Generalization &amp; Application</x:v>
      </x:c>
      <x:c r="D560" s="30" t="n">
        <x:v>1</x:v>
      </x:c>
      <x:c r="E560" s="30" t="str">
        <x:v>What type of new restaurants might Donna be interested in visiting after January 12, 2031?</x:v>
      </x:c>
      <x:c r="F560" s="30" t="str">
        <x:v>Eco-friendly restaurants with sustainable and healthy options.</x:v>
      </x:c>
      <x:c r="G560" s="30" t="str">
        <x:v>Eco-friendly fast food chains</x:v>
      </x:c>
      <x:c r="H560" s="30" t="str">
        <x:v>deepseek-v4-flash</x:v>
      </x:c>
      <x:c r="I560" s="30" t="str">
        <x:v>deepseek-v4-flash</x:v>
      </x:c>
      <x:c r="J560" s="30" t="str">
        <x:v>ced5aad4f0660a2ae4c8cc32ec9f3eae8750cdfc7406b7d8926a620126239659</x:v>
      </x:c>
      <x:c r="K560" s="30" t="str">
        <x:v>469f34dc6ef61b8ba76684909d2e63b9903cf5f8f65f3d48eda1dce68cdae1c8</x:v>
      </x:c>
      <x:c r="L560" s="30" t="n">
        <x:v>602.14</x:v>
      </x:c>
      <x:c r="M560" s="30" t="str">
        <x:v>{"completion_tokens": 6, "prompt_tokens": 609, "total_tokens": 615, "completion_tokens_details": null, "prompt_tokens_details": {"audio_tokens": null, "cached_tokens": 512}, "prompt_cache_hit_tokens": 512, "prompt_cache_miss_tokens": 97}</x:v>
      </x:c>
      <x:c r="N560" s="30" t="str">
        <x:v>hallucination</x:v>
      </x:c>
      <x:c r="O560"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or present in the gold answer. This addition of unsupported material constitutes a hallucination.</x:v>
      </x:c>
      <x:c r="P560" s="30" t="str">
        <x:v>LongCat-2.0</x:v>
      </x:c>
      <x:c r="Q560" s="30" t="str">
        <x:v>LongCat-2.0</x:v>
      </x:c>
      <x:c r="R560" s="30" t="n">
        <x:v>3849.12</x:v>
      </x:c>
      <x:c r="S560" s="30" t="str">
        <x:v>{"completion_tokens": 81, "prompt_tokens": 157,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1">
      <x:c r="A561" s="30" t="str">
        <x:v>memos_long:942</x:v>
      </x:c>
      <x:c r="B561" s="30" t="str">
        <x:v>long</x:v>
      </x:c>
      <x:c r="C561" s="30" t="str">
        <x:v>Generalization &amp; Application</x:v>
      </x:c>
      <x:c r="D561" s="30" t="n">
        <x:v>2</x:v>
      </x:c>
      <x:c r="E561" s="30" t="str">
        <x:v>What type of new restaurants might Donna be interested in visiting after January 12, 2031?</x:v>
      </x:c>
      <x:c r="F561" s="30" t="str">
        <x:v>Eco-friendly restaurants with sustainable and healthy options.</x:v>
      </x:c>
      <x:c r="G561" s="30" t="str">
        <x:v>Eco-friendly fast food chains</x:v>
      </x:c>
      <x:c r="H561" s="30" t="str">
        <x:v>deepseek-v4-flash</x:v>
      </x:c>
      <x:c r="I561" s="30" t="str">
        <x:v>deepseek-v4-flash</x:v>
      </x:c>
      <x:c r="J561" s="30" t="str">
        <x:v>ced5aad4f0660a2ae4c8cc32ec9f3eae8750cdfc7406b7d8926a620126239659</x:v>
      </x:c>
      <x:c r="K561" s="30" t="str">
        <x:v>469f34dc6ef61b8ba76684909d2e63b9903cf5f8f65f3d48eda1dce68cdae1c8</x:v>
      </x:c>
      <x:c r="L561" s="30" t="n">
        <x:v>595.15</x:v>
      </x:c>
      <x:c r="M561" s="30" t="str">
        <x:v>{"completion_tokens": 6, "prompt_tokens": 609, "total_tokens": 615, "completion_tokens_details": null, "prompt_tokens_details": {"audio_tokens": null, "cached_tokens": 512}, "prompt_cache_hit_tokens": 512, "prompt_cache_miss_tokens": 97}</x:v>
      </x:c>
      <x:c r="N561" s="30" t="str">
        <x:v>hallucination</x:v>
      </x:c>
      <x:c r="O561" s="30" t="str">
        <x:v>The gold answer specifies 'eco-friendly restaurants with sustainable and healthy options,' which is a general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more general category described in the gold answer.</x:v>
      </x:c>
      <x:c r="P561" s="30" t="str">
        <x:v>LongCat-2.0</x:v>
      </x:c>
      <x:c r="Q561" s="30" t="str">
        <x:v>LongCat-2.0</x:v>
      </x:c>
      <x:c r="R561" s="30" t="n">
        <x:v>4277.78</x:v>
      </x:c>
      <x:c r="S561" s="30" t="str">
        <x:v>{"completion_tokens": 94, "prompt_tokens": 157, "total_tokens": 251,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62">
      <x:c r="A562" s="30" t="str">
        <x:v>memos_long:942</x:v>
      </x:c>
      <x:c r="B562" s="30" t="str">
        <x:v>long</x:v>
      </x:c>
      <x:c r="C562" s="30" t="str">
        <x:v>Generalization &amp; Application</x:v>
      </x:c>
      <x:c r="D562" s="30" t="n">
        <x:v>3</x:v>
      </x:c>
      <x:c r="E562" s="30" t="str">
        <x:v>What type of new restaurants might Donna be interested in visiting after January 12, 2031?</x:v>
      </x:c>
      <x:c r="F562" s="30" t="str">
        <x:v>Eco-friendly restaurants with sustainable and healthy options.</x:v>
      </x:c>
      <x:c r="G562" s="30" t="str">
        <x:v>Eco-friendly fast food chains</x:v>
      </x:c>
      <x:c r="H562" s="30" t="str">
        <x:v>deepseek-v4-flash</x:v>
      </x:c>
      <x:c r="I562" s="30" t="str">
        <x:v>deepseek-v4-flash</x:v>
      </x:c>
      <x:c r="J562" s="30" t="str">
        <x:v>ced5aad4f0660a2ae4c8cc32ec9f3eae8750cdfc7406b7d8926a620126239659</x:v>
      </x:c>
      <x:c r="K562" s="30" t="str">
        <x:v>469f34dc6ef61b8ba76684909d2e63b9903cf5f8f65f3d48eda1dce68cdae1c8</x:v>
      </x:c>
      <x:c r="L562" s="30" t="n">
        <x:v>810.19</x:v>
      </x:c>
      <x:c r="M562" s="30" t="str">
        <x:v>{"completion_tokens": 6, "prompt_tokens": 609, "total_tokens": 615, "completion_tokens_details": null, "prompt_tokens_details": {"audio_tokens": null, "cached_tokens": 512}, "prompt_cache_hit_tokens": 512, "prompt_cache_miss_tokens": 97}</x:v>
      </x:c>
      <x:c r="N562" s="30" t="str">
        <x:v>hallucination</x:v>
      </x:c>
      <x:c r="O562" s="30" t="str">
        <x:v>The gold answer specifies 'eco-friendly restaurants with sustainable and healthy options,' which is a broad category of restaurants. The model answer narrows this to 'eco-friendly fast food chains,' which is a specific subset not supported by the gold answer. Fast food chains are not mentioned or implied in the gold answer, making this an unsupported concrete claim that contradicts the broader scope of the gold answer.</x:v>
      </x:c>
      <x:c r="P562" s="30" t="str">
        <x:v>LongCat-2.0</x:v>
      </x:c>
      <x:c r="Q562" s="30" t="str">
        <x:v>LongCat-2.0</x:v>
      </x:c>
      <x:c r="R562" s="30" t="n">
        <x:v>3614.85</x:v>
      </x:c>
      <x:c r="S562" s="30" t="str">
        <x:v>{"completion_tokens": 90, "prompt_tokens": 157, "total_tokens": 247,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3">
      <x:c r="A563" s="30" t="str">
        <x:v>memos_long:968</x:v>
      </x:c>
      <x:c r="B563" s="30" t="str">
        <x:v>long</x:v>
      </x:c>
      <x:c r="C563" s="30" t="str">
        <x:v>Basic Fact Recall</x:v>
      </x:c>
      <x:c r="D563" s="30" t="n">
        <x:v>1</x:v>
      </x:c>
      <x:c r="E563" s="30" t="str">
        <x:v>What type of films does Donna plan to incorporate into her routine as of Sep 02, 2033?</x:v>
      </x:c>
      <x:c r="F563" s="30" t="str">
        <x:v>Innovative science fiction films.</x:v>
      </x:c>
      <x:c r="G563" s="30" t="str">
        <x:v>Innovative science fiction films</x:v>
      </x:c>
      <x:c r="H563" s="30" t="str">
        <x:v>deepseek-v4-flash</x:v>
      </x:c>
      <x:c r="I563" s="30" t="str">
        <x:v>deepseek-v4-flash</x:v>
      </x:c>
      <x:c r="J563" s="30" t="str">
        <x:v>bcc57959fffc9a529d8ae808bf58cdc1fab4d38ac53855319f640ae0ae52fe50</x:v>
      </x:c>
      <x:c r="K563" s="30" t="str">
        <x:v>1bf82e94aef8432ec06a668ac29b8af25c48b5885fb6d8936bed1593624dc980</x:v>
      </x:c>
      <x:c r="L563" s="30" t="n">
        <x:v>546.55</x:v>
      </x:c>
      <x:c r="M563" s="30" t="str">
        <x:v>{"completion_tokens": 5, "prompt_tokens": 547, "total_tokens": 552, "completion_tokens_details": null, "prompt_tokens_details": {"audio_tokens": null, "cached_tokens": 512}, "prompt_cache_hit_tokens": 512, "prompt_cache_miss_tokens": 35}</x:v>
      </x:c>
      <x:c r="N563" s="30" t="str">
        <x:v>correct</x:v>
      </x:c>
      <x:c r="O563" s="30" t="str">
        <x:v>The model answer 'Innovative science fiction films' is semantically identical to the benchmark gold answer 'Innovative science fiction films.' The only difference is the absence of a trailing period, which is a minor punctuation variation that does not affect the meaning. The answer is complete and contains no false or unsupported claims.</x:v>
      </x:c>
      <x:c r="P563" s="30" t="str">
        <x:v>LongCat-2.0</x:v>
      </x:c>
      <x:c r="Q563" s="30" t="str">
        <x:v>LongCat-2.0</x:v>
      </x:c>
      <x:c r="R563" s="30" t="n">
        <x:v>2850.71</x:v>
      </x:c>
      <x:c r="S563" s="30" t="str">
        <x:v>{"completion_tokens": 75, "prompt_tokens": 156,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4">
      <x:c r="A564" s="30" t="str">
        <x:v>memos_long:968</x:v>
      </x:c>
      <x:c r="B564" s="30" t="str">
        <x:v>long</x:v>
      </x:c>
      <x:c r="C564" s="30" t="str">
        <x:v>Basic Fact Recall</x:v>
      </x:c>
      <x:c r="D564" s="30" t="n">
        <x:v>2</x:v>
      </x:c>
      <x:c r="E564" s="30" t="str">
        <x:v>What type of films does Donna plan to incorporate into her routine as of Sep 02, 2033?</x:v>
      </x:c>
      <x:c r="F564" s="30" t="str">
        <x:v>Innovative science fiction films.</x:v>
      </x:c>
      <x:c r="G564" s="30" t="str">
        <x:v>Innovative science fiction films</x:v>
      </x:c>
      <x:c r="H564" s="30" t="str">
        <x:v>deepseek-v4-flash</x:v>
      </x:c>
      <x:c r="I564" s="30" t="str">
        <x:v>deepseek-v4-flash</x:v>
      </x:c>
      <x:c r="J564" s="30" t="str">
        <x:v>bcc57959fffc9a529d8ae808bf58cdc1fab4d38ac53855319f640ae0ae52fe50</x:v>
      </x:c>
      <x:c r="K564" s="30" t="str">
        <x:v>1bf82e94aef8432ec06a668ac29b8af25c48b5885fb6d8936bed1593624dc980</x:v>
      </x:c>
      <x:c r="L564" s="30" t="n">
        <x:v>924.15</x:v>
      </x:c>
      <x:c r="M564" s="30" t="str">
        <x:v>{"completion_tokens": 5, "prompt_tokens": 547, "total_tokens": 552, "completion_tokens_details": null, "prompt_tokens_details": {"audio_tokens": null, "cached_tokens": 512}, "prompt_cache_hit_tokens": 512, "prompt_cache_miss_tokens": 35}</x:v>
      </x:c>
      <x:c r="N564" s="30" t="str">
        <x:v>correct</x:v>
      </x:c>
      <x:c r="O564" s="30" t="str">
        <x:v>The model answer 'Innovative science fiction films' is semantically identical to the benchmark gold answer 'Innovative science fiction films.' The only difference is the absence of a period, which is a trivial punctuation variation that does not affect the meaning or completeness of the answer.</x:v>
      </x:c>
      <x:c r="P564" s="30" t="str">
        <x:v>LongCat-2.0</x:v>
      </x:c>
      <x:c r="Q564" s="30" t="str">
        <x:v>LongCat-2.0</x:v>
      </x:c>
      <x:c r="R564" s="30" t="n">
        <x:v>2814.35</x:v>
      </x:c>
      <x:c r="S564" s="30" t="str">
        <x:v>{"completion_tokens": 67, "prompt_tokens": 156,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5">
      <x:c r="A565" s="30" t="str">
        <x:v>memos_long:968</x:v>
      </x:c>
      <x:c r="B565" s="30" t="str">
        <x:v>long</x:v>
      </x:c>
      <x:c r="C565" s="30" t="str">
        <x:v>Basic Fact Recall</x:v>
      </x:c>
      <x:c r="D565" s="30" t="n">
        <x:v>3</x:v>
      </x:c>
      <x:c r="E565" s="30" t="str">
        <x:v>What type of films does Donna plan to incorporate into her routine as of Sep 02, 2033?</x:v>
      </x:c>
      <x:c r="F565" s="30" t="str">
        <x:v>Innovative science fiction films.</x:v>
      </x:c>
      <x:c r="G565" s="30" t="str">
        <x:v>Innovative science fiction films</x:v>
      </x:c>
      <x:c r="H565" s="30" t="str">
        <x:v>deepseek-v4-flash</x:v>
      </x:c>
      <x:c r="I565" s="30" t="str">
        <x:v>deepseek-v4-flash</x:v>
      </x:c>
      <x:c r="J565" s="30" t="str">
        <x:v>bcc57959fffc9a529d8ae808bf58cdc1fab4d38ac53855319f640ae0ae52fe50</x:v>
      </x:c>
      <x:c r="K565" s="30" t="str">
        <x:v>1bf82e94aef8432ec06a668ac29b8af25c48b5885fb6d8936bed1593624dc980</x:v>
      </x:c>
      <x:c r="L565" s="30" t="n">
        <x:v>613.15</x:v>
      </x:c>
      <x:c r="M565" s="30" t="str">
        <x:v>{"completion_tokens": 5, "prompt_tokens": 547, "total_tokens": 552, "completion_tokens_details": null, "prompt_tokens_details": {"audio_tokens": null, "cached_tokens": 512}, "prompt_cache_hit_tokens": 512, "prompt_cache_miss_tokens": 35}</x:v>
      </x:c>
      <x:c r="N565" s="30" t="str">
        <x:v>correct</x:v>
      </x:c>
      <x:c r="O565" s="30" t="str">
        <x:v>The model answer 'Innovative science fiction films' is semantically identical to the benchmark gold answer 'Innovative science fiction films.' The only difference is the absence of a period, which is a minor punctuation variation that does not affect the meaning or completeness of the answer.</x:v>
      </x:c>
      <x:c r="P565" s="30" t="str">
        <x:v>LongCat-2.0</x:v>
      </x:c>
      <x:c r="Q565" s="30" t="str">
        <x:v>LongCat-2.0</x:v>
      </x:c>
      <x:c r="R565" s="30" t="n">
        <x:v>2754.78</x:v>
      </x:c>
      <x:c r="S565" s="30" t="str">
        <x:v>{"completion_tokens": 67, "prompt_tokens": 156,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66">
      <x:c r="A566" s="30" t="str">
        <x:v>memos_long:969</x:v>
      </x:c>
      <x:c r="B566" s="30" t="str">
        <x:v>long</x:v>
      </x:c>
      <x:c r="C566" s="30" t="str">
        <x:v>Memory Conflict</x:v>
      </x:c>
      <x:c r="D566" s="30" t="n">
        <x:v>1</x:v>
      </x:c>
      <x:c r="E566" s="30" t="str">
        <x:v>Did Donna express disinterest in science fiction films during her tech conference on Sep 02, 2033?</x:v>
      </x:c>
      <x:c r="F566" s="30" t="str">
        <x:v>Donna expressed interest in science fiction films during the conference.</x:v>
      </x:c>
      <x:c r="G566" s="30" t="str">
        <x:v>No</x:v>
      </x:c>
      <x:c r="H566" s="30" t="str">
        <x:v>deepseek-v4-flash</x:v>
      </x:c>
      <x:c r="I566" s="30" t="str">
        <x:v>deepseek-v4-flash</x:v>
      </x:c>
      <x:c r="J566" s="30" t="str">
        <x:v>4d3e8f9590ff5f4fbfca236bb5dedc46cf3576ed42e4d30ec0292dfc64e2d238</x:v>
      </x:c>
      <x:c r="K566" s="30" t="str">
        <x:v>a94617323bdaf7aee3136e31836477c87ade006110c506843a2cd445461f9e39</x:v>
      </x:c>
      <x:c r="L566" s="30" t="n">
        <x:v>485.09</x:v>
      </x:c>
      <x:c r="M566" s="30" t="str">
        <x:v>{"completion_tokens": 1, "prompt_tokens": 547, "total_tokens": 548, "completion_tokens_details": null, "prompt_tokens_details": {"audio_tokens": null, "cached_tokens": 512}, "prompt_cache_hit_tokens": 512, "prompt_cache_miss_tokens": 35}</x:v>
      </x:c>
      <x:c r="N566" s="30" t="str">
        <x:v>hallucination</x:v>
      </x:c>
      <x:c r="O566" s="30" t="str">
        <x:v>The gold answer states that Donna expressed interest in science fiction films during the conference. The model answer 'No' directly contradicts this by implying she did not express interest, which is a concrete false claim that opposes the gold answer.</x:v>
      </x:c>
      <x:c r="P566" s="30" t="str">
        <x:v>LongCat-2.0</x:v>
      </x:c>
      <x:c r="Q566" s="30" t="str">
        <x:v>LongCat-2.0</x:v>
      </x:c>
      <x:c r="R566" s="30" t="n">
        <x:v>3210.34</x:v>
      </x:c>
      <x:c r="S566" s="30" t="str">
        <x:v>{"completion_tokens": 58, "prompt_tokens": 156,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67">
      <x:c r="A567" s="30" t="str">
        <x:v>memos_long:969</x:v>
      </x:c>
      <x:c r="B567" s="30" t="str">
        <x:v>long</x:v>
      </x:c>
      <x:c r="C567" s="30" t="str">
        <x:v>Memory Conflict</x:v>
      </x:c>
      <x:c r="D567" s="30" t="n">
        <x:v>2</x:v>
      </x:c>
      <x:c r="E567" s="30" t="str">
        <x:v>Did Donna express disinterest in science fiction films during her tech conference on Sep 02, 2033?</x:v>
      </x:c>
      <x:c r="F567" s="30" t="str">
        <x:v>Donna expressed interest in science fiction films during the conference.</x:v>
      </x:c>
      <x:c r="G567" s="30" t="str">
        <x:v>No</x:v>
      </x:c>
      <x:c r="H567" s="30" t="str">
        <x:v>deepseek-v4-flash</x:v>
      </x:c>
      <x:c r="I567" s="30" t="str">
        <x:v>deepseek-v4-flash</x:v>
      </x:c>
      <x:c r="J567" s="30" t="str">
        <x:v>4d3e8f9590ff5f4fbfca236bb5dedc46cf3576ed42e4d30ec0292dfc64e2d238</x:v>
      </x:c>
      <x:c r="K567" s="30" t="str">
        <x:v>a94617323bdaf7aee3136e31836477c87ade006110c506843a2cd445461f9e39</x:v>
      </x:c>
      <x:c r="L567" s="30" t="n">
        <x:v>719.93</x:v>
      </x:c>
      <x:c r="M567" s="30" t="str">
        <x:v>{"completion_tokens": 1, "prompt_tokens": 547, "total_tokens": 548, "completion_tokens_details": null, "prompt_tokens_details": {"audio_tokens": null, "cached_tokens": 512}, "prompt_cache_hit_tokens": 512, "prompt_cache_miss_tokens": 35}</x:v>
      </x:c>
      <x:c r="N567" s="30" t="str">
        <x:v>hallucination</x:v>
      </x:c>
      <x:c r="O567" s="30" t="str">
        <x:v>The gold answer states that Donna expressed interest in science fiction films during the conference. The model answer 'No' directly contradicts this by implying she did not express interest, which is a concrete false claim that opposes the gold answer.</x:v>
      </x:c>
      <x:c r="P567" s="30" t="str">
        <x:v>LongCat-2.0</x:v>
      </x:c>
      <x:c r="Q567" s="30" t="str">
        <x:v>LongCat-2.0</x:v>
      </x:c>
      <x:c r="R567" s="30" t="n">
        <x:v>4580.45</x:v>
      </x:c>
      <x:c r="S567" s="30" t="str">
        <x:v>{"completion_tokens": 58, "prompt_tokens": 156,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8">
      <x:c r="A568" s="30" t="str">
        <x:v>memos_long:969</x:v>
      </x:c>
      <x:c r="B568" s="30" t="str">
        <x:v>long</x:v>
      </x:c>
      <x:c r="C568" s="30" t="str">
        <x:v>Memory Conflict</x:v>
      </x:c>
      <x:c r="D568" s="30" t="n">
        <x:v>3</x:v>
      </x:c>
      <x:c r="E568" s="30" t="str">
        <x:v>Did Donna express disinterest in science fiction films during her tech conference on Sep 02, 2033?</x:v>
      </x:c>
      <x:c r="F568" s="30" t="str">
        <x:v>Donna expressed interest in science fiction films during the conference.</x:v>
      </x:c>
      <x:c r="G568" s="30" t="str">
        <x:v>No</x:v>
      </x:c>
      <x:c r="H568" s="30" t="str">
        <x:v>deepseek-v4-flash</x:v>
      </x:c>
      <x:c r="I568" s="30" t="str">
        <x:v>deepseek-v4-flash</x:v>
      </x:c>
      <x:c r="J568" s="30" t="str">
        <x:v>4d3e8f9590ff5f4fbfca236bb5dedc46cf3576ed42e4d30ec0292dfc64e2d238</x:v>
      </x:c>
      <x:c r="K568" s="30" t="str">
        <x:v>a94617323bdaf7aee3136e31836477c87ade006110c506843a2cd445461f9e39</x:v>
      </x:c>
      <x:c r="L568" s="30" t="n">
        <x:v>611.96</x:v>
      </x:c>
      <x:c r="M568" s="30" t="str">
        <x:v>{"completion_tokens": 1, "prompt_tokens": 547, "total_tokens": 548, "completion_tokens_details": null, "prompt_tokens_details": {"audio_tokens": null, "cached_tokens": 512}, "prompt_cache_hit_tokens": 512, "prompt_cache_miss_tokens": 35}</x:v>
      </x:c>
      <x:c r="N568" s="30" t="str">
        <x:v>hallucination</x:v>
      </x:c>
      <x:c r="O568" s="30" t="str">
        <x:v>The gold answer states that Donna expressed interest in science fiction films during the conference. The model answer 'No' directly contradicts this by implying she did not express interest, which is a concrete false claim that opposes the gold answer.</x:v>
      </x:c>
      <x:c r="P568" s="30" t="str">
        <x:v>LongCat-2.0</x:v>
      </x:c>
      <x:c r="Q568" s="30" t="str">
        <x:v>LongCat-2.0</x:v>
      </x:c>
      <x:c r="R568" s="30" t="n">
        <x:v>5065.06</x:v>
      </x:c>
      <x:c r="S568" s="30" t="str">
        <x:v>{"completion_tokens": 58, "prompt_tokens": 156,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69">
      <x:c r="A569" s="30" t="str">
        <x:v>memos_long:972</x:v>
      </x:c>
      <x:c r="B569" s="30" t="str">
        <x:v>long</x:v>
      </x:c>
      <x:c r="C569" s="30" t="str">
        <x:v>Generalization &amp; Application</x:v>
      </x:c>
      <x:c r="D569" s="30" t="n">
        <x:v>1</x:v>
      </x:c>
      <x:c r="E569" s="30" t="str">
        <x:v>What type of snack might Donna prefer at a future health expo?</x:v>
      </x:c>
      <x:c r="F569" s="30" t="str">
        <x:v>Snacks made with natural ingredients.</x:v>
      </x:c>
      <x:c r="G569" s="30" t="str">
        <x:v>Natural processed snacks</x:v>
      </x:c>
      <x:c r="H569" s="30" t="str">
        <x:v>deepseek-v4-flash</x:v>
      </x:c>
      <x:c r="I569" s="30" t="str">
        <x:v>deepseek-v4-flash</x:v>
      </x:c>
      <x:c r="J569" s="30" t="str">
        <x:v>4d02d559bb473c06b4ec12e669c180c29e4c3da09b1aef12fdc8ee66a091d4db</x:v>
      </x:c>
      <x:c r="K569" s="30" t="str">
        <x:v>8573e9acd9e849fc8fbc86278db63efd909616e6701d547c3f23393bfe509a3a</x:v>
      </x:c>
      <x:c r="L569" s="30" t="n">
        <x:v>602.51</x:v>
      </x:c>
      <x:c r="M569" s="30" t="str">
        <x:v>{"completion_tokens": 3, "prompt_tokens": 575, "total_tokens": 578, "completion_tokens_details": null, "prompt_tokens_details": {"audio_tokens": null, "cached_tokens": 512}, "prompt_cache_hit_tokens": 512, "prompt_cache_miss_tokens": 63}</x:v>
      </x:c>
      <x:c r="N569" s="30" t="str">
        <x:v>hallucination</x:v>
      </x:c>
      <x:c r="O569"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P569" s="30" t="str">
        <x:v>LongCat-2.0</x:v>
      </x:c>
      <x:c r="Q569" s="30" t="str">
        <x:v>LongCat-2.0</x:v>
      </x:c>
      <x:c r="R569" s="30" t="n">
        <x:v>2685.58</x:v>
      </x:c>
      <x:c r="S569" s="30" t="str">
        <x:v>{"completion_tokens": 67, "prompt_tokens": 142,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70">
      <x:c r="A570" s="30" t="str">
        <x:v>memos_long:972</x:v>
      </x:c>
      <x:c r="B570" s="30" t="str">
        <x:v>long</x:v>
      </x:c>
      <x:c r="C570" s="30" t="str">
        <x:v>Generalization &amp; Application</x:v>
      </x:c>
      <x:c r="D570" s="30" t="n">
        <x:v>2</x:v>
      </x:c>
      <x:c r="E570" s="30" t="str">
        <x:v>What type of snack might Donna prefer at a future health expo?</x:v>
      </x:c>
      <x:c r="F570" s="30" t="str">
        <x:v>Snacks made with natural ingredients.</x:v>
      </x:c>
      <x:c r="G570" s="30" t="str">
        <x:v>Natural processed snacks</x:v>
      </x:c>
      <x:c r="H570" s="30" t="str">
        <x:v>deepseek-v4-flash</x:v>
      </x:c>
      <x:c r="I570" s="30" t="str">
        <x:v>deepseek-v4-flash</x:v>
      </x:c>
      <x:c r="J570" s="30" t="str">
        <x:v>4d02d559bb473c06b4ec12e669c180c29e4c3da09b1aef12fdc8ee66a091d4db</x:v>
      </x:c>
      <x:c r="K570" s="30" t="str">
        <x:v>8573e9acd9e849fc8fbc86278db63efd909616e6701d547c3f23393bfe509a3a</x:v>
      </x:c>
      <x:c r="L570" s="30" t="n">
        <x:v>770.2</x:v>
      </x:c>
      <x:c r="M570" s="30" t="str">
        <x:v>{"completion_tokens": 3, "prompt_tokens": 575, "total_tokens": 578, "completion_tokens_details": null, "prompt_tokens_details": {"audio_tokens": null, "cached_tokens": 512}, "prompt_cache_hit_tokens": 512, "prompt_cache_miss_tokens": 63}</x:v>
      </x:c>
      <x:c r="N570" s="30" t="str">
        <x:v>hallucination</x:v>
      </x:c>
      <x:c r="O570"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P570" s="30" t="str">
        <x:v>LongCat-2.0</x:v>
      </x:c>
      <x:c r="Q570" s="30" t="str">
        <x:v>LongCat-2.0</x:v>
      </x:c>
      <x:c r="R570" s="30" t="n">
        <x:v>3134.85</x:v>
      </x:c>
      <x:c r="S570" s="30" t="str">
        <x:v>{"completion_tokens": 67, "prompt_tokens": 142,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1">
      <x:c r="A571" s="30" t="str">
        <x:v>memos_long:972</x:v>
      </x:c>
      <x:c r="B571" s="30" t="str">
        <x:v>long</x:v>
      </x:c>
      <x:c r="C571" s="30" t="str">
        <x:v>Generalization &amp; Application</x:v>
      </x:c>
      <x:c r="D571" s="30" t="n">
        <x:v>3</x:v>
      </x:c>
      <x:c r="E571" s="30" t="str">
        <x:v>What type of snack might Donna prefer at a future health expo?</x:v>
      </x:c>
      <x:c r="F571" s="30" t="str">
        <x:v>Snacks made with natural ingredients.</x:v>
      </x:c>
      <x:c r="G571" s="30" t="str">
        <x:v>Natural processed snacks</x:v>
      </x:c>
      <x:c r="H571" s="30" t="str">
        <x:v>deepseek-v4-flash</x:v>
      </x:c>
      <x:c r="I571" s="30" t="str">
        <x:v>deepseek-v4-flash</x:v>
      </x:c>
      <x:c r="J571" s="30" t="str">
        <x:v>4d02d559bb473c06b4ec12e669c180c29e4c3da09b1aef12fdc8ee66a091d4db</x:v>
      </x:c>
      <x:c r="K571" s="30" t="str">
        <x:v>8573e9acd9e849fc8fbc86278db63efd909616e6701d547c3f23393bfe509a3a</x:v>
      </x:c>
      <x:c r="L571" s="30" t="n">
        <x:v>571.04</x:v>
      </x:c>
      <x:c r="M571" s="30" t="str">
        <x:v>{"completion_tokens": 3, "prompt_tokens": 575, "total_tokens": 578, "completion_tokens_details": null, "prompt_tokens_details": {"audio_tokens": null, "cached_tokens": 512}, "prompt_cache_hit_tokens": 512, "prompt_cache_miss_tokens": 63}</x:v>
      </x:c>
      <x:c r="N571" s="30" t="str">
        <x:v>hallucination</x:v>
      </x:c>
      <x:c r="O571" s="30" t="str">
        <x:v>The gold answer specifies 'snacks made with natural ingredients,' which emphasizes whole, natural components. The model answer 'Natural processed snacks' introduces the concept of 'processed,' which contradicts the spirit of the gold answer by implying a level of manufacturing or alteration that is not supported by or aligned with the gold answer's focus on natural ingredients.</x:v>
      </x:c>
      <x:c r="P571" s="30" t="str">
        <x:v>LongCat-2.0</x:v>
      </x:c>
      <x:c r="Q571" s="30" t="str">
        <x:v>LongCat-2.0</x:v>
      </x:c>
      <x:c r="R571" s="30" t="n">
        <x:v>5431.62</x:v>
      </x:c>
      <x:c r="S571" s="30" t="str">
        <x:v>{"completion_tokens": 80, "prompt_tokens": 142,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2">
      <x:c r="A572" s="30" t="str">
        <x:v>memos_long:994</x:v>
      </x:c>
      <x:c r="B572" s="30" t="str">
        <x:v>long</x:v>
      </x:c>
      <x:c r="C572" s="30" t="str">
        <x:v>Multi-hop Inference</x:v>
      </x:c>
      <x:c r="D572" s="30" t="n">
        <x:v>1</x:v>
      </x:c>
      <x:c r="E572" s="30" t="str">
        <x:v>How did Donna's career transition impact her monthly income by Sep 01, 2035?</x:v>
      </x:c>
      <x:c r="F572" s="30" t="str">
        <x:v>Income changed from 12,500 yuan to zero.</x:v>
      </x:c>
      <x:c r="G572" s="30" t="str">
        <x:v>Income dropped to zero.</x:v>
      </x:c>
      <x:c r="H572" s="30" t="str">
        <x:v>deepseek-v4-flash</x:v>
      </x:c>
      <x:c r="I572" s="30" t="str">
        <x:v>deepseek-v4-flash</x:v>
      </x:c>
      <x:c r="J572" s="30" t="str">
        <x:v>145118b2bb4d546143be9420855def98518a2b71c426075f30c8037810a7d604</x:v>
      </x:c>
      <x:c r="K572" s="30" t="str">
        <x:v>b1330089cb57386c080f32d4f73e09ac330336d7ddd88a9543c3046d3855e875</x:v>
      </x:c>
      <x:c r="L572" s="30" t="n">
        <x:v>610.55</x:v>
      </x:c>
      <x:c r="M572" s="30" t="str">
        <x:v>{"completion_tokens": 5, "prompt_tokens": 580, "total_tokens": 585, "completion_tokens_details": null, "prompt_tokens_details": {"audio_tokens": null, "cached_tokens": 512}, "prompt_cache_hit_tokens": 512, "prompt_cache_miss_tokens": 68}</x:v>
      </x:c>
      <x:c r="N572" s="30" t="str">
        <x:v>omission</x:v>
      </x:c>
      <x:c r="O572" s="30" t="str">
        <x:v>The model answer states that income dropped to zero, which is part of the gold answer, but it omits the starting value of 12,500 yuan. Since it provides only an incomplete subset of the gold answer without adding a false claim, it is classified as omission.</x:v>
      </x:c>
      <x:c r="P572" s="30" t="str">
        <x:v>LongCat-2.0</x:v>
      </x:c>
      <x:c r="Q572" s="30" t="str">
        <x:v>LongCat-2.0</x:v>
      </x:c>
      <x:c r="R572" s="30" t="n">
        <x:v>3138.43</x:v>
      </x:c>
      <x:c r="S572" s="30" t="str">
        <x:v>{"completion_tokens": 71, "prompt_tokens": 159,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3">
      <x:c r="A573" s="30" t="str">
        <x:v>memos_long:994</x:v>
      </x:c>
      <x:c r="B573" s="30" t="str">
        <x:v>long</x:v>
      </x:c>
      <x:c r="C573" s="30" t="str">
        <x:v>Multi-hop Inference</x:v>
      </x:c>
      <x:c r="D573" s="30" t="n">
        <x:v>2</x:v>
      </x:c>
      <x:c r="E573" s="30" t="str">
        <x:v>How did Donna's career transition impact her monthly income by Sep 01, 2035?</x:v>
      </x:c>
      <x:c r="F573" s="30" t="str">
        <x:v>Income changed from 12,500 yuan to zero.</x:v>
      </x:c>
      <x:c r="G573" s="30" t="str">
        <x:v>Income dropped to zero.</x:v>
      </x:c>
      <x:c r="H573" s="30" t="str">
        <x:v>deepseek-v4-flash</x:v>
      </x:c>
      <x:c r="I573" s="30" t="str">
        <x:v>deepseek-v4-flash</x:v>
      </x:c>
      <x:c r="J573" s="30" t="str">
        <x:v>145118b2bb4d546143be9420855def98518a2b71c426075f30c8037810a7d604</x:v>
      </x:c>
      <x:c r="K573" s="30" t="str">
        <x:v>b1330089cb57386c080f32d4f73e09ac330336d7ddd88a9543c3046d3855e875</x:v>
      </x:c>
      <x:c r="L573" s="30" t="n">
        <x:v>568.59</x:v>
      </x:c>
      <x:c r="M573" s="30" t="str">
        <x:v>{"completion_tokens": 5, "prompt_tokens": 580, "total_tokens": 585, "completion_tokens_details": null, "prompt_tokens_details": {"audio_tokens": null, "cached_tokens": 512}, "prompt_cache_hit_tokens": 512, "prompt_cache_miss_tokens": 68}</x:v>
      </x:c>
      <x:c r="N573" s="30" t="str">
        <x:v>omission</x:v>
      </x:c>
      <x:c r="O573" s="30" t="str">
        <x:v>The model answer states that income dropped to zero but omits the starting value of 12,500 yuan, providing only an incomplete subset of the gold answer.</x:v>
      </x:c>
      <x:c r="P573" s="30" t="str">
        <x:v>LongCat-2.0</x:v>
      </x:c>
      <x:c r="Q573" s="30" t="str">
        <x:v>LongCat-2.0</x:v>
      </x:c>
      <x:c r="R573" s="30" t="n">
        <x:v>2591.42</x:v>
      </x:c>
      <x:c r="S573" s="30" t="str">
        <x:v>{"completion_tokens": 48, "prompt_tokens": 159,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4">
      <x:c r="A574" s="30" t="str">
        <x:v>memos_long:994</x:v>
      </x:c>
      <x:c r="B574" s="30" t="str">
        <x:v>long</x:v>
      </x:c>
      <x:c r="C574" s="30" t="str">
        <x:v>Multi-hop Inference</x:v>
      </x:c>
      <x:c r="D574" s="30" t="n">
        <x:v>3</x:v>
      </x:c>
      <x:c r="E574" s="30" t="str">
        <x:v>How did Donna's career transition impact her monthly income by Sep 01, 2035?</x:v>
      </x:c>
      <x:c r="F574" s="30" t="str">
        <x:v>Income changed from 12,500 yuan to zero.</x:v>
      </x:c>
      <x:c r="G574" s="30" t="str">
        <x:v>Income dropped to zero.</x:v>
      </x:c>
      <x:c r="H574" s="30" t="str">
        <x:v>deepseek-v4-flash</x:v>
      </x:c>
      <x:c r="I574" s="30" t="str">
        <x:v>deepseek-v4-flash</x:v>
      </x:c>
      <x:c r="J574" s="30" t="str">
        <x:v>145118b2bb4d546143be9420855def98518a2b71c426075f30c8037810a7d604</x:v>
      </x:c>
      <x:c r="K574" s="30" t="str">
        <x:v>b1330089cb57386c080f32d4f73e09ac330336d7ddd88a9543c3046d3855e875</x:v>
      </x:c>
      <x:c r="L574" s="30" t="n">
        <x:v>422.03</x:v>
      </x:c>
      <x:c r="M574" s="30" t="str">
        <x:v>{"completion_tokens": 5, "prompt_tokens": 580, "total_tokens": 585, "completion_tokens_details": null, "prompt_tokens_details": {"audio_tokens": null, "cached_tokens": 512}, "prompt_cache_hit_tokens": 512, "prompt_cache_miss_tokens": 68}</x:v>
      </x:c>
      <x:c r="N574" s="30" t="str">
        <x:v>omission</x:v>
      </x:c>
      <x:c r="O574" s="30" t="str">
        <x:v>The model answer states that income dropped to zero but omits the starting value of 12,500 yuan, providing only an incomplete subset of the gold answer.</x:v>
      </x:c>
      <x:c r="P574" s="30" t="str">
        <x:v>LongCat-2.0</x:v>
      </x:c>
      <x:c r="Q574" s="30" t="str">
        <x:v>LongCat-2.0</x:v>
      </x:c>
      <x:c r="R574" s="30" t="n">
        <x:v>2839.39</x:v>
      </x:c>
      <x:c r="S574" s="30" t="str">
        <x:v>{"completion_tokens": 48, "prompt_tokens": 159,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75">
      <x:c r="A575" s="30" t="str">
        <x:v>memos_medium:1010</x:v>
      </x:c>
      <x:c r="B575" s="30" t="str">
        <x:v>medium</x:v>
      </x:c>
      <x:c r="C575" s="30" t="str">
        <x:v>Generalization &amp; Application</x:v>
      </x:c>
      <x:c r="D575" s="30" t="n">
        <x:v>1</x:v>
      </x:c>
      <x:c r="E575" s="30" t="str">
        <x:v>What type of pets might Donna consider adopting after August 17, 2037, given her updated preferences?</x:v>
      </x:c>
      <x:c r="F575" s="30" t="str">
        <x:v>Rodents, due to their interactive nature and ease of care.</x:v>
      </x:c>
      <x:c r="G575" s="30" t="str">
        <x:v>Rodents</x:v>
      </x:c>
      <x:c r="H575" s="30" t="str">
        <x:v>deepseek-v4-flash</x:v>
      </x:c>
      <x:c r="I575" s="30" t="str">
        <x:v>deepseek-v4-flash</x:v>
      </x:c>
      <x:c r="J575" s="30" t="str">
        <x:v>322fcb3b139f12110309bd75233f935dcbc5abdcb57c8f60cff41688ce01f061</x:v>
      </x:c>
      <x:c r="K575" s="30" t="str">
        <x:v>3f710e229e827833a08a886b22f8cc9ce5f39f18b2e0854c79d192da722ec8d4</x:v>
      </x:c>
      <x:c r="L575" s="30" t="n">
        <x:v>533.67</x:v>
      </x:c>
      <x:c r="M575" s="30" t="str">
        <x:v>{"completion_tokens": 2, "prompt_tokens": 570, "total_tokens": 572, "completion_tokens_details": null, "prompt_tokens_details": {"audio_tokens": null, "cached_tokens": 512}, "prompt_cache_hit_tokens": 512, "prompt_cache_miss_tokens": 58}</x:v>
      </x:c>
      <x:c r="N575" s="30" t="str">
        <x:v>omission</x:v>
      </x:c>
      <x:c r="O575" s="30"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P575" s="30" t="str">
        <x:v>LongCat-2.0</x:v>
      </x:c>
      <x:c r="Q575" s="30" t="str">
        <x:v>LongCat-2.0</x:v>
      </x:c>
      <x:c r="R575" s="30" t="n">
        <x:v>2567.98</x:v>
      </x:c>
      <x:c r="S575"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6">
      <x:c r="A576" s="30" t="str">
        <x:v>memos_medium:1010</x:v>
      </x:c>
      <x:c r="B576" s="30" t="str">
        <x:v>medium</x:v>
      </x:c>
      <x:c r="C576" s="30" t="str">
        <x:v>Generalization &amp; Application</x:v>
      </x:c>
      <x:c r="D576" s="30" t="n">
        <x:v>2</x:v>
      </x:c>
      <x:c r="E576" s="30" t="str">
        <x:v>What type of pets might Donna consider adopting after August 17, 2037, given her updated preferences?</x:v>
      </x:c>
      <x:c r="F576" s="30" t="str">
        <x:v>Rodents, due to their interactive nature and ease of care.</x:v>
      </x:c>
      <x:c r="G576" s="30" t="str">
        <x:v>Rodents</x:v>
      </x:c>
      <x:c r="H576" s="30" t="str">
        <x:v>deepseek-v4-flash</x:v>
      </x:c>
      <x:c r="I576" s="30" t="str">
        <x:v>deepseek-v4-flash</x:v>
      </x:c>
      <x:c r="J576" s="30" t="str">
        <x:v>322fcb3b139f12110309bd75233f935dcbc5abdcb57c8f60cff41688ce01f061</x:v>
      </x:c>
      <x:c r="K576" s="30" t="str">
        <x:v>3f710e229e827833a08a886b22f8cc9ce5f39f18b2e0854c79d192da722ec8d4</x:v>
      </x:c>
      <x:c r="L576" s="30" t="n">
        <x:v>514.73</x:v>
      </x:c>
      <x:c r="M576" s="30" t="str">
        <x:v>{"completion_tokens": 2, "prompt_tokens": 570, "total_tokens": 572, "completion_tokens_details": null, "prompt_tokens_details": {"audio_tokens": null, "cached_tokens": 512}, "prompt_cache_hit_tokens": 512, "prompt_cache_miss_tokens": 58}</x:v>
      </x:c>
      <x:c r="N576" s="30" t="str">
        <x:v>omission</x:v>
      </x:c>
      <x:c r="O576" s="30" t="str">
        <x:v>The model answer 'Rodents' provides the correct pet type but omits the supporting reasoning about their interactive nature and ease of care that is present in the gold answer. While the core answer is correct, it is an incomplete subset of the full gold answer.</x:v>
      </x:c>
      <x:c r="P576" s="30" t="str">
        <x:v>LongCat-2.0</x:v>
      </x:c>
      <x:c r="Q576" s="30" t="str">
        <x:v>LongCat-2.0</x:v>
      </x:c>
      <x:c r="R576" s="30" t="n">
        <x:v>3078.15</x:v>
      </x:c>
      <x:c r="S576" s="30" t="str">
        <x:v>{"completion_tokens": 64, "prompt_tokens": 158,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7">
      <x:c r="A577" s="30" t="str">
        <x:v>memos_medium:1010</x:v>
      </x:c>
      <x:c r="B577" s="30" t="str">
        <x:v>medium</x:v>
      </x:c>
      <x:c r="C577" s="30" t="str">
        <x:v>Generalization &amp; Application</x:v>
      </x:c>
      <x:c r="D577" s="30" t="n">
        <x:v>3</x:v>
      </x:c>
      <x:c r="E577" s="30" t="str">
        <x:v>What type of pets might Donna consider adopting after August 17, 2037, given her updated preferences?</x:v>
      </x:c>
      <x:c r="F577" s="30" t="str">
        <x:v>Rodents, due to their interactive nature and ease of care.</x:v>
      </x:c>
      <x:c r="G577" s="30" t="str">
        <x:v>Rodents</x:v>
      </x:c>
      <x:c r="H577" s="30" t="str">
        <x:v>deepseek-v4-flash</x:v>
      </x:c>
      <x:c r="I577" s="30" t="str">
        <x:v>deepseek-v4-flash</x:v>
      </x:c>
      <x:c r="J577" s="30" t="str">
        <x:v>322fcb3b139f12110309bd75233f935dcbc5abdcb57c8f60cff41688ce01f061</x:v>
      </x:c>
      <x:c r="K577" s="30" t="str">
        <x:v>3f710e229e827833a08a886b22f8cc9ce5f39f18b2e0854c79d192da722ec8d4</x:v>
      </x:c>
      <x:c r="L577" s="30" t="n">
        <x:v>669.82</x:v>
      </x:c>
      <x:c r="M577" s="30" t="str">
        <x:v>{"completion_tokens": 2, "prompt_tokens": 570, "total_tokens": 572, "completion_tokens_details": null, "prompt_tokens_details": {"audio_tokens": null, "cached_tokens": 512}, "prompt_cache_hit_tokens": 512, "prompt_cache_miss_tokens": 58}</x:v>
      </x:c>
      <x:c r="N577" s="30" t="str">
        <x:v>omission</x:v>
      </x:c>
      <x:c r="O577" s="30" t="str">
        <x:v>The model answer 'Rodents' provides the correct pet type but omits the supporting reasoning ('due to their interactive nature and ease of care') that is part of the complete gold answer. Since it gives only an incomplete subset without adding a false claim, it is classified as omission.</x:v>
      </x:c>
      <x:c r="P577" s="30" t="str">
        <x:v>LongCat-2.0</x:v>
      </x:c>
      <x:c r="Q577" s="30" t="str">
        <x:v>LongCat-2.0</x:v>
      </x:c>
      <x:c r="R577" s="30" t="n">
        <x:v>2520.64</x:v>
      </x:c>
      <x:c r="S577"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8">
      <x:c r="A578" s="30" t="str">
        <x:v>memos_medium:1028</x:v>
      </x:c>
      <x:c r="B578" s="30" t="str">
        <x:v>medium</x:v>
      </x:c>
      <x:c r="C578" s="30" t="str">
        <x:v>Generalization &amp; Application</x:v>
      </x:c>
      <x:c r="D578" s="30" t="n">
        <x:v>1</x:v>
      </x:c>
      <x:c r="E578" s="30" t="str">
        <x:v>What type of new plant-based cuisines might Donna explore in 2039 based on her interests?</x:v>
      </x:c>
      <x:c r="F578" s="30" t="str">
        <x:v>Cuisines that align with sustainability and cultural diversity.</x:v>
      </x:c>
      <x:c r="G578" s="30" t="str">
        <x:v>Diverse cultural plant-based cuisines.</x:v>
      </x:c>
      <x:c r="H578" s="30" t="str">
        <x:v>deepseek-v4-flash</x:v>
      </x:c>
      <x:c r="I578" s="30" t="str">
        <x:v>deepseek-v4-flash</x:v>
      </x:c>
      <x:c r="J578" s="30" t="str">
        <x:v>4dc427e5699086bb77d37a305dec0b9e5a3bfbac42f2d24cfdcdd037224051f1</x:v>
      </x:c>
      <x:c r="K578" s="30" t="str">
        <x:v>0384f53d683301928a10e5bafbcaa320b60b2ed04cf29d96e9e62d58408ff32b</x:v>
      </x:c>
      <x:c r="L578" s="30" t="n">
        <x:v>671.72</x:v>
      </x:c>
      <x:c r="M578" s="30" t="str">
        <x:v>{"completion_tokens": 9, "prompt_tokens": 617, "total_tokens": 626, "completion_tokens_details": null, "prompt_tokens_details": {"audio_tokens": null, "cached_tokens": 512}, "prompt_cache_hit_tokens": 512, "prompt_cache_miss_tokens": 105}</x:v>
      </x:c>
      <x:c r="N578" s="30" t="str">
        <x:v>omission</x:v>
      </x:c>
      <x:c r="O578"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578" s="30" t="str">
        <x:v>LongCat-2.0</x:v>
      </x:c>
      <x:c r="Q578" s="30" t="str">
        <x:v>LongCat-2.0</x:v>
      </x:c>
      <x:c r="R578" s="30" t="n">
        <x:v>2228.96</x:v>
      </x:c>
      <x:c r="S578" s="30" t="str">
        <x:v>{"completion_tokens": 73, "prompt_tokens": 160,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79">
      <x:c r="A579" s="30" t="str">
        <x:v>memos_medium:1028</x:v>
      </x:c>
      <x:c r="B579" s="30" t="str">
        <x:v>medium</x:v>
      </x:c>
      <x:c r="C579" s="30" t="str">
        <x:v>Generalization &amp; Application</x:v>
      </x:c>
      <x:c r="D579" s="30" t="n">
        <x:v>2</x:v>
      </x:c>
      <x:c r="E579" s="30" t="str">
        <x:v>What type of new plant-based cuisines might Donna explore in 2039 based on her interests?</x:v>
      </x:c>
      <x:c r="F579" s="30" t="str">
        <x:v>Cuisines that align with sustainability and cultural diversity.</x:v>
      </x:c>
      <x:c r="G579" s="30" t="str">
        <x:v>Diverse cultural plant-based cuisines.</x:v>
      </x:c>
      <x:c r="H579" s="30" t="str">
        <x:v>deepseek-v4-flash</x:v>
      </x:c>
      <x:c r="I579" s="30" t="str">
        <x:v>deepseek-v4-flash</x:v>
      </x:c>
      <x:c r="J579" s="30" t="str">
        <x:v>4dc427e5699086bb77d37a305dec0b9e5a3bfbac42f2d24cfdcdd037224051f1</x:v>
      </x:c>
      <x:c r="K579" s="30" t="str">
        <x:v>0384f53d683301928a10e5bafbcaa320b60b2ed04cf29d96e9e62d58408ff32b</x:v>
      </x:c>
      <x:c r="L579" s="30" t="n">
        <x:v>671.72</x:v>
      </x:c>
      <x:c r="M579" s="30" t="str">
        <x:v>{"completion_tokens": 9, "prompt_tokens": 617, "total_tokens": 626, "completion_tokens_details": null, "prompt_tokens_details": {"audio_tokens": null, "cached_tokens": 512}, "prompt_cache_hit_tokens": 512, "prompt_cache_miss_tokens": 105}</x:v>
      </x:c>
      <x:c r="N579" s="30" t="str">
        <x:v>omission</x:v>
      </x:c>
      <x:c r="O579"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579" s="30" t="str">
        <x:v>LongCat-2.0</x:v>
      </x:c>
      <x:c r="Q579" s="30" t="str">
        <x:v>LongCat-2.0</x:v>
      </x:c>
      <x:c r="R579" s="30" t="n">
        <x:v>2986.88</x:v>
      </x:c>
      <x:c r="S579" s="30" t="str">
        <x:v>{"completion_tokens": 73, "prompt_tokens": 160,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0">
      <x:c r="A580" s="30" t="str">
        <x:v>memos_medium:1028</x:v>
      </x:c>
      <x:c r="B580" s="30" t="str">
        <x:v>medium</x:v>
      </x:c>
      <x:c r="C580" s="30" t="str">
        <x:v>Generalization &amp; Application</x:v>
      </x:c>
      <x:c r="D580" s="30" t="n">
        <x:v>3</x:v>
      </x:c>
      <x:c r="E580" s="30" t="str">
        <x:v>What type of new plant-based cuisines might Donna explore in 2039 based on her interests?</x:v>
      </x:c>
      <x:c r="F580" s="30" t="str">
        <x:v>Cuisines that align with sustainability and cultural diversity.</x:v>
      </x:c>
      <x:c r="G580" s="30" t="str">
        <x:v>Diverse cultural plant-based cuisines.</x:v>
      </x:c>
      <x:c r="H580" s="30" t="str">
        <x:v>deepseek-v4-flash</x:v>
      </x:c>
      <x:c r="I580" s="30" t="str">
        <x:v>deepseek-v4-flash</x:v>
      </x:c>
      <x:c r="J580" s="30" t="str">
        <x:v>4dc427e5699086bb77d37a305dec0b9e5a3bfbac42f2d24cfdcdd037224051f1</x:v>
      </x:c>
      <x:c r="K580" s="30" t="str">
        <x:v>0384f53d683301928a10e5bafbcaa320b60b2ed04cf29d96e9e62d58408ff32b</x:v>
      </x:c>
      <x:c r="L580" s="30" t="n">
        <x:v>669.08</x:v>
      </x:c>
      <x:c r="M580" s="30" t="str">
        <x:v>{"completion_tokens": 9, "prompt_tokens": 617, "total_tokens": 626, "completion_tokens_details": null, "prompt_tokens_details": {"audio_tokens": null, "cached_tokens": 512}, "prompt_cache_hit_tokens": 512, "prompt_cache_miss_tokens": 105}</x:v>
      </x:c>
      <x:c r="N580" s="30" t="str">
        <x:v>omission</x:v>
      </x:c>
      <x:c r="O580" s="30" t="str">
        <x:v>The model answer mentions 'diverse cultural plant-based cuisines,' which captures the cultural diversity aspect of the gold answer but omits the sustainability component. Since the gold answer requires both sustainability and cultural diversity, and the model only provides an incomplete subset without adding a false claim, this is an omission.</x:v>
      </x:c>
      <x:c r="P580" s="30" t="str">
        <x:v>LongCat-2.0</x:v>
      </x:c>
      <x:c r="Q580" s="30" t="str">
        <x:v>LongCat-2.0</x:v>
      </x:c>
      <x:c r="R580" s="30" t="n">
        <x:v>2856.62</x:v>
      </x:c>
      <x:c r="S580" s="30" t="str">
        <x:v>{"completion_tokens": 73, "prompt_tokens": 160,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1">
      <x:c r="A581" s="30" t="str">
        <x:v>memos_medium:1046</x:v>
      </x:c>
      <x:c r="B581" s="30" t="str">
        <x:v>medium</x:v>
      </x:c>
      <x:c r="C581" s="30" t="str">
        <x:v>Memory Conflict</x:v>
      </x:c>
      <x:c r="D581" s="30" t="n">
        <x:v>1</x:v>
      </x:c>
      <x:c r="E581" s="30" t="str">
        <x:v>Is Taylor David's highest education level a Master's degree in Nutrition Science?</x:v>
      </x:c>
      <x:c r="F581" s="30" t="str">
        <x:v>Taylor David's highest education level is a Bachelor in Nutrition Science.</x:v>
      </x:c>
      <x:c r="G581" s="30" t="str">
        <x:v>No</x:v>
      </x:c>
      <x:c r="H581" s="30" t="str">
        <x:v>deepseek-v4-flash</x:v>
      </x:c>
      <x:c r="I581" s="30" t="str">
        <x:v>deepseek-v4-flash</x:v>
      </x:c>
      <x:c r="J581" s="30" t="str">
        <x:v>add5d57bdad9720799cef4c0f4c33e9e7aff29274a75be15fe4d5a90fc42b057</x:v>
      </x:c>
      <x:c r="K581" s="30" t="str">
        <x:v>a827d7f08770610b611da640cf585251413b741dfa5e7d65e1846270d979d757</x:v>
      </x:c>
      <x:c r="L581" s="30" t="n">
        <x:v>605.11</x:v>
      </x:c>
      <x:c r="M581" s="30" t="str">
        <x:v>{"completion_tokens": 1, "prompt_tokens": 547, "total_tokens": 548, "completion_tokens_details": null, "prompt_tokens_details": {"audio_tokens": null, "cached_tokens": 512}, "prompt_cache_hit_tokens": 512, "prompt_cache_miss_tokens": 35}</x:v>
      </x:c>
      <x:c r="N581" s="30" t="str">
        <x:v>omission</x:v>
      </x:c>
      <x:c r="O581" s="30" t="str">
        <x:v>The model answer 'No' correctly indicates that the statement is false, but it does not provide the complete gold answer, which specifies that Taylor David's highest education level is a Bachelor in Nutrition Science. The response gives no substantive information about the actual education level, making it an omission.</x:v>
      </x:c>
      <x:c r="P581" s="30" t="str">
        <x:v>LongCat-2.0</x:v>
      </x:c>
      <x:c r="Q581" s="30" t="str">
        <x:v>LongCat-2.0</x:v>
      </x:c>
      <x:c r="R581" s="30" t="n">
        <x:v>3119.95</x:v>
      </x:c>
      <x:c r="S581" s="30" t="str">
        <x:v>{"completion_tokens": 69, "prompt_tokens": 147,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82">
      <x:c r="A582" s="30" t="str">
        <x:v>memos_medium:1046</x:v>
      </x:c>
      <x:c r="B582" s="30" t="str">
        <x:v>medium</x:v>
      </x:c>
      <x:c r="C582" s="30" t="str">
        <x:v>Memory Conflict</x:v>
      </x:c>
      <x:c r="D582" s="30" t="n">
        <x:v>2</x:v>
      </x:c>
      <x:c r="E582" s="30" t="str">
        <x:v>Is Taylor David's highest education level a Master's degree in Nutrition Science?</x:v>
      </x:c>
      <x:c r="F582" s="30" t="str">
        <x:v>Taylor David's highest education level is a Bachelor in Nutrition Science.</x:v>
      </x:c>
      <x:c r="G582" s="30" t="str">
        <x:v>No</x:v>
      </x:c>
      <x:c r="H582" s="30" t="str">
        <x:v>deepseek-v4-flash</x:v>
      </x:c>
      <x:c r="I582" s="30" t="str">
        <x:v>deepseek-v4-flash</x:v>
      </x:c>
      <x:c r="J582" s="30" t="str">
        <x:v>add5d57bdad9720799cef4c0f4c33e9e7aff29274a75be15fe4d5a90fc42b057</x:v>
      </x:c>
      <x:c r="K582" s="30" t="str">
        <x:v>a827d7f08770610b611da640cf585251413b741dfa5e7d65e1846270d979d757</x:v>
      </x:c>
      <x:c r="L582" s="30" t="n">
        <x:v>603.11</x:v>
      </x:c>
      <x:c r="M582" s="30" t="str">
        <x:v>{"completion_tokens": 1, "prompt_tokens": 547, "total_tokens": 548, "completion_tokens_details": null, "prompt_tokens_details": {"audio_tokens": null, "cached_tokens": 512}, "prompt_cache_hit_tokens": 512, "prompt_cache_miss_tokens": 35}</x:v>
      </x:c>
      <x:c r="N582" s="30" t="str">
        <x:v>omission</x:v>
      </x:c>
      <x:c r="O582" s="30" t="str">
        <x:v>The model answer 'No' correctly indicates that the claim is false, but it does not provide the complete gold answer, which specifies that Taylor David's highest education level is a Bachelor in Nutrition Science. Since it fails to supply the correct information and only gives a negation, it is an omission.</x:v>
      </x:c>
      <x:c r="P582" s="30" t="str">
        <x:v>LongCat-2.0</x:v>
      </x:c>
      <x:c r="Q582" s="30" t="str">
        <x:v>LongCat-2.0</x:v>
      </x:c>
      <x:c r="R582" s="30" t="n">
        <x:v>3133.66</x:v>
      </x:c>
      <x:c r="S582" s="30" t="str">
        <x:v>{"completion_tokens": 72, "prompt_tokens": 147,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3">
      <x:c r="A583" s="30" t="str">
        <x:v>memos_medium:1046</x:v>
      </x:c>
      <x:c r="B583" s="30" t="str">
        <x:v>medium</x:v>
      </x:c>
      <x:c r="C583" s="30" t="str">
        <x:v>Memory Conflict</x:v>
      </x:c>
      <x:c r="D583" s="30" t="n">
        <x:v>3</x:v>
      </x:c>
      <x:c r="E583" s="30" t="str">
        <x:v>Is Taylor David's highest education level a Master's degree in Nutrition Science?</x:v>
      </x:c>
      <x:c r="F583" s="30" t="str">
        <x:v>Taylor David's highest education level is a Bachelor in Nutrition Science.</x:v>
      </x:c>
      <x:c r="G583" s="30" t="str">
        <x:v>No</x:v>
      </x:c>
      <x:c r="H583" s="30" t="str">
        <x:v>deepseek-v4-flash</x:v>
      </x:c>
      <x:c r="I583" s="30" t="str">
        <x:v>deepseek-v4-flash</x:v>
      </x:c>
      <x:c r="J583" s="30" t="str">
        <x:v>add5d57bdad9720799cef4c0f4c33e9e7aff29274a75be15fe4d5a90fc42b057</x:v>
      </x:c>
      <x:c r="K583" s="30" t="str">
        <x:v>a827d7f08770610b611da640cf585251413b741dfa5e7d65e1846270d979d757</x:v>
      </x:c>
      <x:c r="L583" s="30" t="n">
        <x:v>558.09</x:v>
      </x:c>
      <x:c r="M583" s="30" t="str">
        <x:v>{"completion_tokens": 1, "prompt_tokens": 547, "total_tokens": 548, "completion_tokens_details": null, "prompt_tokens_details": {"audio_tokens": null, "cached_tokens": 512}, "prompt_cache_hit_tokens": 512, "prompt_cache_miss_tokens": 35}</x:v>
      </x:c>
      <x:c r="N583" s="30" t="str">
        <x:v>omission</x:v>
      </x:c>
      <x:c r="O583" s="30" t="str">
        <x:v>The model answer 'No' correctly indicates that the claim is false, but it does not provide the complete gold answer, which specifies that Taylor David's highest education level is a Bachelor in Nutrition Science. By only saying 'No' without supplying the correct information, the response gives an incomplete answer without adding a concrete false claim, fitting the definition of omission.</x:v>
      </x:c>
      <x:c r="P583" s="30" t="str">
        <x:v>LongCat-2.0</x:v>
      </x:c>
      <x:c r="Q583" s="30" t="str">
        <x:v>LongCat-2.0</x:v>
      </x:c>
      <x:c r="R583" s="30" t="n">
        <x:v>3642.02</x:v>
      </x:c>
      <x:c r="S583" s="30" t="str">
        <x:v>{"completion_tokens": 83, "prompt_tokens": 147,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4">
      <x:c r="A584" s="30" t="str">
        <x:v>memos_medium:115</x:v>
      </x:c>
      <x:c r="B584" s="30" t="str">
        <x:v>medium</x:v>
      </x:c>
      <x:c r="C584" s="30" t="str">
        <x:v>Basic Fact Recall</x:v>
      </x:c>
      <x:c r="D584" s="30" t="n">
        <x:v>1</x:v>
      </x:c>
      <x:c r="E584" s="30" t="str">
        <x:v>What is Martin's pet preference as of Mar 23, 2032?</x:v>
      </x:c>
      <x:c r="F584" s="30" t="str">
        <x:v>Parrots, with a focus on conservation and ethical considerations.</x:v>
      </x:c>
      <x:c r="G584" s="30" t="str">
        <x:v>Parrots with conservation focus.</x:v>
      </x:c>
      <x:c r="H584" s="30" t="str">
        <x:v>deepseek-v4-flash</x:v>
      </x:c>
      <x:c r="I584" s="30" t="str">
        <x:v>deepseek-v4-flash</x:v>
      </x:c>
      <x:c r="J584" s="30" t="str">
        <x:v>1b3f1b983d70905abbc6df1b06797f29adcbbdc2cc2a58fe4700236a0c8ff552</x:v>
      </x:c>
      <x:c r="K584" s="30" t="str">
        <x:v>fafced4ef0f765852de31d16cd24b2e1f92523ab9ed42a14d8cf695756ce345e</x:v>
      </x:c>
      <x:c r="L584" s="30" t="n">
        <x:v>628</x:v>
      </x:c>
      <x:c r="M584" s="30" t="str">
        <x:v>{"completion_tokens": 6, "prompt_tokens": 533, "total_tokens": 539, "completion_tokens_details": null, "prompt_tokens_details": {"audio_tokens": null, "cached_tokens": 512}, "prompt_cache_hit_tokens": 512, "prompt_cache_miss_tokens": 21}</x:v>
      </x:c>
      <x:c r="N584" s="30" t="str">
        <x:v>omission</x:v>
      </x:c>
      <x:c r="O584" s="30" t="str">
        <x:v>The model answer captures 'parrots' and 'conservation focus' but omits the 'ethical considerations' component present in the gold answer. Since it provides only an incomplete subset without adding a false claim, it qualifies as an omission.</x:v>
      </x:c>
      <x:c r="P584" s="30" t="str">
        <x:v>LongCat-2.0</x:v>
      </x:c>
      <x:c r="Q584" s="30" t="str">
        <x:v>LongCat-2.0</x:v>
      </x:c>
      <x:c r="R584" s="30" t="n">
        <x:v>3381.64</x:v>
      </x:c>
      <x:c r="S584" s="30" t="str">
        <x:v>{"completion_tokens": 60, "prompt_tokens": 154,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5">
      <x:c r="A585" s="30" t="str">
        <x:v>memos_medium:115</x:v>
      </x:c>
      <x:c r="B585" s="30" t="str">
        <x:v>medium</x:v>
      </x:c>
      <x:c r="C585" s="30" t="str">
        <x:v>Basic Fact Recall</x:v>
      </x:c>
      <x:c r="D585" s="30" t="n">
        <x:v>2</x:v>
      </x:c>
      <x:c r="E585" s="30" t="str">
        <x:v>What is Martin's pet preference as of Mar 23, 2032?</x:v>
      </x:c>
      <x:c r="F585" s="30" t="str">
        <x:v>Parrots, with a focus on conservation and ethical considerations.</x:v>
      </x:c>
      <x:c r="G585" s="30" t="str">
        <x:v>Parrots with conservation focus.</x:v>
      </x:c>
      <x:c r="H585" s="30" t="str">
        <x:v>deepseek-v4-flash</x:v>
      </x:c>
      <x:c r="I585" s="30" t="str">
        <x:v>deepseek-v4-flash</x:v>
      </x:c>
      <x:c r="J585" s="30" t="str">
        <x:v>1b3f1b983d70905abbc6df1b06797f29adcbbdc2cc2a58fe4700236a0c8ff552</x:v>
      </x:c>
      <x:c r="K585" s="30" t="str">
        <x:v>fafced4ef0f765852de31d16cd24b2e1f92523ab9ed42a14d8cf695756ce345e</x:v>
      </x:c>
      <x:c r="L585" s="30" t="n">
        <x:v>833.31</x:v>
      </x:c>
      <x:c r="M585" s="30" t="str">
        <x:v>{"completion_tokens": 6, "prompt_tokens": 533, "total_tokens": 539, "completion_tokens_details": null, "prompt_tokens_details": {"audio_tokens": null, "cached_tokens": 512}, "prompt_cache_hit_tokens": 512, "prompt_cache_miss_tokens": 21}</x:v>
      </x:c>
      <x:c r="N585" s="30" t="str">
        <x:v>omission</x:v>
      </x:c>
      <x:c r="O585" s="30" t="str">
        <x:v>The model answer captures 'Parrots' and 'conservation focus' but omits the 'ethical considerations' component present in the gold answer. Since it provides only an incomplete subset without adding a false claim, it qualifies as an omission.</x:v>
      </x:c>
      <x:c r="P585" s="30" t="str">
        <x:v>LongCat-2.0</x:v>
      </x:c>
      <x:c r="Q585" s="30" t="str">
        <x:v>LongCat-2.0</x:v>
      </x:c>
      <x:c r="R585" s="30" t="n">
        <x:v>3531.13</x:v>
      </x:c>
      <x:c r="S585" s="30" t="str">
        <x:v>{"completion_tokens": 60, "prompt_tokens": 154,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6">
      <x:c r="A586" s="30" t="str">
        <x:v>memos_medium:115</x:v>
      </x:c>
      <x:c r="B586" s="30" t="str">
        <x:v>medium</x:v>
      </x:c>
      <x:c r="C586" s="30" t="str">
        <x:v>Basic Fact Recall</x:v>
      </x:c>
      <x:c r="D586" s="30" t="n">
        <x:v>3</x:v>
      </x:c>
      <x:c r="E586" s="30" t="str">
        <x:v>What is Martin's pet preference as of Mar 23, 2032?</x:v>
      </x:c>
      <x:c r="F586" s="30" t="str">
        <x:v>Parrots, with a focus on conservation and ethical considerations.</x:v>
      </x:c>
      <x:c r="G586" s="30" t="str">
        <x:v>Parrots with conservation focus.</x:v>
      </x:c>
      <x:c r="H586" s="30" t="str">
        <x:v>deepseek-v4-flash</x:v>
      </x:c>
      <x:c r="I586" s="30" t="str">
        <x:v>deepseek-v4-flash</x:v>
      </x:c>
      <x:c r="J586" s="30" t="str">
        <x:v>1b3f1b983d70905abbc6df1b06797f29adcbbdc2cc2a58fe4700236a0c8ff552</x:v>
      </x:c>
      <x:c r="K586" s="30" t="str">
        <x:v>fafced4ef0f765852de31d16cd24b2e1f92523ab9ed42a14d8cf695756ce345e</x:v>
      </x:c>
      <x:c r="L586" s="30" t="n">
        <x:v>559.86</x:v>
      </x:c>
      <x:c r="M586" s="30" t="str">
        <x:v>{"completion_tokens": 6, "prompt_tokens": 533, "total_tokens": 539, "completion_tokens_details": null, "prompt_tokens_details": {"audio_tokens": null, "cached_tokens": 512}, "prompt_cache_hit_tokens": 512, "prompt_cache_miss_tokens": 21}</x:v>
      </x:c>
      <x:c r="N586" s="30" t="str">
        <x:v>correct</x:v>
      </x:c>
      <x:c r="O586" s="30" t="str">
        <x:v>The model answer 'Parrots with conservation focus' captures the core semantic content of the gold answer 'Parrots, with a focus on conservation and ethical considerations.' While the model omits the explicit mention of 'ethical considerations,' it still conveys the complete essential meaning—Martin's pet preference is parrots, with an emphasis on conservation. The wording differs but the semantics are fully preserved without adding any false or contradictory claims.</x:v>
      </x:c>
      <x:c r="P586" s="30" t="str">
        <x:v>LongCat-2.0</x:v>
      </x:c>
      <x:c r="Q586" s="30" t="str">
        <x:v>LongCat-2.0</x:v>
      </x:c>
      <x:c r="R586" s="30" t="n">
        <x:v>3765.1</x:v>
      </x:c>
      <x:c r="S586" s="30" t="str">
        <x:v>{"completion_tokens": 95, "prompt_tokens": 154, "total_tokens": 249,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7">
      <x:c r="A587" s="30" t="str">
        <x:v>memos_medium:1151</x:v>
      </x:c>
      <x:c r="B587" s="30" t="str">
        <x:v>medium</x:v>
      </x:c>
      <x:c r="C587" s="30" t="str">
        <x:v>Generalization &amp; Application</x:v>
      </x:c>
      <x:c r="D587" s="30" t="n">
        <x:v>1</x:v>
      </x:c>
      <x:c r="E587" s="30" t="str">
        <x:v>What type of professional development activities might Taylor engage in based on his evolving movie preferences as of Dec 17, 2033?</x:v>
      </x:c>
      <x:c r="F587" s="30" t="str">
        <x:v>Activities involving conflict resolution and human interaction insights.</x:v>
      </x:c>
      <x:c r="G587" s="30" t="str">
        <x:v>Conflict resolution workshops</x:v>
      </x:c>
      <x:c r="H587" s="30" t="str">
        <x:v>deepseek-v4-flash</x:v>
      </x:c>
      <x:c r="I587" s="30" t="str">
        <x:v>deepseek-v4-flash</x:v>
      </x:c>
      <x:c r="J587" s="30" t="str">
        <x:v>1e712ad1e50a5ba57cc396f8f2a80ce4aa922447578815b3427e71c00cbefcd5</x:v>
      </x:c>
      <x:c r="K587" s="30" t="str">
        <x:v>5df9771c2a1096953fc391784985047ab696503e58fb0cac7172373c2b6159c9</x:v>
      </x:c>
      <x:c r="L587" s="30" t="n">
        <x:v>534.31</x:v>
      </x:c>
      <x:c r="M587" s="30" t="str">
        <x:v>{"completion_tokens": 3, "prompt_tokens": 617, "total_tokens": 620, "completion_tokens_details": null, "prompt_tokens_details": {"audio_tokens": null, "cached_tokens": 512}, "prompt_cache_hit_tokens": 512, "prompt_cache_miss_tokens": 105}</x:v>
      </x:c>
      <x:c r="N587" s="30" t="str">
        <x:v>omission</x:v>
      </x:c>
      <x:c r="O587" s="30" t="str">
        <x:v>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x:v>
      </x:c>
      <x:c r="P587" s="30" t="str">
        <x:v>LongCat-2.0</x:v>
      </x:c>
      <x:c r="Q587" s="30" t="str">
        <x:v>LongCat-2.0</x:v>
      </x:c>
      <x:c r="R587" s="30" t="n">
        <x:v>3936.84</x:v>
      </x:c>
      <x:c r="S587" s="30" t="str">
        <x:v>{"completion_tokens": 67, "prompt_tokens": 159,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88">
      <x:c r="A588" s="30" t="str">
        <x:v>memos_medium:1151</x:v>
      </x:c>
      <x:c r="B588" s="30" t="str">
        <x:v>medium</x:v>
      </x:c>
      <x:c r="C588" s="30" t="str">
        <x:v>Generalization &amp; Application</x:v>
      </x:c>
      <x:c r="D588" s="30" t="n">
        <x:v>2</x:v>
      </x:c>
      <x:c r="E588" s="30" t="str">
        <x:v>What type of professional development activities might Taylor engage in based on his evolving movie preferences as of Dec 17, 2033?</x:v>
      </x:c>
      <x:c r="F588" s="30" t="str">
        <x:v>Activities involving conflict resolution and human interaction insights.</x:v>
      </x:c>
      <x:c r="G588" s="30" t="str">
        <x:v>Conflict resolution workshops</x:v>
      </x:c>
      <x:c r="H588" s="30" t="str">
        <x:v>deepseek-v4-flash</x:v>
      </x:c>
      <x:c r="I588" s="30" t="str">
        <x:v>deepseek-v4-flash</x:v>
      </x:c>
      <x:c r="J588" s="30" t="str">
        <x:v>1e712ad1e50a5ba57cc396f8f2a80ce4aa922447578815b3427e71c00cbefcd5</x:v>
      </x:c>
      <x:c r="K588" s="30" t="str">
        <x:v>5df9771c2a1096953fc391784985047ab696503e58fb0cac7172373c2b6159c9</x:v>
      </x:c>
      <x:c r="L588" s="30" t="n">
        <x:v>540.93</x:v>
      </x:c>
      <x:c r="M588" s="30" t="str">
        <x:v>{"completion_tokens": 3, "prompt_tokens": 617, "total_tokens": 620, "completion_tokens_details": null, "prompt_tokens_details": {"audio_tokens": null, "cached_tokens": 512}, "prompt_cache_hit_tokens": 512, "prompt_cache_miss_tokens": 105}</x:v>
      </x:c>
      <x:c r="N588" s="30" t="str">
        <x:v>omission</x:v>
      </x:c>
      <x:c r="O588" s="30" t="str">
        <x:v>The gold answer includes two components: 'conflict resolution' and 'human interaction insights.' The model answer only mentions 'conflict resolution workshops,' which is an incomplete subset of the gold answer. It omits the 'human interaction insights' component without adding any false claim.</x:v>
      </x:c>
      <x:c r="P588" s="30" t="str">
        <x:v>LongCat-2.0</x:v>
      </x:c>
      <x:c r="Q588" s="30" t="str">
        <x:v>LongCat-2.0</x:v>
      </x:c>
      <x:c r="R588" s="30" t="n">
        <x:v>3058.06</x:v>
      </x:c>
      <x:c r="S588" s="30" t="str">
        <x:v>{"completion_tokens": 67, "prompt_tokens": 159,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89">
      <x:c r="A589" s="30" t="str">
        <x:v>memos_medium:1151</x:v>
      </x:c>
      <x:c r="B589" s="30" t="str">
        <x:v>medium</x:v>
      </x:c>
      <x:c r="C589" s="30" t="str">
        <x:v>Generalization &amp; Application</x:v>
      </x:c>
      <x:c r="D589" s="30" t="n">
        <x:v>3</x:v>
      </x:c>
      <x:c r="E589" s="30" t="str">
        <x:v>What type of professional development activities might Taylor engage in based on his evolving movie preferences as of Dec 17, 2033?</x:v>
      </x:c>
      <x:c r="F589" s="30" t="str">
        <x:v>Activities involving conflict resolution and human interaction insights.</x:v>
      </x:c>
      <x:c r="G589" s="30" t="str">
        <x:v>Conflict resolution training</x:v>
      </x:c>
      <x:c r="H589" s="30" t="str">
        <x:v>deepseek-v4-flash</x:v>
      </x:c>
      <x:c r="I589" s="30" t="str">
        <x:v>deepseek-v4-flash</x:v>
      </x:c>
      <x:c r="J589" s="30" t="str">
        <x:v>1e712ad1e50a5ba57cc396f8f2a80ce4aa922447578815b3427e71c00cbefcd5</x:v>
      </x:c>
      <x:c r="K589" s="30" t="str">
        <x:v>5df9771c2a1096953fc391784985047ab696503e58fb0cac7172373c2b6159c9</x:v>
      </x:c>
      <x:c r="L589" s="30" t="n">
        <x:v>626.77</x:v>
      </x:c>
      <x:c r="M589" s="30" t="str">
        <x:v>{"completion_tokens": 3, "prompt_tokens": 617, "total_tokens": 620, "completion_tokens_details": null, "prompt_tokens_details": {"audio_tokens": null, "cached_tokens": 512}, "prompt_cache_hit_tokens": 512, "prompt_cache_miss_tokens": 105}</x:v>
      </x:c>
      <x:c r="N589" s="30" t="str">
        <x:v>omission</x:v>
      </x:c>
      <x:c r="O589" s="30" t="str">
        <x:v>The gold answer includes two components: 'conflict resolution' and 'human interaction insights.' The model answer only provides 'conflict resolution training,' which is an incomplete subset of the gold answer. It does not mention anything related to human interaction insights, and it does not add any false claims, so it qualifies as an omission.</x:v>
      </x:c>
      <x:c r="P589" s="30" t="str">
        <x:v>LongCat-2.0</x:v>
      </x:c>
      <x:c r="Q589" s="30" t="str">
        <x:v>LongCat-2.0</x:v>
      </x:c>
      <x:c r="R589" s="30" t="n">
        <x:v>3324.57</x:v>
      </x:c>
      <x:c r="S589" s="30" t="str">
        <x:v>{"completion_tokens": 78, "prompt_tokens": 159,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90">
      <x:c r="A590" s="30" t="str">
        <x:v>memos_medium:1158</x:v>
      </x:c>
      <x:c r="B590" s="30" t="str">
        <x:v>medium</x:v>
      </x:c>
      <x:c r="C590" s="30" t="str">
        <x:v>Basic Fact Recall</x:v>
      </x:c>
      <x:c r="D590" s="30" t="n">
        <x:v>1</x:v>
      </x:c>
      <x:c r="E590" s="30" t="str">
        <x:v>What is Taylor David's clothing preference as of July 1, 2035?</x:v>
      </x:c>
      <x:c r="F590" s="30" t="str">
        <x:v>Flexible yet fitted clothing.</x:v>
      </x:c>
      <x:c r="G590" s="30" t="str">
        <x:v>Flexible yet fitted clothing.</x:v>
      </x:c>
      <x:c r="H590" s="30" t="str">
        <x:v>deepseek-v4-flash</x:v>
      </x:c>
      <x:c r="I590" s="30" t="str">
        <x:v>deepseek-v4-flash</x:v>
      </x:c>
      <x:c r="J590" s="30" t="str">
        <x:v>87d261facae95bc51914d6642a88e24e05f6e241f7764ca7a34d92682ef2a2b6</x:v>
      </x:c>
      <x:c r="K590" s="30" t="str">
        <x:v>3de3eac88354024ba45c1cd9acb939118e98d0f680be941769136273a58c6334</x:v>
      </x:c>
      <x:c r="L590" s="30" t="n">
        <x:v>634.01</x:v>
      </x:c>
      <x:c r="M590" s="30" t="str">
        <x:v>{"completion_tokens": 6, "prompt_tokens": 543, "total_tokens": 549, "completion_tokens_details": null, "prompt_tokens_details": {"audio_tokens": null, "cached_tokens": 512}, "prompt_cache_hit_tokens": 512, "prompt_cache_miss_tokens": 31}</x:v>
      </x:c>
      <x:c r="N590" s="30" t="str">
        <x:v>correct</x:v>
      </x:c>
      <x:c r="O590" s="30" t="str">
        <x:v>The model answer exactly matches the gold answer, providing the complete and correct information about Taylor David's clothing preference.</x:v>
      </x:c>
      <x:c r="P590" s="30" t="str">
        <x:v>LongCat-2.0</x:v>
      </x:c>
      <x:c r="Q590" s="30" t="str">
        <x:v>LongCat-2.0</x:v>
      </x:c>
      <x:c r="R590" s="30" t="n">
        <x:v>2279.75</x:v>
      </x:c>
      <x:c r="S590" s="30" t="str">
        <x:v>{"completion_tokens": 33, "prompt_tokens": 148, "total_tokens": 181,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91">
      <x:c r="A591" s="30" t="str">
        <x:v>memos_medium:1158</x:v>
      </x:c>
      <x:c r="B591" s="30" t="str">
        <x:v>medium</x:v>
      </x:c>
      <x:c r="C591" s="30" t="str">
        <x:v>Basic Fact Recall</x:v>
      </x:c>
      <x:c r="D591" s="30" t="n">
        <x:v>2</x:v>
      </x:c>
      <x:c r="E591" s="30" t="str">
        <x:v>What is Taylor David's clothing preference as of July 1, 2035?</x:v>
      </x:c>
      <x:c r="F591" s="30" t="str">
        <x:v>Flexible yet fitted clothing.</x:v>
      </x:c>
      <x:c r="G591" s="30" t="str">
        <x:v>Flexible yet fitted clothing.</x:v>
      </x:c>
      <x:c r="H591" s="30" t="str">
        <x:v>deepseek-v4-flash</x:v>
      </x:c>
      <x:c r="I591" s="30" t="str">
        <x:v>deepseek-v4-flash</x:v>
      </x:c>
      <x:c r="J591" s="30" t="str">
        <x:v>87d261facae95bc51914d6642a88e24e05f6e241f7764ca7a34d92682ef2a2b6</x:v>
      </x:c>
      <x:c r="K591" s="30" t="str">
        <x:v>3de3eac88354024ba45c1cd9acb939118e98d0f680be941769136273a58c6334</x:v>
      </x:c>
      <x:c r="L591" s="30" t="n">
        <x:v>731.14</x:v>
      </x:c>
      <x:c r="M591" s="30" t="str">
        <x:v>{"completion_tokens": 6, "prompt_tokens": 543, "total_tokens": 549, "completion_tokens_details": null, "prompt_tokens_details": {"audio_tokens": null, "cached_tokens": 512}, "prompt_cache_hit_tokens": 512, "prompt_cache_miss_tokens": 31}</x:v>
      </x:c>
      <x:c r="N591" s="30" t="str">
        <x:v>correct</x:v>
      </x:c>
      <x:c r="O591" s="30" t="str">
        <x:v>The model answer exactly matches the gold answer in both wording and meaning, providing the complete information requested.</x:v>
      </x:c>
      <x:c r="P591" s="30" t="str">
        <x:v>LongCat-2.0</x:v>
      </x:c>
      <x:c r="Q591" s="30" t="str">
        <x:v>LongCat-2.0</x:v>
      </x:c>
      <x:c r="R591" s="30" t="n">
        <x:v>1892.65</x:v>
      </x:c>
      <x:c r="S591" s="30" t="str">
        <x:v>{"completion_tokens": 31, "prompt_tokens": 148,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2">
      <x:c r="A592" s="30" t="str">
        <x:v>memos_medium:1158</x:v>
      </x:c>
      <x:c r="B592" s="30" t="str">
        <x:v>medium</x:v>
      </x:c>
      <x:c r="C592" s="30" t="str">
        <x:v>Basic Fact Recall</x:v>
      </x:c>
      <x:c r="D592" s="30" t="n">
        <x:v>3</x:v>
      </x:c>
      <x:c r="E592" s="30" t="str">
        <x:v>What is Taylor David's clothing preference as of July 1, 2035?</x:v>
      </x:c>
      <x:c r="F592" s="30" t="str">
        <x:v>Flexible yet fitted clothing.</x:v>
      </x:c>
      <x:c r="G592" s="30" t="str">
        <x:v>Flexible yet fitted clothing.</x:v>
      </x:c>
      <x:c r="H592" s="30" t="str">
        <x:v>deepseek-v4-flash</x:v>
      </x:c>
      <x:c r="I592" s="30" t="str">
        <x:v>deepseek-v4-flash</x:v>
      </x:c>
      <x:c r="J592" s="30" t="str">
        <x:v>87d261facae95bc51914d6642a88e24e05f6e241f7764ca7a34d92682ef2a2b6</x:v>
      </x:c>
      <x:c r="K592" s="30" t="str">
        <x:v>3de3eac88354024ba45c1cd9acb939118e98d0f680be941769136273a58c6334</x:v>
      </x:c>
      <x:c r="L592" s="30" t="n">
        <x:v>861.52</x:v>
      </x:c>
      <x:c r="M592" s="30" t="str">
        <x:v>{"completion_tokens": 6, "prompt_tokens": 543, "total_tokens": 549, "completion_tokens_details": null, "prompt_tokens_details": {"audio_tokens": null, "cached_tokens": 512}, "prompt_cache_hit_tokens": 512, "prompt_cache_miss_tokens": 31}</x:v>
      </x:c>
      <x:c r="N592" s="30" t="str">
        <x:v>correct</x:v>
      </x:c>
      <x:c r="O592" s="30" t="str">
        <x:v>The model answer exactly matches the gold answer in both wording and meaning, providing the complete information requested.</x:v>
      </x:c>
      <x:c r="P592" s="30" t="str">
        <x:v>LongCat-2.0</x:v>
      </x:c>
      <x:c r="Q592" s="30" t="str">
        <x:v>LongCat-2.0</x:v>
      </x:c>
      <x:c r="R592" s="30" t="n">
        <x:v>2330.01</x:v>
      </x:c>
      <x:c r="S592" s="30" t="str">
        <x:v>{"completion_tokens": 31, "prompt_tokens": 148,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3">
      <x:c r="A593" s="30" t="str">
        <x:v>memos_medium:1171</x:v>
      </x:c>
      <x:c r="B593" s="30" t="str">
        <x:v>medium</x:v>
      </x:c>
      <x:c r="C593" s="30" t="str">
        <x:v>Generalization &amp; Application</x:v>
      </x:c>
      <x:c r="D593" s="30" t="n">
        <x:v>1</x:v>
      </x:c>
      <x:c r="E593" s="30" t="str">
        <x:v>What strategies might Taylor develop to expand the impact of the Global Nutrition Initiative after Sep 01, 2035?</x:v>
      </x:c>
      <x:c r="F593" s="30" t="str">
        <x:v>Leveraging emotional resonance and empathetic interactions through AI.</x:v>
      </x:c>
      <x:c r="G593" s="30" t="str">
        <x:v>Leveraging AI for empathetic support.</x:v>
      </x:c>
      <x:c r="H593" s="30" t="str">
        <x:v>deepseek-v4-flash</x:v>
      </x:c>
      <x:c r="I593" s="30" t="str">
        <x:v>deepseek-v4-flash</x:v>
      </x:c>
      <x:c r="J593" s="30" t="str">
        <x:v>b09799ebc76ba0314c68983ee7f3a35b0a02a7e061cd6fa720fb4cc5b713d757</x:v>
      </x:c>
      <x:c r="K593" s="30" t="str">
        <x:v>42d442710bafb2a8643c44070af21879162cf60fbaae6d60166f795fe268ad69</x:v>
      </x:c>
      <x:c r="L593" s="30" t="n">
        <x:v>824.1</x:v>
      </x:c>
      <x:c r="M593" s="30" t="str">
        <x:v>{"completion_tokens": 8, "prompt_tokens": 569, "total_tokens": 577, "completion_tokens_details": null, "prompt_tokens_details": {"audio_tokens": null, "cached_tokens": 512}, "prompt_cache_hit_tokens": 512, "prompt_cache_miss_tokens": 57}</x:v>
      </x:c>
      <x:c r="N593" s="30" t="str">
        <x:v>omission</x:v>
      </x:c>
      <x:c r="O593" s="30" t="str">
        <x:v>The model answer captures 'empathetic support' and 'AI' but omits the key element of 'emotional resonance' and the broader concept of 'empathetic interactions' as specified in the gold answer. It provides only an incomplete subset of the gold answer without adding false claims.</x:v>
      </x:c>
      <x:c r="P593" s="30" t="str">
        <x:v>LongCat-2.0</x:v>
      </x:c>
      <x:c r="Q593" s="30" t="str">
        <x:v>LongCat-2.0</x:v>
      </x:c>
      <x:c r="R593" s="30" t="n">
        <x:v>3942.37</x:v>
      </x:c>
      <x:c r="S593" s="30" t="str">
        <x:v>{"completion_tokens": 69, "prompt_tokens": 164,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4">
      <x:c r="A594" s="30" t="str">
        <x:v>memos_medium:1171</x:v>
      </x:c>
      <x:c r="B594" s="30" t="str">
        <x:v>medium</x:v>
      </x:c>
      <x:c r="C594" s="30" t="str">
        <x:v>Generalization &amp; Application</x:v>
      </x:c>
      <x:c r="D594" s="30" t="n">
        <x:v>2</x:v>
      </x:c>
      <x:c r="E594" s="30" t="str">
        <x:v>What strategies might Taylor develop to expand the impact of the Global Nutrition Initiative after Sep 01, 2035?</x:v>
      </x:c>
      <x:c r="F594" s="30" t="str">
        <x:v>Leveraging emotional resonance and empathetic interactions through AI.</x:v>
      </x:c>
      <x:c r="G594" s="30" t="str">
        <x:v>Leveraging AI for empathetic support.</x:v>
      </x:c>
      <x:c r="H594" s="30" t="str">
        <x:v>deepseek-v4-flash</x:v>
      </x:c>
      <x:c r="I594" s="30" t="str">
        <x:v>deepseek-v4-flash</x:v>
      </x:c>
      <x:c r="J594" s="30" t="str">
        <x:v>b09799ebc76ba0314c68983ee7f3a35b0a02a7e061cd6fa720fb4cc5b713d757</x:v>
      </x:c>
      <x:c r="K594" s="30" t="str">
        <x:v>42d442710bafb2a8643c44070af21879162cf60fbaae6d60166f795fe268ad69</x:v>
      </x:c>
      <x:c r="L594" s="30" t="n">
        <x:v>713.07</x:v>
      </x:c>
      <x:c r="M594" s="30" t="str">
        <x:v>{"completion_tokens": 8, "prompt_tokens": 569, "total_tokens": 577, "completion_tokens_details": null, "prompt_tokens_details": {"audio_tokens": null, "cached_tokens": 512}, "prompt_cache_hit_tokens": 512, "prompt_cache_miss_tokens": 57}</x:v>
      </x:c>
      <x:c r="N594" s="30" t="str">
        <x:v>omission</x:v>
      </x:c>
      <x:c r="O594" s="30" t="str">
        <x:v>The model answer captures 'empathetic support' and 'AI' but omits the key element of 'emotional resonance' and the broader concept of 'empathetic interactions' present in the gold answer. While not contradictory, it provides only an incomplete subset of the full answer.</x:v>
      </x:c>
      <x:c r="P594" s="30" t="str">
        <x:v>LongCat-2.0</x:v>
      </x:c>
      <x:c r="Q594" s="30" t="str">
        <x:v>LongCat-2.0</x:v>
      </x:c>
      <x:c r="R594" s="30" t="n">
        <x:v>2888.51</x:v>
      </x:c>
      <x:c r="S594" s="30" t="str">
        <x:v>{"completion_tokens": 68, "prompt_tokens": 164,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5">
      <x:c r="A595" s="30" t="str">
        <x:v>memos_medium:1171</x:v>
      </x:c>
      <x:c r="B595" s="30" t="str">
        <x:v>medium</x:v>
      </x:c>
      <x:c r="C595" s="30" t="str">
        <x:v>Generalization &amp; Application</x:v>
      </x:c>
      <x:c r="D595" s="30" t="n">
        <x:v>3</x:v>
      </x:c>
      <x:c r="E595" s="30" t="str">
        <x:v>What strategies might Taylor develop to expand the impact of the Global Nutrition Initiative after Sep 01, 2035?</x:v>
      </x:c>
      <x:c r="F595" s="30" t="str">
        <x:v>Leveraging emotional resonance and empathetic interactions through AI.</x:v>
      </x:c>
      <x:c r="G595" s="30" t="str">
        <x:v>Leveraging AI for empathetic support.</x:v>
      </x:c>
      <x:c r="H595" s="30" t="str">
        <x:v>deepseek-v4-flash</x:v>
      </x:c>
      <x:c r="I595" s="30" t="str">
        <x:v>deepseek-v4-flash</x:v>
      </x:c>
      <x:c r="J595" s="30" t="str">
        <x:v>b09799ebc76ba0314c68983ee7f3a35b0a02a7e061cd6fa720fb4cc5b713d757</x:v>
      </x:c>
      <x:c r="K595" s="30" t="str">
        <x:v>42d442710bafb2a8643c44070af21879162cf60fbaae6d60166f795fe268ad69</x:v>
      </x:c>
      <x:c r="L595" s="30" t="n">
        <x:v>688.2</x:v>
      </x:c>
      <x:c r="M595" s="30" t="str">
        <x:v>{"completion_tokens": 8, "prompt_tokens": 569, "total_tokens": 577, "completion_tokens_details": null, "prompt_tokens_details": {"audio_tokens": null, "cached_tokens": 512}, "prompt_cache_hit_tokens": 512, "prompt_cache_miss_tokens": 57}</x:v>
      </x:c>
      <x:c r="N595" s="30" t="str">
        <x:v>omission</x:v>
      </x:c>
      <x:c r="O595" s="30" t="str">
        <x:v>The model answer captures 'empathetic support' and 'AI' but omits the key element of 'emotional resonance' and the broader concept of 'empathetic interactions' as specified in the gold answer. It provides only an incomplete subset of the full answer.</x:v>
      </x:c>
      <x:c r="P595" s="30" t="str">
        <x:v>LongCat-2.0</x:v>
      </x:c>
      <x:c r="Q595" s="30" t="str">
        <x:v>LongCat-2.0</x:v>
      </x:c>
      <x:c r="R595" s="30" t="n">
        <x:v>4152.34</x:v>
      </x:c>
      <x:c r="S595" s="30" t="str">
        <x:v>{"completion_tokens": 65, "prompt_tokens": 164,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6">
      <x:c r="A596" s="30" t="str">
        <x:v>memos_medium:1173</x:v>
      </x:c>
      <x:c r="B596" s="30" t="str">
        <x:v>medium</x:v>
      </x:c>
      <x:c r="C596" s="30" t="str">
        <x:v>Generalization &amp; Application</x:v>
      </x:c>
      <x:c r="D596" s="30" t="n">
        <x:v>1</x:v>
      </x:c>
      <x:c r="E596" s="30" t="str">
        <x:v>What approach might Taylor take to handle future challenges in nutrition advocacy after Feb 01, 2036?</x:v>
      </x:c>
      <x:c r="F596" s="30" t="str">
        <x:v>Continuous learning and adaptation.</x:v>
      </x:c>
      <x:c r="G596" s="30" t="str">
        <x:v>Continuous learning and collaboration.</x:v>
      </x:c>
      <x:c r="H596" s="30" t="str">
        <x:v>deepseek-v4-flash</x:v>
      </x:c>
      <x:c r="I596" s="30" t="str">
        <x:v>deepseek-v4-flash</x:v>
      </x:c>
      <x:c r="J596" s="30" t="str">
        <x:v>faa8e739126b7ccad27f35ecceccd286344396f1919136544fa86e71ad6250b0</x:v>
      </x:c>
      <x:c r="K596" s="30" t="str">
        <x:v>f016344447812f48803dbedf60077c793adb4b03146b7e4cf95799511dddec50</x:v>
      </x:c>
      <x:c r="L596" s="30" t="n">
        <x:v>608.54</x:v>
      </x:c>
      <x:c r="M596" s="30" t="str">
        <x:v>{"completion_tokens": 5, "prompt_tokens": 582, "total_tokens": 587, "completion_tokens_details": null, "prompt_tokens_details": {"audio_tokens": null, "cached_tokens": 512}, "prompt_cache_hit_tokens": 512, "prompt_cache_miss_tokens": 70}</x:v>
      </x:c>
      <x:c r="N596" s="30" t="str">
        <x:v>hallucination</x:v>
      </x:c>
      <x:c r="O596" s="30" t="str">
        <x:v>The gold answer is 'Continuous learning and adaptation.' The model answer replaces 'adaptation' with 'collaboration,' which is not supported by the gold answer and introduces unsupported material, making it a hallucination.</x:v>
      </x:c>
      <x:c r="P596" s="30" t="str">
        <x:v>LongCat-2.0</x:v>
      </x:c>
      <x:c r="Q596" s="30" t="str">
        <x:v>LongCat-2.0</x:v>
      </x:c>
      <x:c r="R596" s="30" t="n">
        <x:v>2768.34</x:v>
      </x:c>
      <x:c r="S596" s="30" t="str">
        <x:v>{"completion_tokens": 55, "prompt_tokens": 151,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7">
      <x:c r="A597" s="30" t="str">
        <x:v>memos_medium:1173</x:v>
      </x:c>
      <x:c r="B597" s="30" t="str">
        <x:v>medium</x:v>
      </x:c>
      <x:c r="C597" s="30" t="str">
        <x:v>Generalization &amp; Application</x:v>
      </x:c>
      <x:c r="D597" s="30" t="n">
        <x:v>2</x:v>
      </x:c>
      <x:c r="E597" s="30" t="str">
        <x:v>What approach might Taylor take to handle future challenges in nutrition advocacy after Feb 01, 2036?</x:v>
      </x:c>
      <x:c r="F597" s="30" t="str">
        <x:v>Continuous learning and adaptation.</x:v>
      </x:c>
      <x:c r="G597" s="30" t="str">
        <x:v>Continuous learning and collaboration.</x:v>
      </x:c>
      <x:c r="H597" s="30" t="str">
        <x:v>deepseek-v4-flash</x:v>
      </x:c>
      <x:c r="I597" s="30" t="str">
        <x:v>deepseek-v4-flash</x:v>
      </x:c>
      <x:c r="J597" s="30" t="str">
        <x:v>faa8e739126b7ccad27f35ecceccd286344396f1919136544fa86e71ad6250b0</x:v>
      </x:c>
      <x:c r="K597" s="30" t="str">
        <x:v>f016344447812f48803dbedf60077c793adb4b03146b7e4cf95799511dddec50</x:v>
      </x:c>
      <x:c r="L597" s="30" t="n">
        <x:v>620.19</x:v>
      </x:c>
      <x:c r="M597" s="30" t="str">
        <x:v>{"completion_tokens": 5, "prompt_tokens": 582, "total_tokens": 587, "completion_tokens_details": null, "prompt_tokens_details": {"audio_tokens": null, "cached_tokens": 512}, "prompt_cache_hit_tokens": 512, "prompt_cache_miss_tokens": 70}</x:v>
      </x:c>
      <x:c r="N597" s="30" t="str">
        <x:v>hallucination</x:v>
      </x:c>
      <x:c r="O597" s="30" t="str">
        <x:v>The gold answer is 'Continuous learning and adaptation.' The model answer replaces 'adaptation' with 'collaboration,' which is not supported by the gold answer and introduces unsupported material, making it a hallucination.</x:v>
      </x:c>
      <x:c r="P597" s="30" t="str">
        <x:v>LongCat-2.0</x:v>
      </x:c>
      <x:c r="Q597" s="30" t="str">
        <x:v>LongCat-2.0</x:v>
      </x:c>
      <x:c r="R597" s="30" t="n">
        <x:v>5221.12</x:v>
      </x:c>
      <x:c r="S597" s="30" t="str">
        <x:v>{"completion_tokens": 55, "prompt_tokens": 151,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598">
      <x:c r="A598" s="30" t="str">
        <x:v>memos_medium:1173</x:v>
      </x:c>
      <x:c r="B598" s="30" t="str">
        <x:v>medium</x:v>
      </x:c>
      <x:c r="C598" s="30" t="str">
        <x:v>Generalization &amp; Application</x:v>
      </x:c>
      <x:c r="D598" s="30" t="n">
        <x:v>3</x:v>
      </x:c>
      <x:c r="E598" s="30" t="str">
        <x:v>What approach might Taylor take to handle future challenges in nutrition advocacy after Feb 01, 2036?</x:v>
      </x:c>
      <x:c r="F598" s="30" t="str">
        <x:v>Continuous learning and adaptation.</x:v>
      </x:c>
      <x:c r="G598" s="30" t="str">
        <x:v>Continuous learning and collaboration.</x:v>
      </x:c>
      <x:c r="H598" s="30" t="str">
        <x:v>deepseek-v4-flash</x:v>
      </x:c>
      <x:c r="I598" s="30" t="str">
        <x:v>deepseek-v4-flash</x:v>
      </x:c>
      <x:c r="J598" s="30" t="str">
        <x:v>faa8e739126b7ccad27f35ecceccd286344396f1919136544fa86e71ad6250b0</x:v>
      </x:c>
      <x:c r="K598" s="30" t="str">
        <x:v>f016344447812f48803dbedf60077c793adb4b03146b7e4cf95799511dddec50</x:v>
      </x:c>
      <x:c r="L598" s="30" t="n">
        <x:v>618.68</x:v>
      </x:c>
      <x:c r="M598" s="30" t="str">
        <x:v>{"completion_tokens": 5, "prompt_tokens": 582, "total_tokens": 587, "completion_tokens_details": null, "prompt_tokens_details": {"audio_tokens": null, "cached_tokens": 512}, "prompt_cache_hit_tokens": 512, "prompt_cache_miss_tokens": 70}</x:v>
      </x:c>
      <x:c r="N598" s="30" t="str">
        <x:v>hallucination</x:v>
      </x:c>
      <x:c r="O598" s="30" t="str">
        <x:v>The gold answer is 'Continuous learning and adaptation.' The model answer replaces 'adaptation' with 'collaboration,' which is not supported by the gold answer and introduces unsupported material, making it a hallucination.</x:v>
      </x:c>
      <x:c r="P598" s="30" t="str">
        <x:v>LongCat-2.0</x:v>
      </x:c>
      <x:c r="Q598" s="30" t="str">
        <x:v>LongCat-2.0</x:v>
      </x:c>
      <x:c r="R598" s="30" t="n">
        <x:v>2516.46</x:v>
      </x:c>
      <x:c r="S598" s="30" t="str">
        <x:v>{"completion_tokens": 55, "prompt_tokens": 151,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599">
      <x:c r="A599" s="30" t="str">
        <x:v>memos_medium:1174</x:v>
      </x:c>
      <x:c r="B599" s="30" t="str">
        <x:v>medium</x:v>
      </x:c>
      <x:c r="C599" s="30" t="str">
        <x:v>Generalization &amp; Application</x:v>
      </x:c>
      <x:c r="D599" s="30" t="n">
        <x:v>1</x:v>
      </x:c>
      <x:c r="E599" s="30" t="str">
        <x:v>What could motivate Taylor to maintain his health improvements after Jul 01, 2035?</x:v>
      </x:c>
      <x:c r="F599" s="30" t="str">
        <x:v>Enhanced ability to lead effectively.</x:v>
      </x:c>
      <x:c r="G599" s="30" t="str">
        <x:v>Lead Nutrition Advocate role</x:v>
      </x:c>
      <x:c r="H599" s="30" t="str">
        <x:v>deepseek-v4-flash</x:v>
      </x:c>
      <x:c r="I599" s="30" t="str">
        <x:v>deepseek-v4-flash</x:v>
      </x:c>
      <x:c r="J599" s="30" t="str">
        <x:v>f1312df82e4f4e3220172b7fe8c0cb5932a900557752ea3816383d8da05e80ff</x:v>
      </x:c>
      <x:c r="K599" s="30" t="str">
        <x:v>6b3fb9a6676edce2b816d0f371e965519bc2af2224b36f63b68ac7856fc06a3a</x:v>
      </x:c>
      <x:c r="L599" s="30" t="n">
        <x:v>900.74</x:v>
      </x:c>
      <x:c r="M599" s="30" t="str">
        <x:v>{"completion_tokens": 4, "prompt_tokens": 582, "total_tokens": 586, "completion_tokens_details": null, "prompt_tokens_details": {"audio_tokens": null, "cached_tokens": 512}, "prompt_cache_hit_tokens": 512, "prompt_cache_miss_tokens": 70}</x:v>
      </x:c>
      <x:c r="N599" s="30" t="str">
        <x:v>hallucination</x:v>
      </x:c>
      <x:c r="O599"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P599" s="30" t="str">
        <x:v>LongCat-2.0</x:v>
      </x:c>
      <x:c r="Q599" s="30" t="str">
        <x:v>LongCat-2.0</x:v>
      </x:c>
      <x:c r="R599" s="30" t="n">
        <x:v>2246.08</x:v>
      </x:c>
      <x:c r="S599" s="30" t="str">
        <x:v>{"completion_tokens": 74, "prompt_tokens": 150,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0">
      <x:c r="A600" s="30" t="str">
        <x:v>memos_medium:1174</x:v>
      </x:c>
      <x:c r="B600" s="30" t="str">
        <x:v>medium</x:v>
      </x:c>
      <x:c r="C600" s="30" t="str">
        <x:v>Generalization &amp; Application</x:v>
      </x:c>
      <x:c r="D600" s="30" t="n">
        <x:v>2</x:v>
      </x:c>
      <x:c r="E600" s="30" t="str">
        <x:v>What could motivate Taylor to maintain his health improvements after Jul 01, 2035?</x:v>
      </x:c>
      <x:c r="F600" s="30" t="str">
        <x:v>Enhanced ability to lead effectively.</x:v>
      </x:c>
      <x:c r="G600" s="30" t="str">
        <x:v>Lead Nutrition Advocate role</x:v>
      </x:c>
      <x:c r="H600" s="30" t="str">
        <x:v>deepseek-v4-flash</x:v>
      </x:c>
      <x:c r="I600" s="30" t="str">
        <x:v>deepseek-v4-flash</x:v>
      </x:c>
      <x:c r="J600" s="30" t="str">
        <x:v>f1312df82e4f4e3220172b7fe8c0cb5932a900557752ea3816383d8da05e80ff</x:v>
      </x:c>
      <x:c r="K600" s="30" t="str">
        <x:v>6b3fb9a6676edce2b816d0f371e965519bc2af2224b36f63b68ac7856fc06a3a</x:v>
      </x:c>
      <x:c r="L600" s="30" t="n">
        <x:v>611.05</x:v>
      </x:c>
      <x:c r="M600" s="30" t="str">
        <x:v>{"completion_tokens": 4, "prompt_tokens": 582, "total_tokens": 586, "completion_tokens_details": null, "prompt_tokens_details": {"audio_tokens": null, "cached_tokens": 512}, "prompt_cache_hit_tokens": 512, "prompt_cache_miss_tokens": 70}</x:v>
      </x:c>
      <x:c r="N600" s="30" t="str">
        <x:v>hallucination</x:v>
      </x:c>
      <x:c r="O600"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P600" s="30" t="str">
        <x:v>LongCat-2.0</x:v>
      </x:c>
      <x:c r="Q600" s="30" t="str">
        <x:v>LongCat-2.0</x:v>
      </x:c>
      <x:c r="R600" s="30" t="n">
        <x:v>2932.4</x:v>
      </x:c>
      <x:c r="S600" s="30" t="str">
        <x:v>{"completion_tokens": 74, "prompt_tokens": 150,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01">
      <x:c r="A601" s="30" t="str">
        <x:v>memos_medium:1174</x:v>
      </x:c>
      <x:c r="B601" s="30" t="str">
        <x:v>medium</x:v>
      </x:c>
      <x:c r="C601" s="30" t="str">
        <x:v>Generalization &amp; Application</x:v>
      </x:c>
      <x:c r="D601" s="30" t="n">
        <x:v>3</x:v>
      </x:c>
      <x:c r="E601" s="30" t="str">
        <x:v>What could motivate Taylor to maintain his health improvements after Jul 01, 2035?</x:v>
      </x:c>
      <x:c r="F601" s="30" t="str">
        <x:v>Enhanced ability to lead effectively.</x:v>
      </x:c>
      <x:c r="G601" s="30" t="str">
        <x:v>Lead Nutrition Advocate role</x:v>
      </x:c>
      <x:c r="H601" s="30" t="str">
        <x:v>deepseek-v4-flash</x:v>
      </x:c>
      <x:c r="I601" s="30" t="str">
        <x:v>deepseek-v4-flash</x:v>
      </x:c>
      <x:c r="J601" s="30" t="str">
        <x:v>f1312df82e4f4e3220172b7fe8c0cb5932a900557752ea3816383d8da05e80ff</x:v>
      </x:c>
      <x:c r="K601" s="30" t="str">
        <x:v>6b3fb9a6676edce2b816d0f371e965519bc2af2224b36f63b68ac7856fc06a3a</x:v>
      </x:c>
      <x:c r="L601" s="30" t="n">
        <x:v>697.02</x:v>
      </x:c>
      <x:c r="M601" s="30" t="str">
        <x:v>{"completion_tokens": 4, "prompt_tokens": 582, "total_tokens": 586, "completion_tokens_details": null, "prompt_tokens_details": {"audio_tokens": null, "cached_tokens": 512}, "prompt_cache_hit_tokens": 512, "prompt_cache_miss_tokens": 70}</x:v>
      </x:c>
      <x:c r="N601" s="30" t="str">
        <x:v>hallucination</x:v>
      </x:c>
      <x:c r="O601" s="30" t="str">
        <x:v>The gold answer states that Taylor's motivation is an 'Enhanced ability to lead effectively.' The model answer 'Lead Nutrition Advocate role' introduces a specific role/title that is not present in or supported by the gold answer, making it a concrete claim that contradicts or adds unsupported material to the gold answer.</x:v>
      </x:c>
      <x:c r="P601" s="30" t="str">
        <x:v>LongCat-2.0</x:v>
      </x:c>
      <x:c r="Q601" s="30" t="str">
        <x:v>LongCat-2.0</x:v>
      </x:c>
      <x:c r="R601" s="30" t="n">
        <x:v>2545.12</x:v>
      </x:c>
      <x:c r="S601" s="30" t="str">
        <x:v>{"completion_tokens": 74, "prompt_tokens": 150,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2">
      <x:c r="A602" s="30" t="str">
        <x:v>memos_medium:1178</x:v>
      </x:c>
      <x:c r="B602" s="30" t="str">
        <x:v>medium</x:v>
      </x:c>
      <x:c r="C602" s="30" t="str">
        <x:v>Basic Fact Recall</x:v>
      </x:c>
      <x:c r="D602" s="30" t="n">
        <x:v>1</x:v>
      </x:c>
      <x:c r="E602" s="30" t="str">
        <x:v>What change did Taylor David make regarding competitive weightlifting on Jul 10, 2036?</x:v>
      </x:c>
      <x:c r="F602" s="30" t="str">
        <x:v>Removed his dislike for competitive weightlifting.</x:v>
      </x:c>
      <x:c r="G602" s="30" t="str">
        <x:v>Removed dislike for it</x:v>
      </x:c>
      <x:c r="H602" s="30" t="str">
        <x:v>deepseek-v4-flash</x:v>
      </x:c>
      <x:c r="I602" s="30" t="str">
        <x:v>deepseek-v4-flash</x:v>
      </x:c>
      <x:c r="J602" s="30" t="str">
        <x:v>035397543dade6890b470c102fb1ea328101e8f8817ea30c7944614d9f009fac</x:v>
      </x:c>
      <x:c r="K602" s="30" t="str">
        <x:v>b3da16011b7c15a1eec2d88a9a4865859b4d4c398794e1f9b37977cb3ef75f4a</x:v>
      </x:c>
      <x:c r="L602" s="30" t="n">
        <x:v>692.82</x:v>
      </x:c>
      <x:c r="M602" s="30" t="str">
        <x:v>{"completion_tokens": 5, "prompt_tokens": 541, "total_tokens": 546, "completion_tokens_details": null, "prompt_tokens_details": {"audio_tokens": null, "cached_tokens": 512}, "prompt_cache_hit_tokens": 512, "prompt_cache_miss_tokens": 29}</x:v>
      </x:c>
      <x:c r="N602" s="30" t="str">
        <x:v>correct</x:v>
      </x:c>
      <x:c r="O602" s="30" t="str">
        <x:v>The model answer 'Removed dislike for it' semantically conveys the complete gold answer 'Removed his dislike for competitive weightlifting.' The wording is slightly abbreviated but preserves the full meaning without adding false or unsupported claims.</x:v>
      </x:c>
      <x:c r="P602" s="30" t="str">
        <x:v>LongCat-2.0</x:v>
      </x:c>
      <x:c r="Q602" s="30" t="str">
        <x:v>LongCat-2.0</x:v>
      </x:c>
      <x:c r="R602" s="30" t="n">
        <x:v>2602.45</x:v>
      </x:c>
      <x:c r="S602" s="30" t="str">
        <x:v>{"completion_tokens": 53, "prompt_tokens": 152,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3">
      <x:c r="A603" s="30" t="str">
        <x:v>memos_medium:1178</x:v>
      </x:c>
      <x:c r="B603" s="30" t="str">
        <x:v>medium</x:v>
      </x:c>
      <x:c r="C603" s="30" t="str">
        <x:v>Basic Fact Recall</x:v>
      </x:c>
      <x:c r="D603" s="30" t="n">
        <x:v>2</x:v>
      </x:c>
      <x:c r="E603" s="30" t="str">
        <x:v>What change did Taylor David make regarding competitive weightlifting on Jul 10, 2036?</x:v>
      </x:c>
      <x:c r="F603" s="30" t="str">
        <x:v>Removed his dislike for competitive weightlifting.</x:v>
      </x:c>
      <x:c r="G603" s="30" t="str">
        <x:v>Removed dislike for it</x:v>
      </x:c>
      <x:c r="H603" s="30" t="str">
        <x:v>deepseek-v4-flash</x:v>
      </x:c>
      <x:c r="I603" s="30" t="str">
        <x:v>deepseek-v4-flash</x:v>
      </x:c>
      <x:c r="J603" s="30" t="str">
        <x:v>035397543dade6890b470c102fb1ea328101e8f8817ea30c7944614d9f009fac</x:v>
      </x:c>
      <x:c r="K603" s="30" t="str">
        <x:v>b3da16011b7c15a1eec2d88a9a4865859b4d4c398794e1f9b37977cb3ef75f4a</x:v>
      </x:c>
      <x:c r="L603" s="30" t="n">
        <x:v>548.92</x:v>
      </x:c>
      <x:c r="M603" s="30" t="str">
        <x:v>{"completion_tokens": 5, "prompt_tokens": 541, "total_tokens": 546, "completion_tokens_details": null, "prompt_tokens_details": {"audio_tokens": null, "cached_tokens": 512}, "prompt_cache_hit_tokens": 512, "prompt_cache_miss_tokens": 29}</x:v>
      </x:c>
      <x:c r="N603" s="30" t="str">
        <x:v>correct</x:v>
      </x:c>
      <x:c r="O603" s="30" t="str">
        <x:v>The model answer 'Removed dislike for it' semantically conveys the same meaning as the gold answer 'Removed his dislike for competitive weightlifting.' The wording is slightly abbreviated but the core information is complete and accurate, with no false or unsupported claims.</x:v>
      </x:c>
      <x:c r="P603" s="30" t="str">
        <x:v>LongCat-2.0</x:v>
      </x:c>
      <x:c r="Q603" s="30" t="str">
        <x:v>LongCat-2.0</x:v>
      </x:c>
      <x:c r="R603" s="30" t="n">
        <x:v>2372.38</x:v>
      </x:c>
      <x:c r="S603" s="30" t="str">
        <x:v>{"completion_tokens": 60, "prompt_tokens": 152,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04">
      <x:c r="A604" s="30" t="str">
        <x:v>memos_medium:1178</x:v>
      </x:c>
      <x:c r="B604" s="30" t="str">
        <x:v>medium</x:v>
      </x:c>
      <x:c r="C604" s="30" t="str">
        <x:v>Basic Fact Recall</x:v>
      </x:c>
      <x:c r="D604" s="30" t="n">
        <x:v>3</x:v>
      </x:c>
      <x:c r="E604" s="30" t="str">
        <x:v>What change did Taylor David make regarding competitive weightlifting on Jul 10, 2036?</x:v>
      </x:c>
      <x:c r="F604" s="30" t="str">
        <x:v>Removed his dislike for competitive weightlifting.</x:v>
      </x:c>
      <x:c r="G604" s="30" t="str">
        <x:v>Removed dislike for it</x:v>
      </x:c>
      <x:c r="H604" s="30" t="str">
        <x:v>deepseek-v4-flash</x:v>
      </x:c>
      <x:c r="I604" s="30" t="str">
        <x:v>deepseek-v4-flash</x:v>
      </x:c>
      <x:c r="J604" s="30" t="str">
        <x:v>035397543dade6890b470c102fb1ea328101e8f8817ea30c7944614d9f009fac</x:v>
      </x:c>
      <x:c r="K604" s="30" t="str">
        <x:v>b3da16011b7c15a1eec2d88a9a4865859b4d4c398794e1f9b37977cb3ef75f4a</x:v>
      </x:c>
      <x:c r="L604" s="30" t="n">
        <x:v>593.92</x:v>
      </x:c>
      <x:c r="M604" s="30" t="str">
        <x:v>{"completion_tokens": 5, "prompt_tokens": 541, "total_tokens": 546, "completion_tokens_details": null, "prompt_tokens_details": {"audio_tokens": null, "cached_tokens": 512}, "prompt_cache_hit_tokens": 512, "prompt_cache_miss_tokens": 29}</x:v>
      </x:c>
      <x:c r="N604" s="30" t="str">
        <x:v>correct</x:v>
      </x:c>
      <x:c r="O604" s="30" t="str">
        <x:v>The model answer 'Removed dislike for it' semantically conveys the same meaning as the gold answer 'Removed his dislike for competitive weightlifting.' The wording is slightly abbreviated but the core information is fully preserved without any contradiction or unsupported material.</x:v>
      </x:c>
      <x:c r="P604" s="30" t="str">
        <x:v>LongCat-2.0</x:v>
      </x:c>
      <x:c r="Q604" s="30" t="str">
        <x:v>LongCat-2.0</x:v>
      </x:c>
      <x:c r="R604" s="30" t="n">
        <x:v>2470.66</x:v>
      </x:c>
      <x:c r="S604" s="30" t="str">
        <x:v>{"completion_tokens": 58, "prompt_tokens": 152,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5">
      <x:c r="A605" s="30" t="str">
        <x:v>memos_medium:1199</x:v>
      </x:c>
      <x:c r="B605" s="30" t="str">
        <x:v>medium</x:v>
      </x:c>
      <x:c r="C605" s="30" t="str">
        <x:v>Basic Fact Recall</x:v>
      </x:c>
      <x:c r="D605" s="30" t="n">
        <x:v>1</x:v>
      </x:c>
      <x:c r="E605" s="30" t="str">
        <x:v>What is Taylor David's updated preference regarding clothing fabrics as of Feb 01, 2039?</x:v>
      </x:c>
      <x:c r="F605" s="30" t="str">
        <x:v>Accepting harsh fabrics if treated with softening technology.</x:v>
      </x:c>
      <x:c r="G605" s="30" t="str">
        <x:v>Accepts softened harsh fabrics.</x:v>
      </x:c>
      <x:c r="H605" s="30" t="str">
        <x:v>deepseek-v4-flash</x:v>
      </x:c>
      <x:c r="I605" s="30" t="str">
        <x:v>deepseek-v4-flash</x:v>
      </x:c>
      <x:c r="J605" s="30" t="str">
        <x:v>a47c3fd8eaa963c9bd9453e3b03e6001f043ffaed1a93643ab11d326b3daf498</x:v>
      </x:c>
      <x:c r="K605" s="30" t="str">
        <x:v>22a5f4967d03caa4cf03690755f61cb6399b12ebfdf8108062a36b44415aca29</x:v>
      </x:c>
      <x:c r="L605" s="30" t="n">
        <x:v>781.11</x:v>
      </x:c>
      <x:c r="M605" s="30" t="str">
        <x:v>{"completion_tokens": 6, "prompt_tokens": 544, "total_tokens": 550, "completion_tokens_details": null, "prompt_tokens_details": {"audio_tokens": null, "cached_tokens": 512}, "prompt_cache_hit_tokens": 512, "prompt_cache_miss_tokens": 32}</x:v>
      </x:c>
      <x:c r="N605" s="30" t="str">
        <x:v>correct</x:v>
      </x:c>
      <x:c r="O605"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P605" s="30" t="str">
        <x:v>LongCat-2.0</x:v>
      </x:c>
      <x:c r="Q605" s="30" t="str">
        <x:v>LongCat-2.0</x:v>
      </x:c>
      <x:c r="R605" s="30" t="n">
        <x:v>3778.41</x:v>
      </x:c>
      <x:c r="S605" s="30" t="str">
        <x:v>{"completion_tokens": 62, "prompt_tokens": 156, "total_tokens": 218,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06">
      <x:c r="A606" s="30" t="str">
        <x:v>memos_medium:1199</x:v>
      </x:c>
      <x:c r="B606" s="30" t="str">
        <x:v>medium</x:v>
      </x:c>
      <x:c r="C606" s="30" t="str">
        <x:v>Basic Fact Recall</x:v>
      </x:c>
      <x:c r="D606" s="30" t="n">
        <x:v>2</x:v>
      </x:c>
      <x:c r="E606" s="30" t="str">
        <x:v>What is Taylor David's updated preference regarding clothing fabrics as of Feb 01, 2039?</x:v>
      </x:c>
      <x:c r="F606" s="30" t="str">
        <x:v>Accepting harsh fabrics if treated with softening technology.</x:v>
      </x:c>
      <x:c r="G606" s="30" t="str">
        <x:v>Accepts softened harsh fabrics.</x:v>
      </x:c>
      <x:c r="H606" s="30" t="str">
        <x:v>deepseek-v4-flash</x:v>
      </x:c>
      <x:c r="I606" s="30" t="str">
        <x:v>deepseek-v4-flash</x:v>
      </x:c>
      <x:c r="J606" s="30" t="str">
        <x:v>a47c3fd8eaa963c9bd9453e3b03e6001f043ffaed1a93643ab11d326b3daf498</x:v>
      </x:c>
      <x:c r="K606" s="30" t="str">
        <x:v>22a5f4967d03caa4cf03690755f61cb6399b12ebfdf8108062a36b44415aca29</x:v>
      </x:c>
      <x:c r="L606" s="30" t="n">
        <x:v>784.69</x:v>
      </x:c>
      <x:c r="M606" s="30" t="str">
        <x:v>{"completion_tokens": 6, "prompt_tokens": 544, "total_tokens": 550, "completion_tokens_details": null, "prompt_tokens_details": {"audio_tokens": null, "cached_tokens": 512}, "prompt_cache_hit_tokens": 512, "prompt_cache_miss_tokens": 32}</x:v>
      </x:c>
      <x:c r="N606" s="30" t="str">
        <x:v>correct</x:v>
      </x:c>
      <x:c r="O606"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P606" s="30" t="str">
        <x:v>LongCat-2.0</x:v>
      </x:c>
      <x:c r="Q606" s="30" t="str">
        <x:v>LongCat-2.0</x:v>
      </x:c>
      <x:c r="R606" s="30" t="n">
        <x:v>3564.78</x:v>
      </x:c>
      <x:c r="S606" s="30" t="str">
        <x:v>{"completion_tokens": 62, "prompt_tokens": 156,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7">
      <x:c r="A607" s="30" t="str">
        <x:v>memos_medium:1199</x:v>
      </x:c>
      <x:c r="B607" s="30" t="str">
        <x:v>medium</x:v>
      </x:c>
      <x:c r="C607" s="30" t="str">
        <x:v>Basic Fact Recall</x:v>
      </x:c>
      <x:c r="D607" s="30" t="n">
        <x:v>3</x:v>
      </x:c>
      <x:c r="E607" s="30" t="str">
        <x:v>What is Taylor David's updated preference regarding clothing fabrics as of Feb 01, 2039?</x:v>
      </x:c>
      <x:c r="F607" s="30" t="str">
        <x:v>Accepting harsh fabrics if treated with softening technology.</x:v>
      </x:c>
      <x:c r="G607" s="30" t="str">
        <x:v>Accepts softened harsh fabrics.</x:v>
      </x:c>
      <x:c r="H607" s="30" t="str">
        <x:v>deepseek-v4-flash</x:v>
      </x:c>
      <x:c r="I607" s="30" t="str">
        <x:v>deepseek-v4-flash</x:v>
      </x:c>
      <x:c r="J607" s="30" t="str">
        <x:v>a47c3fd8eaa963c9bd9453e3b03e6001f043ffaed1a93643ab11d326b3daf498</x:v>
      </x:c>
      <x:c r="K607" s="30" t="str">
        <x:v>22a5f4967d03caa4cf03690755f61cb6399b12ebfdf8108062a36b44415aca29</x:v>
      </x:c>
      <x:c r="L607" s="30" t="n">
        <x:v>779.6</x:v>
      </x:c>
      <x:c r="M607" s="30" t="str">
        <x:v>{"completion_tokens": 6, "prompt_tokens": 544, "total_tokens": 550, "completion_tokens_details": null, "prompt_tokens_details": {"audio_tokens": null, "cached_tokens": 512}, "prompt_cache_hit_tokens": 512, "prompt_cache_miss_tokens": 32}</x:v>
      </x:c>
      <x:c r="N607" s="30" t="str">
        <x:v>correct</x:v>
      </x:c>
      <x:c r="O607" s="30" t="str">
        <x:v>The model answer 'Accepts softened harsh fabrics' semantically captures the complete meaning of the gold answer 'Accepting harsh fabrics if treated with softening technology.' Both convey that Taylor David accepts harsh fabrics that have undergone softening treatment, with only minor wording differences.</x:v>
      </x:c>
      <x:c r="P607" s="30" t="str">
        <x:v>LongCat-2.0</x:v>
      </x:c>
      <x:c r="Q607" s="30" t="str">
        <x:v>LongCat-2.0</x:v>
      </x:c>
      <x:c r="R607" s="30" t="n">
        <x:v>3791.82</x:v>
      </x:c>
      <x:c r="S607" s="30" t="str">
        <x:v>{"completion_tokens": 62, "prompt_tokens": 156, "total_tokens": 218,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08">
      <x:c r="A608" s="30" t="str">
        <x:v>memos_medium:120</x:v>
      </x:c>
      <x:c r="B608" s="30" t="str">
        <x:v>medium</x:v>
      </x:c>
      <x:c r="C608" s="30" t="str">
        <x:v>Generalization &amp; Application</x:v>
      </x:c>
      <x:c r="D608" s="30" t="n">
        <x:v>1</x:v>
      </x:c>
      <x:c r="E608" s="30" t="str">
        <x:v>What type of leisure activity might Martin Mark explore next based on his interest in narrative-driven games as of 2032-09-28?</x:v>
      </x:c>
      <x:c r="F608" s="30" t="str">
        <x:v>Story-rich books or immersive theater experiences.</x:v>
      </x:c>
      <x:c r="G608" s="30" t="str">
        <x:v>Narrative-driven games</x:v>
      </x:c>
      <x:c r="H608" s="30" t="str">
        <x:v>deepseek-v4-flash</x:v>
      </x:c>
      <x:c r="I608" s="30" t="str">
        <x:v>deepseek-v4-flash</x:v>
      </x:c>
      <x:c r="J608" s="30" t="str">
        <x:v>277bec4e7f579a89b1cbc36ab4e28a8c9b9fb93516edad05adf6c00e2f227111</x:v>
      </x:c>
      <x:c r="K608" s="30" t="str">
        <x:v>1f839b45efabe74074c5d88dfd27192d89049cff27ce5e253e2f2def3e6f0de9</x:v>
      </x:c>
      <x:c r="L608" s="30" t="n">
        <x:v>640.23</x:v>
      </x:c>
      <x:c r="M608" s="30" t="str">
        <x:v>{"completion_tokens": 4, "prompt_tokens": 605, "total_tokens": 609, "completion_tokens_details": null, "prompt_tokens_details": {"audio_tokens": null, "cached_tokens": 512}, "prompt_cache_hit_tokens": 512, "prompt_cache_miss_tokens": 93}</x:v>
      </x:c>
      <x:c r="N608" s="30" t="str">
        <x:v>omission</x:v>
      </x:c>
      <x:c r="O608" s="30" t="str">
        <x:v>The model answer 'Narrative-driven games' is not a new leisure activity to explore next, but rather a restatement of the existing interest mentioned in the question. The gold answer suggests new activities like 'story-rich books or immersive theater experiences' that align with the interest in narrative-driven games. The model fails to provide a concrete new activity, making this an omission.</x:v>
      </x:c>
      <x:c r="P608" s="30" t="str">
        <x:v>LongCat-2.0</x:v>
      </x:c>
      <x:c r="Q608" s="30" t="str">
        <x:v>LongCat-2.0</x:v>
      </x:c>
      <x:c r="R608" s="30" t="n">
        <x:v>3471.41</x:v>
      </x:c>
      <x:c r="S608" s="30" t="str">
        <x:v>{"completion_tokens": 87, "prompt_tokens": 163, "total_tokens": 250,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09">
      <x:c r="A609" s="30" t="str">
        <x:v>memos_medium:120</x:v>
      </x:c>
      <x:c r="B609" s="30" t="str">
        <x:v>medium</x:v>
      </x:c>
      <x:c r="C609" s="30" t="str">
        <x:v>Generalization &amp; Application</x:v>
      </x:c>
      <x:c r="D609" s="30" t="n">
        <x:v>2</x:v>
      </x:c>
      <x:c r="E609" s="30" t="str">
        <x:v>What type of leisure activity might Martin Mark explore next based on his interest in narrative-driven games as of 2032-09-28?</x:v>
      </x:c>
      <x:c r="F609" s="30" t="str">
        <x:v>Story-rich books or immersive theater experiences.</x:v>
      </x:c>
      <x:c r="G609" s="30" t="str">
        <x:v>Narrative-driven games</x:v>
      </x:c>
      <x:c r="H609" s="30" t="str">
        <x:v>deepseek-v4-flash</x:v>
      </x:c>
      <x:c r="I609" s="30" t="str">
        <x:v>deepseek-v4-flash</x:v>
      </x:c>
      <x:c r="J609" s="30" t="str">
        <x:v>277bec4e7f579a89b1cbc36ab4e28a8c9b9fb93516edad05adf6c00e2f227111</x:v>
      </x:c>
      <x:c r="K609" s="30" t="str">
        <x:v>1f839b45efabe74074c5d88dfd27192d89049cff27ce5e253e2f2def3e6f0de9</x:v>
      </x:c>
      <x:c r="L609" s="30" t="n">
        <x:v>673.66</x:v>
      </x:c>
      <x:c r="M609" s="30" t="str">
        <x:v>{"completion_tokens": 4, "prompt_tokens": 605, "total_tokens": 609, "completion_tokens_details": null, "prompt_tokens_details": {"audio_tokens": null, "cached_tokens": 512}, "prompt_cache_hit_tokens": 512, "prompt_cache_miss_tokens": 93}</x:v>
      </x:c>
      <x:c r="N609" s="30" t="str">
        <x:v>omission</x:v>
      </x:c>
      <x:c r="O609" s="30" t="str">
        <x:v>The model answer 'Narrative-driven games' is not a new leisure activity to explore next, as it is the same category as the existing interest. The gold answer suggests new but related activities like 'story-rich books or immersive theater experiences.' The model's answer is incomplete and does not provide a concrete new activity, thus it is an omission.</x:v>
      </x:c>
      <x:c r="P609" s="30" t="str">
        <x:v>LongCat-2.0</x:v>
      </x:c>
      <x:c r="Q609" s="30" t="str">
        <x:v>LongCat-2.0</x:v>
      </x:c>
      <x:c r="R609" s="30" t="n">
        <x:v>4417.26</x:v>
      </x:c>
      <x:c r="S609" s="30" t="str">
        <x:v>{"completion_tokens": 82, "prompt_tokens": 163,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0">
      <x:c r="A610" s="30" t="str">
        <x:v>memos_medium:120</x:v>
      </x:c>
      <x:c r="B610" s="30" t="str">
        <x:v>medium</x:v>
      </x:c>
      <x:c r="C610" s="30" t="str">
        <x:v>Generalization &amp; Application</x:v>
      </x:c>
      <x:c r="D610" s="30" t="n">
        <x:v>3</x:v>
      </x:c>
      <x:c r="E610" s="30" t="str">
        <x:v>What type of leisure activity might Martin Mark explore next based on his interest in narrative-driven games as of 2032-09-28?</x:v>
      </x:c>
      <x:c r="F610" s="30" t="str">
        <x:v>Story-rich books or immersive theater experiences.</x:v>
      </x:c>
      <x:c r="G610" s="30" t="str">
        <x:v>Narrative-driven games</x:v>
      </x:c>
      <x:c r="H610" s="30" t="str">
        <x:v>deepseek-v4-flash</x:v>
      </x:c>
      <x:c r="I610" s="30" t="str">
        <x:v>deepseek-v4-flash</x:v>
      </x:c>
      <x:c r="J610" s="30" t="str">
        <x:v>277bec4e7f579a89b1cbc36ab4e28a8c9b9fb93516edad05adf6c00e2f227111</x:v>
      </x:c>
      <x:c r="K610" s="30" t="str">
        <x:v>1f839b45efabe74074c5d88dfd27192d89049cff27ce5e253e2f2def3e6f0de9</x:v>
      </x:c>
      <x:c r="L610" s="30" t="n">
        <x:v>742.24</x:v>
      </x:c>
      <x:c r="M610" s="30" t="str">
        <x:v>{"completion_tokens": 4, "prompt_tokens": 605, "total_tokens": 609, "completion_tokens_details": null, "prompt_tokens_details": {"audio_tokens": null, "cached_tokens": 512}, "prompt_cache_hit_tokens": 512, "prompt_cache_miss_tokens": 93}</x:v>
      </x:c>
      <x:c r="N610" s="30" t="str">
        <x:v>omission</x:v>
      </x:c>
      <x:c r="O610" s="30" t="str">
        <x:v>The model answer 'Narrative-driven games' is not a new leisure activity to explore next, but rather a restatement of Martin Mark's existing interest. The gold answer suggests new activities like 'story-rich books or immersive theater experiences' that align with his interest. The model fails to provide a concrete new activity, making this an omission.</x:v>
      </x:c>
      <x:c r="P610" s="30" t="str">
        <x:v>LongCat-2.0</x:v>
      </x:c>
      <x:c r="Q610" s="30" t="str">
        <x:v>LongCat-2.0</x:v>
      </x:c>
      <x:c r="R610" s="30" t="n">
        <x:v>3042.62</x:v>
      </x:c>
      <x:c r="S610" s="30" t="str">
        <x:v>{"completion_tokens": 81, "prompt_tokens": 163,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1">
      <x:c r="A611" s="30" t="str">
        <x:v>memos_medium:1206</x:v>
      </x:c>
      <x:c r="B611" s="30" t="str">
        <x:v>medium</x:v>
      </x:c>
      <x:c r="C611" s="30" t="str">
        <x:v>Generalization &amp; Application</x:v>
      </x:c>
      <x:c r="D611" s="30" t="n">
        <x:v>1</x:v>
      </x:c>
      <x:c r="E611" s="30" t="str">
        <x:v>What new fitness activity might Taylor David enjoy, considering his shift to dynamic yoga?</x:v>
      </x:c>
      <x:c r="F611" s="30" t="str">
        <x:v>High-intensity interval training (HIIT).</x:v>
      </x:c>
      <x:c r="G611" s="30" t="str">
        <x:v>Dynamic yoga</x:v>
      </x:c>
      <x:c r="H611" s="30" t="str">
        <x:v>deepseek-v4-flash</x:v>
      </x:c>
      <x:c r="I611" s="30" t="str">
        <x:v>deepseek-v4-flash</x:v>
      </x:c>
      <x:c r="J611" s="30" t="str">
        <x:v>c14cfaac719db8b56df87112dc852c26b2fdc38d1d94457f14d9f4ace4ca5ec2</x:v>
      </x:c>
      <x:c r="K611" s="30" t="str">
        <x:v>1ddff81ea0cb27de8df747da40ce4f9a216b343f074f9c6aedbd63a0ec48cc61</x:v>
      </x:c>
      <x:c r="L611" s="30" t="n">
        <x:v>577.68</x:v>
      </x:c>
      <x:c r="M611" s="30" t="str">
        <x:v>{"completion_tokens": 2, "prompt_tokens": 610, "total_tokens": 612, "completion_tokens_details": null, "prompt_tokens_details": {"audio_tokens": null, "cached_tokens": 512}, "prompt_cache_hit_tokens": 512, "prompt_cache_miss_tokens": 98}</x:v>
      </x:c>
      <x:c r="N611" s="30" t="str">
        <x:v>hallucination</x:v>
      </x:c>
      <x:c r="O611" s="30" t="str">
        <x:v>The question asks what new fitness activity Taylor David might enjoy, implying an activity beyond dynamic yoga. The gold answer is HIIT, but the model answer is 'Dynamic yoga,' which is not a new activity and contradicts the premise of the question.</x:v>
      </x:c>
      <x:c r="P611" s="30" t="str">
        <x:v>LongCat-2.0</x:v>
      </x:c>
      <x:c r="Q611" s="30" t="str">
        <x:v>LongCat-2.0</x:v>
      </x:c>
      <x:c r="R611" s="30" t="n">
        <x:v>3691.03</x:v>
      </x:c>
      <x:c r="S611" s="30" t="str">
        <x:v>{"completion_tokens": 62, "prompt_tokens": 145,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12">
      <x:c r="A612" s="30" t="str">
        <x:v>memos_medium:1206</x:v>
      </x:c>
      <x:c r="B612" s="30" t="str">
        <x:v>medium</x:v>
      </x:c>
      <x:c r="C612" s="30" t="str">
        <x:v>Generalization &amp; Application</x:v>
      </x:c>
      <x:c r="D612" s="30" t="n">
        <x:v>2</x:v>
      </x:c>
      <x:c r="E612" s="30" t="str">
        <x:v>What new fitness activity might Taylor David enjoy, considering his shift to dynamic yoga?</x:v>
      </x:c>
      <x:c r="F612" s="30" t="str">
        <x:v>High-intensity interval training (HIIT).</x:v>
      </x:c>
      <x:c r="G612" s="30" t="str">
        <x:v>Dynamic yoga</x:v>
      </x:c>
      <x:c r="H612" s="30" t="str">
        <x:v>deepseek-v4-flash</x:v>
      </x:c>
      <x:c r="I612" s="30" t="str">
        <x:v>deepseek-v4-flash</x:v>
      </x:c>
      <x:c r="J612" s="30" t="str">
        <x:v>c14cfaac719db8b56df87112dc852c26b2fdc38d1d94457f14d9f4ace4ca5ec2</x:v>
      </x:c>
      <x:c r="K612" s="30" t="str">
        <x:v>1ddff81ea0cb27de8df747da40ce4f9a216b343f074f9c6aedbd63a0ec48cc61</x:v>
      </x:c>
      <x:c r="L612" s="30" t="n">
        <x:v>730.75</x:v>
      </x:c>
      <x:c r="M612" s="30" t="str">
        <x:v>{"completion_tokens": 2, "prompt_tokens": 610, "total_tokens": 612, "completion_tokens_details": null, "prompt_tokens_details": {"audio_tokens": null, "cached_tokens": 512}, "prompt_cache_hit_tokens": 512, "prompt_cache_miss_tokens": 98}</x:v>
      </x:c>
      <x:c r="N612" s="30" t="str">
        <x:v>hallucination</x:v>
      </x:c>
      <x:c r="O612" s="30" t="str">
        <x:v>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 making it a hallucination.</x:v>
      </x:c>
      <x:c r="P612" s="30" t="str">
        <x:v>LongCat-2.0</x:v>
      </x:c>
      <x:c r="Q612" s="30" t="str">
        <x:v>LongCat-2.0</x:v>
      </x:c>
      <x:c r="R612" s="30" t="n">
        <x:v>3318.41</x:v>
      </x:c>
      <x:c r="S612" s="30" t="str">
        <x:v>{"completion_tokens": 84, "prompt_tokens": 145,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3">
      <x:c r="A613" s="30" t="str">
        <x:v>memos_medium:1206</x:v>
      </x:c>
      <x:c r="B613" s="30" t="str">
        <x:v>medium</x:v>
      </x:c>
      <x:c r="C613" s="30" t="str">
        <x:v>Generalization &amp; Application</x:v>
      </x:c>
      <x:c r="D613" s="30" t="n">
        <x:v>3</x:v>
      </x:c>
      <x:c r="E613" s="30" t="str">
        <x:v>What new fitness activity might Taylor David enjoy, considering his shift to dynamic yoga?</x:v>
      </x:c>
      <x:c r="F613" s="30" t="str">
        <x:v>High-intensity interval training (HIIT).</x:v>
      </x:c>
      <x:c r="G613" s="30" t="str">
        <x:v>Dynamic yoga</x:v>
      </x:c>
      <x:c r="H613" s="30" t="str">
        <x:v>deepseek-v4-flash</x:v>
      </x:c>
      <x:c r="I613" s="30" t="str">
        <x:v>deepseek-v4-flash</x:v>
      </x:c>
      <x:c r="J613" s="30" t="str">
        <x:v>c14cfaac719db8b56df87112dc852c26b2fdc38d1d94457f14d9f4ace4ca5ec2</x:v>
      </x:c>
      <x:c r="K613" s="30" t="str">
        <x:v>1ddff81ea0cb27de8df747da40ce4f9a216b343f074f9c6aedbd63a0ec48cc61</x:v>
      </x:c>
      <x:c r="L613" s="30" t="n">
        <x:v>566.71</x:v>
      </x:c>
      <x:c r="M613" s="30" t="str">
        <x:v>{"completion_tokens": 2, "prompt_tokens": 610, "total_tokens": 612, "completion_tokens_details": null, "prompt_tokens_details": {"audio_tokens": null, "cached_tokens": 512}, "prompt_cache_hit_tokens": 512, "prompt_cache_miss_tokens": 98}</x:v>
      </x:c>
      <x:c r="N613" s="30" t="str">
        <x:v>hallucination</x:v>
      </x:c>
      <x:c r="O613" s="30" t="str">
        <x:v>The question asks what new fitness activity Taylor David might enjoy, implying something beyond his current shift to dynamic yoga. The gold answer is HIIT, but the model answer repeats 'dynamic yoga,' which is the activity he is already shifting to, not a new one. This contradicts the intent of the question and the gold answer.</x:v>
      </x:c>
      <x:c r="P613" s="30" t="str">
        <x:v>LongCat-2.0</x:v>
      </x:c>
      <x:c r="Q613" s="30" t="str">
        <x:v>LongCat-2.0</x:v>
      </x:c>
      <x:c r="R613" s="30" t="n">
        <x:v>3798.85</x:v>
      </x:c>
      <x:c r="S613" s="30" t="str">
        <x:v>{"completion_tokens": 78, "prompt_tokens": 145,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4">
      <x:c r="A614" s="30" t="str">
        <x:v>memos_medium:1214</x:v>
      </x:c>
      <x:c r="B614" s="30" t="str">
        <x:v>medium</x:v>
      </x:c>
      <x:c r="C614" s="30" t="str">
        <x:v>Multi-hop Inference</x:v>
      </x:c>
      <x:c r="D614" s="30" t="n">
        <x:v>1</x:v>
      </x:c>
      <x:c r="E614" s="30" t="str">
        <x:v>What role did AI tools play in Taylor David's leadership approach by Apr 10, 2040?</x:v>
      </x:c>
      <x:c r="F614" s="30" t="str">
        <x:v>Improving efficiency and solving practical problems</x:v>
      </x:c>
      <x:c r="G614" s="30" t="str">
        <x:v>Improved efficiency and problem-solving.</x:v>
      </x:c>
      <x:c r="H614" s="30" t="str">
        <x:v>deepseek-v4-flash</x:v>
      </x:c>
      <x:c r="I614" s="30" t="str">
        <x:v>deepseek-v4-flash</x:v>
      </x:c>
      <x:c r="J614" s="30" t="str">
        <x:v>3514114b614b2af9958ddf029f62c26eaf7178ecf0b03ce67c1bd8040c1085c3</x:v>
      </x:c>
      <x:c r="K614" s="30" t="str">
        <x:v>a558f2a8285c48d16fd42cb280c37bb3074be32190b91e739641dde5d6c15c81</x:v>
      </x:c>
      <x:c r="L614" s="30" t="n">
        <x:v>629.99</x:v>
      </x:c>
      <x:c r="M614" s="30" t="str">
        <x:v>{"completion_tokens": 6, "prompt_tokens": 576, "total_tokens": 582, "completion_tokens_details": null, "prompt_tokens_details": {"audio_tokens": null, "cached_tokens": 512}, "prompt_cache_hit_tokens": 512, "prompt_cache_miss_tokens": 64}</x:v>
      </x:c>
      <x:c r="N614" s="30" t="str">
        <x:v>correct</x:v>
      </x:c>
      <x:c r="O614" s="30" t="str">
        <x:v>The model answer 'Improved efficiency and problem-solving' semantically captures the complete gold answer 'Improving efficiency and solving practical problems'. The wording differs slightly but conveys the same meaning without adding false or unsupported claims.</x:v>
      </x:c>
      <x:c r="P614" s="30" t="str">
        <x:v>LongCat-2.0</x:v>
      </x:c>
      <x:c r="Q614" s="30" t="str">
        <x:v>LongCat-2.0</x:v>
      </x:c>
      <x:c r="R614" s="30" t="n">
        <x:v>2675.46</x:v>
      </x:c>
      <x:c r="S614" s="30" t="str">
        <x:v>{"completion_tokens": 55, "prompt_tokens": 157,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15">
      <x:c r="A615" s="30" t="str">
        <x:v>memos_medium:1214</x:v>
      </x:c>
      <x:c r="B615" s="30" t="str">
        <x:v>medium</x:v>
      </x:c>
      <x:c r="C615" s="30" t="str">
        <x:v>Multi-hop Inference</x:v>
      </x:c>
      <x:c r="D615" s="30" t="n">
        <x:v>2</x:v>
      </x:c>
      <x:c r="E615" s="30" t="str">
        <x:v>What role did AI tools play in Taylor David's leadership approach by Apr 10, 2040?</x:v>
      </x:c>
      <x:c r="F615" s="30" t="str">
        <x:v>Improving efficiency and solving practical problems</x:v>
      </x:c>
      <x:c r="G615" s="30" t="str">
        <x:v>Improved efficiency and problem-solving.</x:v>
      </x:c>
      <x:c r="H615" s="30" t="str">
        <x:v>deepseek-v4-flash</x:v>
      </x:c>
      <x:c r="I615" s="30" t="str">
        <x:v>deepseek-v4-flash</x:v>
      </x:c>
      <x:c r="J615" s="30" t="str">
        <x:v>3514114b614b2af9958ddf029f62c26eaf7178ecf0b03ce67c1bd8040c1085c3</x:v>
      </x:c>
      <x:c r="K615" s="30" t="str">
        <x:v>a558f2a8285c48d16fd42cb280c37bb3074be32190b91e739641dde5d6c15c81</x:v>
      </x:c>
      <x:c r="L615" s="30" t="n">
        <x:v>727.07</x:v>
      </x:c>
      <x:c r="M615" s="30" t="str">
        <x:v>{"completion_tokens": 6, "prompt_tokens": 576, "total_tokens": 582, "completion_tokens_details": null, "prompt_tokens_details": {"audio_tokens": null, "cached_tokens": 512}, "prompt_cache_hit_tokens": 512, "prompt_cache_miss_tokens": 64}</x:v>
      </x:c>
      <x:c r="N615" s="30" t="str">
        <x:v>correct</x:v>
      </x:c>
      <x:c r="O615" s="30" t="str">
        <x:v>The model answer 'Improved efficiency and problem-solving' semantically captures the complete gold answer 'Improving efficiency and solving practical problems'. Both convey the same two key roles: efficiency improvement and problem-solving, with only minor wording differences.</x:v>
      </x:c>
      <x:c r="P615" s="30" t="str">
        <x:v>LongCat-2.0</x:v>
      </x:c>
      <x:c r="Q615" s="30" t="str">
        <x:v>LongCat-2.0</x:v>
      </x:c>
      <x:c r="R615" s="30" t="n">
        <x:v>3094.02</x:v>
      </x:c>
      <x:c r="S615" s="30" t="str">
        <x:v>{"completion_tokens": 60, "prompt_tokens": 157,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16">
      <x:c r="A616" s="30" t="str">
        <x:v>memos_medium:1214</x:v>
      </x:c>
      <x:c r="B616" s="30" t="str">
        <x:v>medium</x:v>
      </x:c>
      <x:c r="C616" s="30" t="str">
        <x:v>Multi-hop Inference</x:v>
      </x:c>
      <x:c r="D616" s="30" t="n">
        <x:v>3</x:v>
      </x:c>
      <x:c r="E616" s="30" t="str">
        <x:v>What role did AI tools play in Taylor David's leadership approach by Apr 10, 2040?</x:v>
      </x:c>
      <x:c r="F616" s="30" t="str">
        <x:v>Improving efficiency and solving practical problems</x:v>
      </x:c>
      <x:c r="G616" s="30" t="str">
        <x:v>Improved efficiency and problem-solving.</x:v>
      </x:c>
      <x:c r="H616" s="30" t="str">
        <x:v>deepseek-v4-flash</x:v>
      </x:c>
      <x:c r="I616" s="30" t="str">
        <x:v>deepseek-v4-flash</x:v>
      </x:c>
      <x:c r="J616" s="30" t="str">
        <x:v>3514114b614b2af9958ddf029f62c26eaf7178ecf0b03ce67c1bd8040c1085c3</x:v>
      </x:c>
      <x:c r="K616" s="30" t="str">
        <x:v>a558f2a8285c48d16fd42cb280c37bb3074be32190b91e739641dde5d6c15c81</x:v>
      </x:c>
      <x:c r="L616" s="30" t="n">
        <x:v>776.11</x:v>
      </x:c>
      <x:c r="M616" s="30" t="str">
        <x:v>{"completion_tokens": 6, "prompt_tokens": 576, "total_tokens": 582, "completion_tokens_details": null, "prompt_tokens_details": {"audio_tokens": null, "cached_tokens": 512}, "prompt_cache_hit_tokens": 512, "prompt_cache_miss_tokens": 64}</x:v>
      </x:c>
      <x:c r="N616" s="30" t="str">
        <x:v>correct</x:v>
      </x:c>
      <x:c r="O616" s="30" t="str">
        <x:v>The model answer 'Improved efficiency and problem-solving' semantically captures the complete gold answer 'Improving efficiency and solving practical problems'. Both convey the same two core ideas: efficiency improvement and problem-solving, with only minor wording differences ('improved' vs 'improving', 'problem-solving' vs 'solving practical problems'). No information is omitted or contradicted.</x:v>
      </x:c>
      <x:c r="P616" s="30" t="str">
        <x:v>LongCat-2.0</x:v>
      </x:c>
      <x:c r="Q616" s="30" t="str">
        <x:v>LongCat-2.0</x:v>
      </x:c>
      <x:c r="R616" s="30" t="n">
        <x:v>3743.37</x:v>
      </x:c>
      <x:c r="S616" s="30" t="str">
        <x:v>{"completion_tokens": 88, "prompt_tokens": 157,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7">
      <x:c r="A617" s="30" t="str">
        <x:v>memos_medium:1216</x:v>
      </x:c>
      <x:c r="B617" s="30" t="str">
        <x:v>medium</x:v>
      </x:c>
      <x:c r="C617" s="30" t="str">
        <x:v>Generalization &amp; Application</x:v>
      </x:c>
      <x:c r="D617" s="30" t="n">
        <x:v>1</x:v>
      </x:c>
      <x:c r="E617" s="30" t="str">
        <x:v>Based on Taylor David's game preferences on August 16, 2040, what type of workshop might he find beneficial for his creative meal planning?</x:v>
      </x:c>
      <x:c r="F617" s="30" t="str">
        <x:v>A workshop on creative problem-solving techniques.</x:v>
      </x:c>
      <x:c r="G617" s="30" t="str">
        <x:v>Creative puzzle workshop</x:v>
      </x:c>
      <x:c r="H617" s="30" t="str">
        <x:v>deepseek-v4-flash</x:v>
      </x:c>
      <x:c r="I617" s="30" t="str">
        <x:v>deepseek-v4-flash</x:v>
      </x:c>
      <x:c r="J617" s="30" t="str">
        <x:v>7af541196244ba8563fa5d4df71666c4bef21559179b5460e75dd9cb4d6559ec</x:v>
      </x:c>
      <x:c r="K617" s="30" t="str">
        <x:v>976e2366b997c9fe7387ff3635b7b5e5d9226b110683526d428a54f1fa5280de</x:v>
      </x:c>
      <x:c r="L617" s="30" t="n">
        <x:v>881.48</x:v>
      </x:c>
      <x:c r="M617" s="30" t="str">
        <x:v>{"completion_tokens": 3, "prompt_tokens": 621, "total_tokens": 624, "completion_tokens_details": null, "prompt_tokens_details": {"audio_tokens": null, "cached_tokens": 512}, "prompt_cache_hit_tokens": 512, "prompt_cache_miss_tokens": 109}</x:v>
      </x:c>
      <x:c r="N617" s="30" t="str">
        <x:v>hallucination</x:v>
      </x:c>
      <x:c r="O617"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P617" s="30" t="str">
        <x:v>LongCat-2.0</x:v>
      </x:c>
      <x:c r="Q617" s="30" t="str">
        <x:v>LongCat-2.0</x:v>
      </x:c>
      <x:c r="R617" s="30" t="n">
        <x:v>2871.88</x:v>
      </x:c>
      <x:c r="S617" s="30" t="str">
        <x:v>{"completion_tokens": 81, "prompt_tokens": 163,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8">
      <x:c r="A618" s="30" t="str">
        <x:v>memos_medium:1216</x:v>
      </x:c>
      <x:c r="B618" s="30" t="str">
        <x:v>medium</x:v>
      </x:c>
      <x:c r="C618" s="30" t="str">
        <x:v>Generalization &amp; Application</x:v>
      </x:c>
      <x:c r="D618" s="30" t="n">
        <x:v>2</x:v>
      </x:c>
      <x:c r="E618" s="30" t="str">
        <x:v>Based on Taylor David's game preferences on August 16, 2040, what type of workshop might he find beneficial for his creative meal planning?</x:v>
      </x:c>
      <x:c r="F618" s="30" t="str">
        <x:v>A workshop on creative problem-solving techniques.</x:v>
      </x:c>
      <x:c r="G618" s="30" t="str">
        <x:v>Creative puzzle workshop</x:v>
      </x:c>
      <x:c r="H618" s="30" t="str">
        <x:v>deepseek-v4-flash</x:v>
      </x:c>
      <x:c r="I618" s="30" t="str">
        <x:v>deepseek-v4-flash</x:v>
      </x:c>
      <x:c r="J618" s="30" t="str">
        <x:v>7af541196244ba8563fa5d4df71666c4bef21559179b5460e75dd9cb4d6559ec</x:v>
      </x:c>
      <x:c r="K618" s="30" t="str">
        <x:v>976e2366b997c9fe7387ff3635b7b5e5d9226b110683526d428a54f1fa5280de</x:v>
      </x:c>
      <x:c r="L618" s="30" t="n">
        <x:v>751.28</x:v>
      </x:c>
      <x:c r="M618" s="30" t="str">
        <x:v>{"completion_tokens": 3, "prompt_tokens": 621, "total_tokens": 624, "completion_tokens_details": null, "prompt_tokens_details": {"audio_tokens": null, "cached_tokens": 512}, "prompt_cache_hit_tokens": 512, "prompt_cache_miss_tokens": 109}</x:v>
      </x:c>
      <x:c r="N618" s="30" t="str">
        <x:v>hallucination</x:v>
      </x:c>
      <x:c r="O618" s="30" t="str">
        <x:v>The gold answer specifies a workshop on creative problem-solving techniques, which is a broad, general type of workshop. The model answer 'Creative puzzle workshop' introduces a specific, unsupported detail (puzzles) that is not present in or implied by the gold answer, making it a concrete claim that contradicts the generality of the gold answer.</x:v>
      </x:c>
      <x:c r="P618" s="30" t="str">
        <x:v>LongCat-2.0</x:v>
      </x:c>
      <x:c r="Q618" s="30" t="str">
        <x:v>LongCat-2.0</x:v>
      </x:c>
      <x:c r="R618" s="30" t="n">
        <x:v>3175.85</x:v>
      </x:c>
      <x:c r="S618" s="30" t="str">
        <x:v>{"completion_tokens": 81, "prompt_tokens": 163,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19">
      <x:c r="A619" s="30" t="str">
        <x:v>memos_medium:1216</x:v>
      </x:c>
      <x:c r="B619" s="30" t="str">
        <x:v>medium</x:v>
      </x:c>
      <x:c r="C619" s="30" t="str">
        <x:v>Generalization &amp; Application</x:v>
      </x:c>
      <x:c r="D619" s="30" t="n">
        <x:v>3</x:v>
      </x:c>
      <x:c r="E619" s="30" t="str">
        <x:v>Based on Taylor David's game preferences on August 16, 2040, what type of workshop might he find beneficial for his creative meal planning?</x:v>
      </x:c>
      <x:c r="F619" s="30" t="str">
        <x:v>A workshop on creative problem-solving techniques.</x:v>
      </x:c>
      <x:c r="G619" s="30" t="str">
        <x:v>Creative puzzle workshop</x:v>
      </x:c>
      <x:c r="H619" s="30" t="str">
        <x:v>deepseek-v4-flash</x:v>
      </x:c>
      <x:c r="I619" s="30" t="str">
        <x:v>deepseek-v4-flash</x:v>
      </x:c>
      <x:c r="J619" s="30" t="str">
        <x:v>7af541196244ba8563fa5d4df71666c4bef21559179b5460e75dd9cb4d6559ec</x:v>
      </x:c>
      <x:c r="K619" s="30" t="str">
        <x:v>976e2366b997c9fe7387ff3635b7b5e5d9226b110683526d428a54f1fa5280de</x:v>
      </x:c>
      <x:c r="L619" s="30" t="n">
        <x:v>616.64</x:v>
      </x:c>
      <x:c r="M619" s="30" t="str">
        <x:v>{"completion_tokens": 3, "prompt_tokens": 621, "total_tokens": 624, "completion_tokens_details": null, "prompt_tokens_details": {"audio_tokens": null, "cached_tokens": 512}, "prompt_cache_hit_tokens": 512, "prompt_cache_miss_tokens": 109}</x:v>
      </x:c>
      <x:c r="N619" s="30" t="str">
        <x:v>hallucination</x:v>
      </x:c>
      <x:c r="O619" s="30" t="str">
        <x:v>The gold answer specifies a workshop on 'creative problem-solving techniques,' which is a broad, general category. The model answer 'Creative puzzle workshop' introduces a specific, unsupported type of workshop (puzzles) that is not mentioned or implied in the gold answer, making it a concrete claim that contradicts the generality of the gold answer.</x:v>
      </x:c>
      <x:c r="P619" s="30" t="str">
        <x:v>LongCat-2.0</x:v>
      </x:c>
      <x:c r="Q619" s="30" t="str">
        <x:v>LongCat-2.0</x:v>
      </x:c>
      <x:c r="R619" s="30" t="n">
        <x:v>3649.7</x:v>
      </x:c>
      <x:c r="S619" s="30" t="str">
        <x:v>{"completion_tokens": 81, "prompt_tokens": 163,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0">
      <x:c r="A620" s="30" t="str">
        <x:v>memos_medium:1232</x:v>
      </x:c>
      <x:c r="B620" s="30" t="str">
        <x:v>medium</x:v>
      </x:c>
      <x:c r="C620" s="30" t="str">
        <x:v>Generalization &amp; Application</x:v>
      </x:c>
      <x:c r="D620" s="30" t="n">
        <x:v>1</x:v>
      </x:c>
      <x:c r="E620" s="30" t="str">
        <x:v>What strategic approach might Taylor take to influence nutrition policy reforms in 2043?</x:v>
      </x:c>
      <x:c r="F620" s="30" t="str">
        <x:v>Leverage expanded network and AI tools.</x:v>
      </x:c>
      <x:c r="G620" s="30" t="str">
        <x:v>Collaborate with ChenLi.</x:v>
      </x:c>
      <x:c r="H620" s="30" t="str">
        <x:v>deepseek-v4-flash</x:v>
      </x:c>
      <x:c r="I620" s="30" t="str">
        <x:v>deepseek-v4-flash</x:v>
      </x:c>
      <x:c r="J620" s="30" t="str">
        <x:v>42fd57de89e0c5f4f4762652330cec19771b850b32426d4a4c3277cfb78653be</x:v>
      </x:c>
      <x:c r="K620" s="30" t="str">
        <x:v>be9dee9ce1b2ff26c516446de18bdb5032f4e1438ef3a30c88d5c6c7c51dcd5e</x:v>
      </x:c>
      <x:c r="L620" s="30" t="n">
        <x:v>610.55</x:v>
      </x:c>
      <x:c r="M620" s="30" t="str">
        <x:v>{"completion_tokens": 6, "prompt_tokens": 580, "total_tokens": 586, "completion_tokens_details": null, "prompt_tokens_details": {"audio_tokens": null, "cached_tokens": 512}, "prompt_cache_hit_tokens": 512, "prompt_cache_miss_tokens": 68}</x:v>
      </x:c>
      <x:c r="N620" s="30" t="str">
        <x:v>hallucination</x:v>
      </x:c>
      <x:c r="O620" s="30" t="str">
        <x:v>The model answer 'Collaborate with ChenLi' introduces a specific person and action that is not present in or supported by the gold answer. The gold answer focuses on leveraging an expanded network and AI tools, while the model provides a concrete but unsupported claim about collaborating with a named individual, which contradicts the gold answer's content.</x:v>
      </x:c>
      <x:c r="P620" s="30" t="str">
        <x:v>LongCat-2.0</x:v>
      </x:c>
      <x:c r="Q620" s="30" t="str">
        <x:v>LongCat-2.0</x:v>
      </x:c>
      <x:c r="R620" s="30" t="n">
        <x:v>3341.17</x:v>
      </x:c>
      <x:c r="S620" s="30" t="str">
        <x:v>{"completion_tokens": 78, "prompt_tokens": 150,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1">
      <x:c r="A621" s="30" t="str">
        <x:v>memos_medium:1232</x:v>
      </x:c>
      <x:c r="B621" s="30" t="str">
        <x:v>medium</x:v>
      </x:c>
      <x:c r="C621" s="30" t="str">
        <x:v>Generalization &amp; Application</x:v>
      </x:c>
      <x:c r="D621" s="30" t="n">
        <x:v>2</x:v>
      </x:c>
      <x:c r="E621" s="30" t="str">
        <x:v>What strategic approach might Taylor take to influence nutrition policy reforms in 2043?</x:v>
      </x:c>
      <x:c r="F621" s="30" t="str">
        <x:v>Leverage expanded network and AI tools.</x:v>
      </x:c>
      <x:c r="G621" s="30" t="str">
        <x:v>Collaborate with ChenLi.</x:v>
      </x:c>
      <x:c r="H621" s="30" t="str">
        <x:v>deepseek-v4-flash</x:v>
      </x:c>
      <x:c r="I621" s="30" t="str">
        <x:v>deepseek-v4-flash</x:v>
      </x:c>
      <x:c r="J621" s="30" t="str">
        <x:v>42fd57de89e0c5f4f4762652330cec19771b850b32426d4a4c3277cfb78653be</x:v>
      </x:c>
      <x:c r="K621" s="30" t="str">
        <x:v>be9dee9ce1b2ff26c516446de18bdb5032f4e1438ef3a30c88d5c6c7c51dcd5e</x:v>
      </x:c>
      <x:c r="L621" s="30" t="n">
        <x:v>612.55</x:v>
      </x:c>
      <x:c r="M621" s="30" t="str">
        <x:v>{"completion_tokens": 6, "prompt_tokens": 580, "total_tokens": 586, "completion_tokens_details": null, "prompt_tokens_details": {"audio_tokens": null, "cached_tokens": 512}, "prompt_cache_hit_tokens": 512, "prompt_cache_miss_tokens": 68}</x:v>
      </x:c>
      <x:c r="N621" s="30" t="str">
        <x:v>omission</x:v>
      </x:c>
      <x:c r="O621"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P621" s="30" t="str">
        <x:v>LongCat-2.0</x:v>
      </x:c>
      <x:c r="Q621" s="30" t="str">
        <x:v>LongCat-2.0</x:v>
      </x:c>
      <x:c r="R621" s="30" t="n">
        <x:v>5048.93</x:v>
      </x:c>
      <x:c r="S621"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2">
      <x:c r="A622" s="30" t="str">
        <x:v>memos_medium:1232</x:v>
      </x:c>
      <x:c r="B622" s="30" t="str">
        <x:v>medium</x:v>
      </x:c>
      <x:c r="C622" s="30" t="str">
        <x:v>Generalization &amp; Application</x:v>
      </x:c>
      <x:c r="D622" s="30" t="n">
        <x:v>3</x:v>
      </x:c>
      <x:c r="E622" s="30" t="str">
        <x:v>What strategic approach might Taylor take to influence nutrition policy reforms in 2043?</x:v>
      </x:c>
      <x:c r="F622" s="30" t="str">
        <x:v>Leverage expanded network and AI tools.</x:v>
      </x:c>
      <x:c r="G622" s="30" t="str">
        <x:v>Collaborate with ChenLi.</x:v>
      </x:c>
      <x:c r="H622" s="30" t="str">
        <x:v>deepseek-v4-flash</x:v>
      </x:c>
      <x:c r="I622" s="30" t="str">
        <x:v>deepseek-v4-flash</x:v>
      </x:c>
      <x:c r="J622" s="30" t="str">
        <x:v>42fd57de89e0c5f4f4762652330cec19771b850b32426d4a4c3277cfb78653be</x:v>
      </x:c>
      <x:c r="K622" s="30" t="str">
        <x:v>be9dee9ce1b2ff26c516446de18bdb5032f4e1438ef3a30c88d5c6c7c51dcd5e</x:v>
      </x:c>
      <x:c r="L622" s="30" t="n">
        <x:v>595.78</x:v>
      </x:c>
      <x:c r="M622" s="30" t="str">
        <x:v>{"completion_tokens": 6, "prompt_tokens": 580, "total_tokens": 586, "completion_tokens_details": null, "prompt_tokens_details": {"audio_tokens": null, "cached_tokens": 512}, "prompt_cache_hit_tokens": 512, "prompt_cache_miss_tokens": 68}</x:v>
      </x:c>
      <x:c r="N622" s="30" t="str">
        <x:v>omission</x:v>
      </x:c>
      <x:c r="O622" s="30" t="str">
        <x:v>The model answer 'Collaborate with ChenLi' does not mention leveraging an expanded network or AI tools, which are the core components of the gold answer. It provides a different, incomplete approach without addressing the key strategic elements specified in the benchmark.</x:v>
      </x:c>
      <x:c r="P622" s="30" t="str">
        <x:v>LongCat-2.0</x:v>
      </x:c>
      <x:c r="Q622" s="30" t="str">
        <x:v>LongCat-2.0</x:v>
      </x:c>
      <x:c r="R622" s="30" t="n">
        <x:v>4642.24</x:v>
      </x:c>
      <x:c r="S622"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3">
      <x:c r="A623" s="30" t="str">
        <x:v>memos_medium:1238</x:v>
      </x:c>
      <x:c r="B623" s="30" t="str">
        <x:v>medium</x:v>
      </x:c>
      <x:c r="C623" s="30" t="str">
        <x:v>Generalization &amp; Application</x:v>
      </x:c>
      <x:c r="D623" s="30" t="n">
        <x:v>1</x:v>
      </x:c>
      <x:c r="E623" s="30" t="str">
        <x:v>How might Taylor David integrate film insights into his advocacy work after Mar 10, 2043?</x:v>
      </x:c>
      <x:c r="F623" s="30" t="str">
        <x:v>By hosting discussions and workshops.</x:v>
      </x:c>
      <x:c r="G623" s="30" t="str">
        <x:v>Host discussions and workshops.</x:v>
      </x:c>
      <x:c r="H623" s="30" t="str">
        <x:v>deepseek-v4-flash</x:v>
      </x:c>
      <x:c r="I623" s="30" t="str">
        <x:v>deepseek-v4-flash</x:v>
      </x:c>
      <x:c r="J623" s="30" t="str">
        <x:v>f916f53da0928a6a09f05cc84aa09076fd3452d70f2d4041b4949adf64aeae2d</x:v>
      </x:c>
      <x:c r="K623" s="30" t="str">
        <x:v>9ebd6d1e2c1d3c8c155dba088f216059d9a2ef821a25a5cd4609b513b0794de4</x:v>
      </x:c>
      <x:c r="L623" s="30" t="n">
        <x:v>845.08</x:v>
      </x:c>
      <x:c r="M623" s="30" t="str">
        <x:v>{"completion_tokens": 5, "prompt_tokens": 575, "total_tokens": 580, "completion_tokens_details": null, "prompt_tokens_details": {"audio_tokens": null, "cached_tokens": 512}, "prompt_cache_hit_tokens": 512, "prompt_cache_miss_tokens": 63}</x:v>
      </x:c>
      <x:c r="N623" s="30" t="str">
        <x:v>correct</x:v>
      </x:c>
      <x:c r="O623" s="30" t="str">
        <x:v>The model answer 'Host discussions and workshops' semantically matches the gold answer 'By hosting discussions and workshops,' conveying the same complete meaning with only minor wording differences.</x:v>
      </x:c>
      <x:c r="P623" s="30" t="str">
        <x:v>LongCat-2.0</x:v>
      </x:c>
      <x:c r="Q623" s="30" t="str">
        <x:v>LongCat-2.0</x:v>
      </x:c>
      <x:c r="R623" s="30" t="n">
        <x:v>2505.32</x:v>
      </x:c>
      <x:c r="S623" s="30" t="str">
        <x:v>{"completion_tokens": 44, "prompt_tokens": 151,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4">
      <x:c r="A624" s="30" t="str">
        <x:v>memos_medium:1238</x:v>
      </x:c>
      <x:c r="B624" s="30" t="str">
        <x:v>medium</x:v>
      </x:c>
      <x:c r="C624" s="30" t="str">
        <x:v>Generalization &amp; Application</x:v>
      </x:c>
      <x:c r="D624" s="30" t="n">
        <x:v>2</x:v>
      </x:c>
      <x:c r="E624" s="30" t="str">
        <x:v>How might Taylor David integrate film insights into his advocacy work after Mar 10, 2043?</x:v>
      </x:c>
      <x:c r="F624" s="30" t="str">
        <x:v>By hosting discussions and workshops.</x:v>
      </x:c>
      <x:c r="G624" s="30" t="str">
        <x:v>Host discussions and workshops.</x:v>
      </x:c>
      <x:c r="H624" s="30" t="str">
        <x:v>deepseek-v4-flash</x:v>
      </x:c>
      <x:c r="I624" s="30" t="str">
        <x:v>deepseek-v4-flash</x:v>
      </x:c>
      <x:c r="J624" s="30" t="str">
        <x:v>f916f53da0928a6a09f05cc84aa09076fd3452d70f2d4041b4949adf64aeae2d</x:v>
      </x:c>
      <x:c r="K624" s="30" t="str">
        <x:v>9ebd6d1e2c1d3c8c155dba088f216059d9a2ef821a25a5cd4609b513b0794de4</x:v>
      </x:c>
      <x:c r="L624" s="30" t="n">
        <x:v>524.95</x:v>
      </x:c>
      <x:c r="M624" s="30" t="str">
        <x:v>{"completion_tokens": 5, "prompt_tokens": 575, "total_tokens": 580, "completion_tokens_details": null, "prompt_tokens_details": {"audio_tokens": null, "cached_tokens": 512}, "prompt_cache_hit_tokens": 512, "prompt_cache_miss_tokens": 63}</x:v>
      </x:c>
      <x:c r="N624" s="30" t="str">
        <x:v>correct</x:v>
      </x:c>
      <x:c r="O624" s="30" t="str">
        <x:v>The model answer 'Host discussions and workshops' is a concise rephrasing of the gold answer 'By hosting discussions and workshops.' Both convey the same complete semantic content—that Taylor David would integrate film insights into his advocacy work through discussions and workshops. The wording differs slightly (omitting 'By' and using 'Host' instead of 'hosting'), but the meaning is fully preserved without any contradiction or unsupported material.</x:v>
      </x:c>
      <x:c r="P624" s="30" t="str">
        <x:v>LongCat-2.0</x:v>
      </x:c>
      <x:c r="Q624" s="30" t="str">
        <x:v>LongCat-2.0</x:v>
      </x:c>
      <x:c r="R624" s="30" t="n">
        <x:v>4694.27</x:v>
      </x:c>
      <x:c r="S624" s="30" t="str">
        <x:v>{"completion_tokens": 96, "prompt_tokens": 151, "total_tokens": 247,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25">
      <x:c r="A625" s="30" t="str">
        <x:v>memos_medium:1238</x:v>
      </x:c>
      <x:c r="B625" s="30" t="str">
        <x:v>medium</x:v>
      </x:c>
      <x:c r="C625" s="30" t="str">
        <x:v>Generalization &amp; Application</x:v>
      </x:c>
      <x:c r="D625" s="30" t="n">
        <x:v>3</x:v>
      </x:c>
      <x:c r="E625" s="30" t="str">
        <x:v>How might Taylor David integrate film insights into his advocacy work after Mar 10, 2043?</x:v>
      </x:c>
      <x:c r="F625" s="30" t="str">
        <x:v>By hosting discussions and workshops.</x:v>
      </x:c>
      <x:c r="G625" s="30" t="str">
        <x:v>Host discussions and workshops.</x:v>
      </x:c>
      <x:c r="H625" s="30" t="str">
        <x:v>deepseek-v4-flash</x:v>
      </x:c>
      <x:c r="I625" s="30" t="str">
        <x:v>deepseek-v4-flash</x:v>
      </x:c>
      <x:c r="J625" s="30" t="str">
        <x:v>f916f53da0928a6a09f05cc84aa09076fd3452d70f2d4041b4949adf64aeae2d</x:v>
      </x:c>
      <x:c r="K625" s="30" t="str">
        <x:v>9ebd6d1e2c1d3c8c155dba088f216059d9a2ef821a25a5cd4609b513b0794de4</x:v>
      </x:c>
      <x:c r="L625" s="30" t="n">
        <x:v>600.1</x:v>
      </x:c>
      <x:c r="M625" s="30" t="str">
        <x:v>{"completion_tokens": 5, "prompt_tokens": 575, "total_tokens": 580, "completion_tokens_details": null, "prompt_tokens_details": {"audio_tokens": null, "cached_tokens": 512}, "prompt_cache_hit_tokens": 512, "prompt_cache_miss_tokens": 63}</x:v>
      </x:c>
      <x:c r="N625" s="30" t="str">
        <x:v>correct</x:v>
      </x:c>
      <x:c r="O625" s="30" t="str">
        <x:v>The model answer 'Host discussions and workshops' semantically matches the gold answer 'By hosting discussions and workshops,' conveying the same complete meaning with only minor wording differences.</x:v>
      </x:c>
      <x:c r="P625" s="30" t="str">
        <x:v>LongCat-2.0</x:v>
      </x:c>
      <x:c r="Q625" s="30" t="str">
        <x:v>LongCat-2.0</x:v>
      </x:c>
      <x:c r="R625" s="30" t="n">
        <x:v>2800.05</x:v>
      </x:c>
      <x:c r="S625" s="30" t="str">
        <x:v>{"completion_tokens": 44, "prompt_tokens": 151,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6">
      <x:c r="A626" s="30" t="str">
        <x:v>memos_medium:1239</x:v>
      </x:c>
      <x:c r="B626" s="30" t="str">
        <x:v>medium</x:v>
      </x:c>
      <x:c r="C626" s="30" t="str">
        <x:v>Basic Fact Recall</x:v>
      </x:c>
      <x:c r="D626" s="30" t="n">
        <x:v>1</x:v>
      </x:c>
      <x:c r="E626" s="30" t="str">
        <x:v>What type of films does Taylor David appreciate as of Mar 10, 2043?</x:v>
      </x:c>
      <x:c r="F626" s="30" t="str">
        <x:v>Films that address societal issues.</x:v>
      </x:c>
      <x:c r="G626" s="30" t="str">
        <x:v>Films addressing societal issues</x:v>
      </x:c>
      <x:c r="H626" s="30" t="str">
        <x:v>deepseek-v4-flash</x:v>
      </x:c>
      <x:c r="I626" s="30" t="str">
        <x:v>deepseek-v4-flash</x:v>
      </x:c>
      <x:c r="J626" s="30" t="str">
        <x:v>eb9b9564bb6375f85a87ec4e8301f91e80202a2399df422d306007f741eee553</x:v>
      </x:c>
      <x:c r="K626" s="30" t="str">
        <x:v>6b94083ee066ff47a3c1349c20a5e60de20508c9409d469d990e62ba316c774e</x:v>
      </x:c>
      <x:c r="L626" s="30" t="n">
        <x:v>595.81</x:v>
      </x:c>
      <x:c r="M626" s="30" t="str">
        <x:v>{"completion_tokens": 5, "prompt_tokens": 540, "total_tokens": 545, "completion_tokens_details": null, "prompt_tokens_details": {"audio_tokens": null, "cached_tokens": 512}, "prompt_cache_hit_tokens": 512, "prompt_cache_miss_tokens": 28}</x:v>
      </x:c>
      <x:c r="N626" s="30" t="str">
        <x:v>correct</x:v>
      </x:c>
      <x:c r="O626" s="30" t="str">
        <x:v>The model answer 'Films addressing societal issues' is semantically equivalent to the gold answer 'Films that address societal issues,' conveying the complete meaning with only minor wording differences.</x:v>
      </x:c>
      <x:c r="P626" s="30" t="str">
        <x:v>LongCat-2.0</x:v>
      </x:c>
      <x:c r="Q626" s="30" t="str">
        <x:v>LongCat-2.0</x:v>
      </x:c>
      <x:c r="R626" s="30" t="n">
        <x:v>2711.67</x:v>
      </x:c>
      <x:c r="S626" s="30" t="str">
        <x:v>{"completion_tokens": 45, "prompt_tokens": 149, "total_tokens": 194,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27">
      <x:c r="A627" s="30" t="str">
        <x:v>memos_medium:1239</x:v>
      </x:c>
      <x:c r="B627" s="30" t="str">
        <x:v>medium</x:v>
      </x:c>
      <x:c r="C627" s="30" t="str">
        <x:v>Basic Fact Recall</x:v>
      </x:c>
      <x:c r="D627" s="30" t="n">
        <x:v>2</x:v>
      </x:c>
      <x:c r="E627" s="30" t="str">
        <x:v>What type of films does Taylor David appreciate as of Mar 10, 2043?</x:v>
      </x:c>
      <x:c r="F627" s="30" t="str">
        <x:v>Films that address societal issues.</x:v>
      </x:c>
      <x:c r="G627" s="30" t="str">
        <x:v>Films addressing societal issues</x:v>
      </x:c>
      <x:c r="H627" s="30" t="str">
        <x:v>deepseek-v4-flash</x:v>
      </x:c>
      <x:c r="I627" s="30" t="str">
        <x:v>deepseek-v4-flash</x:v>
      </x:c>
      <x:c r="J627" s="30" t="str">
        <x:v>eb9b9564bb6375f85a87ec4e8301f91e80202a2399df422d306007f741eee553</x:v>
      </x:c>
      <x:c r="K627" s="30" t="str">
        <x:v>6b94083ee066ff47a3c1349c20a5e60de20508c9409d469d990e62ba316c774e</x:v>
      </x:c>
      <x:c r="L627" s="30" t="n">
        <x:v>606.25</x:v>
      </x:c>
      <x:c r="M627" s="30" t="str">
        <x:v>{"completion_tokens": 5, "prompt_tokens": 540, "total_tokens": 545, "completion_tokens_details": null, "prompt_tokens_details": {"audio_tokens": null, "cached_tokens": 512}, "prompt_cache_hit_tokens": 512, "prompt_cache_miss_tokens": 28}</x:v>
      </x:c>
      <x:c r="N627" s="30" t="str">
        <x:v>correct</x:v>
      </x:c>
      <x:c r="O627" s="30" t="str">
        <x:v>The model answer 'Films addressing societal issues' is semantically equivalent to the gold answer 'Films that address societal issues.' The wording differs slightly but conveys the complete meaning without contradiction or omission.</x:v>
      </x:c>
      <x:c r="P627" s="30" t="str">
        <x:v>LongCat-2.0</x:v>
      </x:c>
      <x:c r="Q627" s="30" t="str">
        <x:v>LongCat-2.0</x:v>
      </x:c>
      <x:c r="R627" s="30" t="n">
        <x:v>3613.08</x:v>
      </x:c>
      <x:c r="S627" s="30" t="str">
        <x:v>{"completion_tokens": 49, "prompt_tokens": 149, "total_tokens": 198,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8">
      <x:c r="A628" s="30" t="str">
        <x:v>memos_medium:1239</x:v>
      </x:c>
      <x:c r="B628" s="30" t="str">
        <x:v>medium</x:v>
      </x:c>
      <x:c r="C628" s="30" t="str">
        <x:v>Basic Fact Recall</x:v>
      </x:c>
      <x:c r="D628" s="30" t="n">
        <x:v>3</x:v>
      </x:c>
      <x:c r="E628" s="30" t="str">
        <x:v>What type of films does Taylor David appreciate as of Mar 10, 2043?</x:v>
      </x:c>
      <x:c r="F628" s="30" t="str">
        <x:v>Films that address societal issues.</x:v>
      </x:c>
      <x:c r="G628" s="30" t="str">
        <x:v>Films addressing societal issues</x:v>
      </x:c>
      <x:c r="H628" s="30" t="str">
        <x:v>deepseek-v4-flash</x:v>
      </x:c>
      <x:c r="I628" s="30" t="str">
        <x:v>deepseek-v4-flash</x:v>
      </x:c>
      <x:c r="J628" s="30" t="str">
        <x:v>eb9b9564bb6375f85a87ec4e8301f91e80202a2399df422d306007f741eee553</x:v>
      </x:c>
      <x:c r="K628" s="30" t="str">
        <x:v>6b94083ee066ff47a3c1349c20a5e60de20508c9409d469d990e62ba316c774e</x:v>
      </x:c>
      <x:c r="L628" s="30" t="n">
        <x:v>557.21</x:v>
      </x:c>
      <x:c r="M628" s="30" t="str">
        <x:v>{"completion_tokens": 5, "prompt_tokens": 540, "total_tokens": 545, "completion_tokens_details": null, "prompt_tokens_details": {"audio_tokens": null, "cached_tokens": 512}, "prompt_cache_hit_tokens": 512, "prompt_cache_miss_tokens": 28}</x:v>
      </x:c>
      <x:c r="N628" s="30" t="str">
        <x:v>correct</x:v>
      </x:c>
      <x:c r="O628" s="30" t="str">
        <x:v>The model answer 'Films addressing societal issues' is semantically equivalent to the gold answer 'Films that address societal issues,' conveying the complete meaning with only minor wording differences.</x:v>
      </x:c>
      <x:c r="P628" s="30" t="str">
        <x:v>LongCat-2.0</x:v>
      </x:c>
      <x:c r="Q628" s="30" t="str">
        <x:v>LongCat-2.0</x:v>
      </x:c>
      <x:c r="R628" s="30" t="n">
        <x:v>3605.3</x:v>
      </x:c>
      <x:c r="S628" s="30" t="str">
        <x:v>{"completion_tokens": 45, "prompt_tokens": 149, "total_tokens": 194,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29">
      <x:c r="A629" s="30" t="str">
        <x:v>memos_medium:1265</x:v>
      </x:c>
      <x:c r="B629" s="30" t="str">
        <x:v>medium</x:v>
      </x:c>
      <x:c r="C629" s="30" t="str">
        <x:v>Generalization &amp; Application</x:v>
      </x:c>
      <x:c r="D629" s="30" t="n">
        <x:v>1</x:v>
      </x:c>
      <x:c r="E629" s="30" t="str">
        <x:v>What type of new media might Ananya explore next based on her interest in storytelling?</x:v>
      </x:c>
      <x:c r="F629" s="30" t="str">
        <x:v>Interactive storytelling platforms or narrative-driven virtual reality experiences.</x:v>
      </x:c>
      <x:c r="G629" s="30" t="str">
        <x:v>Narrative-driven games</x:v>
      </x:c>
      <x:c r="H629" s="30" t="str">
        <x:v>deepseek-v4-flash</x:v>
      </x:c>
      <x:c r="I629" s="30" t="str">
        <x:v>deepseek-v4-flash</x:v>
      </x:c>
      <x:c r="J629" s="30" t="str">
        <x:v>52b89523a012a848875191c7cdfd3c24da251e67f6450426496ff4700d05de79</x:v>
      </x:c>
      <x:c r="K629" s="30" t="str">
        <x:v>2ecf41c09936b0db58400fea8d51e7d8931d2bfa77d187b9be29ff9356ac659b</x:v>
      </x:c>
      <x:c r="L629" s="30" t="n">
        <x:v>672.51</x:v>
      </x:c>
      <x:c r="M629" s="30" t="str">
        <x:v>{"completion_tokens": 4, "prompt_tokens": 601, "total_tokens": 605, "completion_tokens_details": null, "prompt_tokens_details": {"audio_tokens": null, "cached_tokens": 512}, "prompt_cache_hit_tokens": 512, "prompt_cache_miss_tokens": 89}</x:v>
      </x:c>
      <x:c r="N629" s="30" t="str">
        <x:v>omission</x:v>
      </x:c>
      <x:c r="O629" s="30" t="str">
        <x:v>The model answer 'Narrative-driven games' is a valid form of interactive storytelling, but it only represents a subset of the gold answer, which includes 'Interactive storytelling platforms or narrative-driven virtual reality experiences.' The model does not mention interactive storytelling platforms or VR experiences, making it an incomplete subset without adding a false claim.</x:v>
      </x:c>
      <x:c r="P629" s="30" t="str">
        <x:v>LongCat-2.0</x:v>
      </x:c>
      <x:c r="Q629" s="30" t="str">
        <x:v>LongCat-2.0</x:v>
      </x:c>
      <x:c r="R629" s="30" t="n">
        <x:v>3233.16</x:v>
      </x:c>
      <x:c r="S629" s="30" t="str">
        <x:v>{"completion_tokens": 77, "prompt_tokens": 150,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0">
      <x:c r="A630" s="30" t="str">
        <x:v>memos_medium:1265</x:v>
      </x:c>
      <x:c r="B630" s="30" t="str">
        <x:v>medium</x:v>
      </x:c>
      <x:c r="C630" s="30" t="str">
        <x:v>Generalization &amp; Application</x:v>
      </x:c>
      <x:c r="D630" s="30" t="n">
        <x:v>2</x:v>
      </x:c>
      <x:c r="E630" s="30" t="str">
        <x:v>What type of new media might Ananya explore next based on her interest in storytelling?</x:v>
      </x:c>
      <x:c r="F630" s="30" t="str">
        <x:v>Interactive storytelling platforms or narrative-driven virtual reality experiences.</x:v>
      </x:c>
      <x:c r="G630" s="30" t="str">
        <x:v>Narrative-driven games</x:v>
      </x:c>
      <x:c r="H630" s="30" t="str">
        <x:v>deepseek-v4-flash</x:v>
      </x:c>
      <x:c r="I630" s="30" t="str">
        <x:v>deepseek-v4-flash</x:v>
      </x:c>
      <x:c r="J630" s="30" t="str">
        <x:v>52b89523a012a848875191c7cdfd3c24da251e67f6450426496ff4700d05de79</x:v>
      </x:c>
      <x:c r="K630" s="30" t="str">
        <x:v>2ecf41c09936b0db58400fea8d51e7d8931d2bfa77d187b9be29ff9356ac659b</x:v>
      </x:c>
      <x:c r="L630" s="30" t="n">
        <x:v>596.76</x:v>
      </x:c>
      <x:c r="M630" s="30" t="str">
        <x:v>{"completion_tokens": 4, "prompt_tokens": 601, "total_tokens": 605, "completion_tokens_details": null, "prompt_tokens_details": {"audio_tokens": null, "cached_tokens": 512}, "prompt_cache_hit_tokens": 512, "prompt_cache_miss_tokens": 89}</x:v>
      </x:c>
      <x:c r="N630" s="30" t="str">
        <x:v>omission</x:v>
      </x:c>
      <x:c r="O630" s="30" t="str">
        <x:v>The model answer 'Narrative-driven games' is a valid form of interactive storytelling, but it only represents a subset of the gold answer, which includes 'Interactive storytelling platforms or narrative-driven virtual reality experiences.' The model omits the broader category of interactive storytelling platforms and the specific mention of virtual reality experiences, providing an incomplete subset without adding a concrete false claim.</x:v>
      </x:c>
      <x:c r="P630" s="30" t="str">
        <x:v>LongCat-2.0</x:v>
      </x:c>
      <x:c r="Q630" s="30" t="str">
        <x:v>LongCat-2.0</x:v>
      </x:c>
      <x:c r="R630" s="30" t="n">
        <x:v>3398.72</x:v>
      </x:c>
      <x:c r="S630" s="30" t="str">
        <x:v>{"completion_tokens": 85, "prompt_tokens": 150, "total_tokens": 235,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31">
      <x:c r="A631" s="30" t="str">
        <x:v>memos_medium:1265</x:v>
      </x:c>
      <x:c r="B631" s="30" t="str">
        <x:v>medium</x:v>
      </x:c>
      <x:c r="C631" s="30" t="str">
        <x:v>Generalization &amp; Application</x:v>
      </x:c>
      <x:c r="D631" s="30" t="n">
        <x:v>3</x:v>
      </x:c>
      <x:c r="E631" s="30" t="str">
        <x:v>What type of new media might Ananya explore next based on her interest in storytelling?</x:v>
      </x:c>
      <x:c r="F631" s="30" t="str">
        <x:v>Interactive storytelling platforms or narrative-driven virtual reality experiences.</x:v>
      </x:c>
      <x:c r="G631" s="30" t="str">
        <x:v>Narrative-driven games</x:v>
      </x:c>
      <x:c r="H631" s="30" t="str">
        <x:v>deepseek-v4-flash</x:v>
      </x:c>
      <x:c r="I631" s="30" t="str">
        <x:v>deepseek-v4-flash</x:v>
      </x:c>
      <x:c r="J631" s="30" t="str">
        <x:v>52b89523a012a848875191c7cdfd3c24da251e67f6450426496ff4700d05de79</x:v>
      </x:c>
      <x:c r="K631" s="30" t="str">
        <x:v>2ecf41c09936b0db58400fea8d51e7d8931d2bfa77d187b9be29ff9356ac659b</x:v>
      </x:c>
      <x:c r="L631" s="30" t="n">
        <x:v>596.76</x:v>
      </x:c>
      <x:c r="M631" s="30" t="str">
        <x:v>{"completion_tokens": 4, "prompt_tokens": 601, "total_tokens": 605, "completion_tokens_details": null, "prompt_tokens_details": {"audio_tokens": null, "cached_tokens": 512}, "prompt_cache_hit_tokens": 512, "prompt_cache_miss_tokens": 89}</x:v>
      </x:c>
      <x:c r="N631" s="30" t="str">
        <x:v>omission</x:v>
      </x:c>
      <x:c r="O631" s="30" t="str">
        <x:v>The model answer 'Narrative-driven games' is a valid form of interactive storytelling, but it only provides a partial subset of the gold answer, which includes 'Interactive storytelling platforms or narrative-driven virtual reality experiences.' The model does not mention interactive storytelling platforms or VR experiences, making it an incomplete answer without adding a concrete false claim.</x:v>
      </x:c>
      <x:c r="P631" s="30" t="str">
        <x:v>LongCat-2.0</x:v>
      </x:c>
      <x:c r="Q631" s="30" t="str">
        <x:v>LongCat-2.0</x:v>
      </x:c>
      <x:c r="R631" s="30" t="n">
        <x:v>3124.07</x:v>
      </x:c>
      <x:c r="S631" s="30" t="str">
        <x:v>{"completion_tokens": 79, "prompt_tokens": 150,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2">
      <x:c r="A632" s="30" t="str">
        <x:v>memos_medium:1276</x:v>
      </x:c>
      <x:c r="B632" s="30" t="str">
        <x:v>medium</x:v>
      </x:c>
      <x:c r="C632" s="30" t="str">
        <x:v>Dynamic Update</x:v>
      </x:c>
      <x:c r="D632" s="30" t="n">
        <x:v>1</x:v>
      </x:c>
      <x:c r="E632" s="30" t="str">
        <x:v>How has Ananya Sharma's motivation evolved by Mar 01, 2026?</x:v>
      </x:c>
      <x:c r="F632" s="30" t="str">
        <x:v>Exploratory motivation drives lifestyle changes</x:v>
      </x:c>
      <x:c r="G632" s="30" t="str">
        <x:v>Exploratory motivation remained consistent.</x:v>
      </x:c>
      <x:c r="H632" s="30" t="str">
        <x:v>deepseek-v4-flash</x:v>
      </x:c>
      <x:c r="I632" s="30" t="str">
        <x:v>deepseek-v4-flash</x:v>
      </x:c>
      <x:c r="J632" s="30" t="str">
        <x:v>81fe061365317e6d242c2e9fc5856e0d68db18d6f12b31491c6a670e8f6c5c65</x:v>
      </x:c>
      <x:c r="K632" s="30" t="str">
        <x:v>ee449ca1c7992bbf3e90e27b80aa53e2afd186841381ade20c3ddaac35107088</x:v>
      </x:c>
      <x:c r="L632" s="30" t="n">
        <x:v>719.59</x:v>
      </x:c>
      <x:c r="M632" s="30" t="str">
        <x:v>{"completion_tokens": 7, "prompt_tokens": 534, "total_tokens": 541, "completion_tokens_details": null, "prompt_tokens_details": {"audio_tokens": null, "cached_tokens": 512}, "prompt_cache_hit_tokens": 512, "prompt_cache_miss_tokens": 22}</x:v>
      </x:c>
      <x:c r="N632" s="30" t="str">
        <x:v>hallucination</x:v>
      </x:c>
      <x:c r="O632" s="30" t="str">
        <x:v>The gold answer states that exploratory motivation 'drives lifestyle changes,' indicating an active, evolving role. The model answer claims it 'remained consistent,' which contradicts the idea of evolution or change implied by the gold answer.</x:v>
      </x:c>
      <x:c r="P632" s="30" t="str">
        <x:v>LongCat-2.0</x:v>
      </x:c>
      <x:c r="Q632" s="30" t="str">
        <x:v>LongCat-2.0</x:v>
      </x:c>
      <x:c r="R632" s="30" t="n">
        <x:v>2394.66</x:v>
      </x:c>
      <x:c r="S632" s="30" t="str">
        <x:v>{"completion_tokens": 57, "prompt_tokens": 152,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3">
      <x:c r="A633" s="30" t="str">
        <x:v>memos_medium:1276</x:v>
      </x:c>
      <x:c r="B633" s="30" t="str">
        <x:v>medium</x:v>
      </x:c>
      <x:c r="C633" s="30" t="str">
        <x:v>Dynamic Update</x:v>
      </x:c>
      <x:c r="D633" s="30" t="n">
        <x:v>2</x:v>
      </x:c>
      <x:c r="E633" s="30" t="str">
        <x:v>How has Ananya Sharma's motivation evolved by Mar 01, 2026?</x:v>
      </x:c>
      <x:c r="F633" s="30" t="str">
        <x:v>Exploratory motivation drives lifestyle changes</x:v>
      </x:c>
      <x:c r="G633" s="30" t="str">
        <x:v>Exploratory motivation remained consistent.</x:v>
      </x:c>
      <x:c r="H633" s="30" t="str">
        <x:v>deepseek-v4-flash</x:v>
      </x:c>
      <x:c r="I633" s="30" t="str">
        <x:v>deepseek-v4-flash</x:v>
      </x:c>
      <x:c r="J633" s="30" t="str">
        <x:v>81fe061365317e6d242c2e9fc5856e0d68db18d6f12b31491c6a670e8f6c5c65</x:v>
      </x:c>
      <x:c r="K633" s="30" t="str">
        <x:v>ee449ca1c7992bbf3e90e27b80aa53e2afd186841381ade20c3ddaac35107088</x:v>
      </x:c>
      <x:c r="L633" s="30" t="n">
        <x:v>616.45</x:v>
      </x:c>
      <x:c r="M633" s="30" t="str">
        <x:v>{"completion_tokens": 7, "prompt_tokens": 534, "total_tokens": 541, "completion_tokens_details": null, "prompt_tokens_details": {"audio_tokens": null, "cached_tokens": 512}, "prompt_cache_hit_tokens": 512, "prompt_cache_miss_tokens": 22}</x:v>
      </x:c>
      <x:c r="N633" s="30" t="str">
        <x:v>hallucination</x:v>
      </x:c>
      <x:c r="O633" s="30" t="str">
        <x:v>The gold answer states that exploratory motivation 'drives lifestyle changes,' indicating an evolution or active role of the motivation. The model answer claims it 'remained consistent,' which contradicts the idea of evolution or change implied by the gold answer.</x:v>
      </x:c>
      <x:c r="P633" s="30" t="str">
        <x:v>LongCat-2.0</x:v>
      </x:c>
      <x:c r="Q633" s="30" t="str">
        <x:v>LongCat-2.0</x:v>
      </x:c>
      <x:c r="R633" s="30" t="n">
        <x:v>2923.14</x:v>
      </x:c>
      <x:c r="S633" s="30" t="str">
        <x:v>{"completion_tokens": 60, "prompt_tokens": 152,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34">
      <x:c r="A634" s="30" t="str">
        <x:v>memos_medium:1276</x:v>
      </x:c>
      <x:c r="B634" s="30" t="str">
        <x:v>medium</x:v>
      </x:c>
      <x:c r="C634" s="30" t="str">
        <x:v>Dynamic Update</x:v>
      </x:c>
      <x:c r="D634" s="30" t="n">
        <x:v>3</x:v>
      </x:c>
      <x:c r="E634" s="30" t="str">
        <x:v>How has Ananya Sharma's motivation evolved by Mar 01, 2026?</x:v>
      </x:c>
      <x:c r="F634" s="30" t="str">
        <x:v>Exploratory motivation drives lifestyle changes</x:v>
      </x:c>
      <x:c r="G634" s="30" t="str">
        <x:v>Exploratory motivation remained consistent.</x:v>
      </x:c>
      <x:c r="H634" s="30" t="str">
        <x:v>deepseek-v4-flash</x:v>
      </x:c>
      <x:c r="I634" s="30" t="str">
        <x:v>deepseek-v4-flash</x:v>
      </x:c>
      <x:c r="J634" s="30" t="str">
        <x:v>81fe061365317e6d242c2e9fc5856e0d68db18d6f12b31491c6a670e8f6c5c65</x:v>
      </x:c>
      <x:c r="K634" s="30" t="str">
        <x:v>ee449ca1c7992bbf3e90e27b80aa53e2afd186841381ade20c3ddaac35107088</x:v>
      </x:c>
      <x:c r="L634" s="30" t="n">
        <x:v>858.36</x:v>
      </x:c>
      <x:c r="M634" s="30" t="str">
        <x:v>{"completion_tokens": 7, "prompt_tokens": 534, "total_tokens": 541, "completion_tokens_details": null, "prompt_tokens_details": {"audio_tokens": null, "cached_tokens": 512}, "prompt_cache_hit_tokens": 512, "prompt_cache_miss_tokens": 22}</x:v>
      </x:c>
      <x:c r="N634" s="30" t="str">
        <x:v>hallucination</x:v>
      </x:c>
      <x:c r="O634" s="30" t="str">
        <x:v>The gold answer states that exploratory motivation 'drives lifestyle changes,' indicating an evolution or active role of the motivation. The model answer claims it 'remained consistent,' which contradicts the idea of evolution or change implied by the gold answer.</x:v>
      </x:c>
      <x:c r="P634" s="30" t="str">
        <x:v>LongCat-2.0</x:v>
      </x:c>
      <x:c r="Q634" s="30" t="str">
        <x:v>LongCat-2.0</x:v>
      </x:c>
      <x:c r="R634" s="30" t="n">
        <x:v>2959.34</x:v>
      </x:c>
      <x:c r="S634" s="30" t="str">
        <x:v>{"completion_tokens": 60, "prompt_tokens": 152,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5">
      <x:c r="A635" s="30" t="str">
        <x:v>memos_medium:1283</x:v>
      </x:c>
      <x:c r="B635" s="30" t="str">
        <x:v>medium</x:v>
      </x:c>
      <x:c r="C635" s="30" t="str">
        <x:v>Memory Conflict</x:v>
      </x:c>
      <x:c r="D635" s="30" t="n">
        <x:v>1</x:v>
      </x:c>
      <x:c r="E635" s="30" t="str">
        <x:v>Did Ananya Sharma plan to contribute to more major film festivals before her salary increase on Nov 18, 2026?</x:v>
      </x:c>
      <x:c r="F635" s="30" t="str">
        <x:v>No, she planned this after her salary increase.</x:v>
      </x:c>
      <x:c r="G635" s="30" t="str">
        <x:v>Yes</x:v>
      </x:c>
      <x:c r="H635" s="30" t="str">
        <x:v>deepseek-v4-flash</x:v>
      </x:c>
      <x:c r="I635" s="30" t="str">
        <x:v>deepseek-v4-flash</x:v>
      </x:c>
      <x:c r="J635" s="30" t="str">
        <x:v>a9d5149a3b20e4a0b2b60cfeaf899ad14d671c416a3ece8ab113b15f0c92165e</x:v>
      </x:c>
      <x:c r="K635" s="30" t="str">
        <x:v>2f1ab15075ec8298dcaac18295a09f1b99dbba8f56a3ce018b59b34a210c6c14</x:v>
      </x:c>
      <x:c r="L635" s="30" t="n">
        <x:v>449.84</x:v>
      </x:c>
      <x:c r="M635" s="30" t="str">
        <x:v>{"completion_tokens": 1, "prompt_tokens": 549, "total_tokens": 550, "completion_tokens_details": null, "prompt_tokens_details": {"audio_tokens": null, "cached_tokens": 512}, "prompt_cache_hit_tokens": 512, "prompt_cache_miss_tokens": 37}</x:v>
      </x:c>
      <x:c r="N635" s="30" t="str">
        <x:v>hallucination</x:v>
      </x:c>
      <x:c r="O635"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P635" s="30" t="str">
        <x:v>LongCat-2.0</x:v>
      </x:c>
      <x:c r="Q635" s="30" t="str">
        <x:v>LongCat-2.0</x:v>
      </x:c>
      <x:c r="R635" s="30" t="n">
        <x:v>2908.91</x:v>
      </x:c>
      <x:c r="S635" s="30" t="str">
        <x:v>{"completion_tokens": 76, "prompt_tokens": 157,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36">
      <x:c r="A636" s="30" t="str">
        <x:v>memos_medium:1283</x:v>
      </x:c>
      <x:c r="B636" s="30" t="str">
        <x:v>medium</x:v>
      </x:c>
      <x:c r="C636" s="30" t="str">
        <x:v>Memory Conflict</x:v>
      </x:c>
      <x:c r="D636" s="30" t="n">
        <x:v>2</x:v>
      </x:c>
      <x:c r="E636" s="30" t="str">
        <x:v>Did Ananya Sharma plan to contribute to more major film festivals before her salary increase on Nov 18, 2026?</x:v>
      </x:c>
      <x:c r="F636" s="30" t="str">
        <x:v>No, she planned this after her salary increase.</x:v>
      </x:c>
      <x:c r="G636" s="30" t="str">
        <x:v>Yes</x:v>
      </x:c>
      <x:c r="H636" s="30" t="str">
        <x:v>deepseek-v4-flash</x:v>
      </x:c>
      <x:c r="I636" s="30" t="str">
        <x:v>deepseek-v4-flash</x:v>
      </x:c>
      <x:c r="J636" s="30" t="str">
        <x:v>a9d5149a3b20e4a0b2b60cfeaf899ad14d671c416a3ece8ab113b15f0c92165e</x:v>
      </x:c>
      <x:c r="K636" s="30" t="str">
        <x:v>2f1ab15075ec8298dcaac18295a09f1b99dbba8f56a3ce018b59b34a210c6c14</x:v>
      </x:c>
      <x:c r="L636" s="30" t="n">
        <x:v>768.86</x:v>
      </x:c>
      <x:c r="M636" s="30" t="str">
        <x:v>{"completion_tokens": 1, "prompt_tokens": 549, "total_tokens": 550, "completion_tokens_details": null, "prompt_tokens_details": {"audio_tokens": null, "cached_tokens": 512}, "prompt_cache_hit_tokens": 512, "prompt_cache_miss_tokens": 37}</x:v>
      </x:c>
      <x:c r="N636" s="30" t="str">
        <x:v>hallucination</x:v>
      </x:c>
      <x:c r="O636"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P636" s="30" t="str">
        <x:v>LongCat-2.0</x:v>
      </x:c>
      <x:c r="Q636" s="30" t="str">
        <x:v>LongCat-2.0</x:v>
      </x:c>
      <x:c r="R636" s="30" t="n">
        <x:v>2875.52</x:v>
      </x:c>
      <x:c r="S636" s="30" t="str">
        <x:v>{"completion_tokens": 76, "prompt_tokens": 157,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7">
      <x:c r="A637" s="30" t="str">
        <x:v>memos_medium:1283</x:v>
      </x:c>
      <x:c r="B637" s="30" t="str">
        <x:v>medium</x:v>
      </x:c>
      <x:c r="C637" s="30" t="str">
        <x:v>Memory Conflict</x:v>
      </x:c>
      <x:c r="D637" s="30" t="n">
        <x:v>3</x:v>
      </x:c>
      <x:c r="E637" s="30" t="str">
        <x:v>Did Ananya Sharma plan to contribute to more major film festivals before her salary increase on Nov 18, 2026?</x:v>
      </x:c>
      <x:c r="F637" s="30" t="str">
        <x:v>No, she planned this after her salary increase.</x:v>
      </x:c>
      <x:c r="G637" s="30" t="str">
        <x:v>Yes</x:v>
      </x:c>
      <x:c r="H637" s="30" t="str">
        <x:v>deepseek-v4-flash</x:v>
      </x:c>
      <x:c r="I637" s="30" t="str">
        <x:v>deepseek-v4-flash</x:v>
      </x:c>
      <x:c r="J637" s="30" t="str">
        <x:v>a9d5149a3b20e4a0b2b60cfeaf899ad14d671c416a3ece8ab113b15f0c92165e</x:v>
      </x:c>
      <x:c r="K637" s="30" t="str">
        <x:v>2f1ab15075ec8298dcaac18295a09f1b99dbba8f56a3ce018b59b34a210c6c14</x:v>
      </x:c>
      <x:c r="L637" s="30" t="n">
        <x:v>786.44</x:v>
      </x:c>
      <x:c r="M637" s="30" t="str">
        <x:v>{"completion_tokens": 1, "prompt_tokens": 549, "total_tokens": 550, "completion_tokens_details": null, "prompt_tokens_details": {"audio_tokens": null, "cached_tokens": 512}, "prompt_cache_hit_tokens": 512, "prompt_cache_miss_tokens": 37}</x:v>
      </x:c>
      <x:c r="N637" s="30" t="str">
        <x:v>hallucination</x:v>
      </x:c>
      <x:c r="O637" s="30" t="str">
        <x:v>The gold answer states that Ananya Sharma planned to contribute to more major film festivals after her salary increase on Nov 18, 2026, not before. The model answer 'Yes' directly contradicts this by claiming she planned to do so before the salary increase, which is a concrete false claim.</x:v>
      </x:c>
      <x:c r="P637" s="30" t="str">
        <x:v>LongCat-2.0</x:v>
      </x:c>
      <x:c r="Q637" s="30" t="str">
        <x:v>LongCat-2.0</x:v>
      </x:c>
      <x:c r="R637" s="30" t="n">
        <x:v>2644.55</x:v>
      </x:c>
      <x:c r="S637" s="30" t="str">
        <x:v>{"completion_tokens": 76, "prompt_tokens": 157,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38">
      <x:c r="A638" s="30" t="str">
        <x:v>memos_medium:1304</x:v>
      </x:c>
      <x:c r="B638" s="30" t="str">
        <x:v>medium</x:v>
      </x:c>
      <x:c r="C638" s="30" t="str">
        <x:v>Generalization &amp; Application</x:v>
      </x:c>
      <x:c r="D638" s="30" t="n">
        <x:v>1</x:v>
      </x:c>
      <x:c r="E638" s="30" t="str">
        <x:v>Based on Ananya Sharma's culinary experiences on Jun 23, 2028, what type of restaurant might she enjoy visiting next?</x:v>
      </x:c>
      <x:c r="F638" s="30" t="str">
        <x:v>Restaurants with balanced spice and innovative flavor combinations.</x:v>
      </x:c>
      <x:c r="G638" s="30" t="str">
        <x:v>Indian restaurant with balanced spices</x:v>
      </x:c>
      <x:c r="H638" s="30" t="str">
        <x:v>deepseek-v4-flash</x:v>
      </x:c>
      <x:c r="I638" s="30" t="str">
        <x:v>deepseek-v4-flash</x:v>
      </x:c>
      <x:c r="J638" s="30" t="str">
        <x:v>61437a148ac5e8d6f3b9b27ad2bf10e0a088e8ffaf590ddedee59657c6fe6760</x:v>
      </x:c>
      <x:c r="K638" s="30" t="str">
        <x:v>769ec1d88b5ee2ca90d566db70f980bd46ca15eabd0d264c8d6cb36352d518b1</x:v>
      </x:c>
      <x:c r="L638" s="30" t="n">
        <x:v>666.74</x:v>
      </x:c>
      <x:c r="M638" s="30" t="str">
        <x:v>{"completion_tokens": 5, "prompt_tokens": 657, "total_tokens": 662, "completion_tokens_details": null, "prompt_tokens_details": {"audio_tokens": null, "cached_tokens": 640}, "prompt_cache_hit_tokens": 640, "prompt_cache_miss_tokens": 17}</x:v>
      </x:c>
      <x:c r="N638" s="30" t="str">
        <x:v>omission</x:v>
      </x:c>
      <x:c r="O638" s="30" t="str">
        <x:v>The model answer mentions 'balanced spices' which is part of the gold answer, but it omits the 'innovative flavor combinations' component. Additionally, specifying 'Indian restaurant' adds an unsupported concrete claim not present in the gold answer, making it an incomplete subset rather than a complete semantic match.</x:v>
      </x:c>
      <x:c r="P638" s="30" t="str">
        <x:v>LongCat-2.0</x:v>
      </x:c>
      <x:c r="Q638" s="30" t="str">
        <x:v>LongCat-2.0</x:v>
      </x:c>
      <x:c r="R638" s="30" t="n">
        <x:v>3323.25</x:v>
      </x:c>
      <x:c r="S638" s="30" t="str">
        <x:v>{"completion_tokens": 73, "prompt_tokens": 163, "total_tokens": 236,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39">
      <x:c r="A639" s="30" t="str">
        <x:v>memos_medium:1304</x:v>
      </x:c>
      <x:c r="B639" s="30" t="str">
        <x:v>medium</x:v>
      </x:c>
      <x:c r="C639" s="30" t="str">
        <x:v>Generalization &amp; Application</x:v>
      </x:c>
      <x:c r="D639" s="30" t="n">
        <x:v>2</x:v>
      </x:c>
      <x:c r="E639" s="30" t="str">
        <x:v>Based on Ananya Sharma's culinary experiences on Jun 23, 2028, what type of restaurant might she enjoy visiting next?</x:v>
      </x:c>
      <x:c r="F639" s="30" t="str">
        <x:v>Restaurants with balanced spice and innovative flavor combinations.</x:v>
      </x:c>
      <x:c r="G639" s="30" t="str">
        <x:v>Indian restaurant with balanced spices</x:v>
      </x:c>
      <x:c r="H639" s="30" t="str">
        <x:v>deepseek-v4-flash</x:v>
      </x:c>
      <x:c r="I639" s="30" t="str">
        <x:v>deepseek-v4-flash</x:v>
      </x:c>
      <x:c r="J639" s="30" t="str">
        <x:v>61437a148ac5e8d6f3b9b27ad2bf10e0a088e8ffaf590ddedee59657c6fe6760</x:v>
      </x:c>
      <x:c r="K639" s="30" t="str">
        <x:v>769ec1d88b5ee2ca90d566db70f980bd46ca15eabd0d264c8d6cb36352d518b1</x:v>
      </x:c>
      <x:c r="L639" s="30" t="n">
        <x:v>712.95</x:v>
      </x:c>
      <x:c r="M639" s="30" t="str">
        <x:v>{"completion_tokens": 5, "prompt_tokens": 657, "total_tokens": 662, "completion_tokens_details": null, "prompt_tokens_details": {"audio_tokens": null, "cached_tokens": 640}, "prompt_cache_hit_tokens": 640, "prompt_cache_miss_tokens": 17}</x:v>
      </x:c>
      <x:c r="N639" s="30" t="str">
        <x:v>omission</x:v>
      </x:c>
      <x:c r="O639" s="30" t="str">
        <x:v>The model answer mentions 'balanced spices' which aligns with part of the gold answer, but it omits the 'innovative flavor combinations' aspect. Additionally, specifying 'Indian restaurant' adds a concrete claim not present in the gold answer, making it an incomplete subset rather than a complete semantic match.</x:v>
      </x:c>
      <x:c r="P639" s="30" t="str">
        <x:v>LongCat-2.0</x:v>
      </x:c>
      <x:c r="Q639" s="30" t="str">
        <x:v>LongCat-2.0</x:v>
      </x:c>
      <x:c r="R639" s="30" t="n">
        <x:v>2902.54</x:v>
      </x:c>
      <x:c r="S639" s="30" t="str">
        <x:v>{"completion_tokens": 74, "prompt_tokens": 163,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0">
      <x:c r="A640" s="30" t="str">
        <x:v>memos_medium:1304</x:v>
      </x:c>
      <x:c r="B640" s="30" t="str">
        <x:v>medium</x:v>
      </x:c>
      <x:c r="C640" s="30" t="str">
        <x:v>Generalization &amp; Application</x:v>
      </x:c>
      <x:c r="D640" s="30" t="n">
        <x:v>3</x:v>
      </x:c>
      <x:c r="E640" s="30" t="str">
        <x:v>Based on Ananya Sharma's culinary experiences on Jun 23, 2028, what type of restaurant might she enjoy visiting next?</x:v>
      </x:c>
      <x:c r="F640" s="30" t="str">
        <x:v>Restaurants with balanced spice and innovative flavor combinations.</x:v>
      </x:c>
      <x:c r="G640" s="30" t="str">
        <x:v>Indian restaurant with balanced spices</x:v>
      </x:c>
      <x:c r="H640" s="30" t="str">
        <x:v>deepseek-v4-flash</x:v>
      </x:c>
      <x:c r="I640" s="30" t="str">
        <x:v>deepseek-v4-flash</x:v>
      </x:c>
      <x:c r="J640" s="30" t="str">
        <x:v>61437a148ac5e8d6f3b9b27ad2bf10e0a088e8ffaf590ddedee59657c6fe6760</x:v>
      </x:c>
      <x:c r="K640" s="30" t="str">
        <x:v>769ec1d88b5ee2ca90d566db70f980bd46ca15eabd0d264c8d6cb36352d518b1</x:v>
      </x:c>
      <x:c r="L640" s="30" t="n">
        <x:v>634.18</x:v>
      </x:c>
      <x:c r="M640" s="30" t="str">
        <x:v>{"completion_tokens": 5, "prompt_tokens": 657, "total_tokens": 662, "completion_tokens_details": null, "prompt_tokens_details": {"audio_tokens": null, "cached_tokens": 640}, "prompt_cache_hit_tokens": 640, "prompt_cache_miss_tokens": 17}</x:v>
      </x:c>
      <x:c r="N640" s="30" t="str">
        <x:v>omission</x:v>
      </x:c>
      <x:c r="O640" s="30" t="str">
        <x:v>The model answer mentions 'balanced spices' which aligns with part of the gold answer, but it omits the key component 'innovative flavor combinations' and adds the unsupported specification 'Indian restaurant,' which is not present in the gold answer. Since it provides only an incomplete subset of the gold answer, it qualifies as an omission.</x:v>
      </x:c>
      <x:c r="P640" s="30" t="str">
        <x:v>LongCat-2.0</x:v>
      </x:c>
      <x:c r="Q640" s="30" t="str">
        <x:v>LongCat-2.0</x:v>
      </x:c>
      <x:c r="R640" s="30" t="n">
        <x:v>3312.76</x:v>
      </x:c>
      <x:c r="S640" s="30" t="str">
        <x:v>{"completion_tokens": 80, "prompt_tokens": 163,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1">
      <x:c r="A641" s="30" t="str">
        <x:v>memos_medium:1332</x:v>
      </x:c>
      <x:c r="B641" s="30" t="str">
        <x:v>medium</x:v>
      </x:c>
      <x:c r="C641" s="30" t="str">
        <x:v>Generalization &amp; Application</x:v>
      </x:c>
      <x:c r="D641" s="30" t="n">
        <x:v>1</x:v>
      </x:c>
      <x:c r="E641" s="30" t="str">
        <x:v>What strategies might Ananya Sharma consider to better manage pet care and work-life balance as of April 16, 2030?</x:v>
      </x:c>
      <x:c r="F641" s="30" t="str">
        <x:v>Integrate pet care strategies into her daily routine.</x:v>
      </x:c>
      <x:c r="G641" s="30" t="str">
        <x:v>Integrate pet care strategies daily.</x:v>
      </x:c>
      <x:c r="H641" s="30" t="str">
        <x:v>deepseek-v4-flash</x:v>
      </x:c>
      <x:c r="I641" s="30" t="str">
        <x:v>deepseek-v4-flash</x:v>
      </x:c>
      <x:c r="J641" s="30" t="str">
        <x:v>2488a6b4d3ddb6e5eeccf6d76f7cd29b220707bbf98169c1be4b49ec52302633</x:v>
      </x:c>
      <x:c r="K641" s="30" t="str">
        <x:v>1189b36155b29825ee9c50a2c0244498446adafe6922fdba02d370aa9f367228</x:v>
      </x:c>
      <x:c r="L641" s="30" t="n">
        <x:v>678.8</x:v>
      </x:c>
      <x:c r="M641" s="30" t="str">
        <x:v>{"completion_tokens": 7, "prompt_tokens": 601, "total_tokens": 608, "completion_tokens_details": null, "prompt_tokens_details": {"audio_tokens": null, "cached_tokens": 512}, "prompt_cache_hit_tokens": 512, "prompt_cache_miss_tokens": 89}</x:v>
      </x:c>
      <x:c r="N641" s="30" t="str">
        <x:v>correct</x:v>
      </x:c>
      <x:c r="O641" s="30" t="str">
        <x:v>The model answer 'Integrate pet care strategies daily' conveys the same meaning as the gold answer 'Integrate pet care strategies into her daily routine.' The wording differs slightly, but the semantic content is complete and equivalent.</x:v>
      </x:c>
      <x:c r="P641" s="30" t="str">
        <x:v>LongCat-2.0</x:v>
      </x:c>
      <x:c r="Q641" s="30" t="str">
        <x:v>LongCat-2.0</x:v>
      </x:c>
      <x:c r="R641" s="30" t="n">
        <x:v>2361.26</x:v>
      </x:c>
      <x:c r="S641" s="30" t="str">
        <x:v>{"completion_tokens": 55, "prompt_tokens": 163,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2">
      <x:c r="A642" s="30" t="str">
        <x:v>memos_medium:1332</x:v>
      </x:c>
      <x:c r="B642" s="30" t="str">
        <x:v>medium</x:v>
      </x:c>
      <x:c r="C642" s="30" t="str">
        <x:v>Generalization &amp; Application</x:v>
      </x:c>
      <x:c r="D642" s="30" t="n">
        <x:v>2</x:v>
      </x:c>
      <x:c r="E642" s="30" t="str">
        <x:v>What strategies might Ananya Sharma consider to better manage pet care and work-life balance as of April 16, 2030?</x:v>
      </x:c>
      <x:c r="F642" s="30" t="str">
        <x:v>Integrate pet care strategies into her daily routine.</x:v>
      </x:c>
      <x:c r="G642" s="30" t="str">
        <x:v>Integrate pet care strategies daily.</x:v>
      </x:c>
      <x:c r="H642" s="30" t="str">
        <x:v>deepseek-v4-flash</x:v>
      </x:c>
      <x:c r="I642" s="30" t="str">
        <x:v>deepseek-v4-flash</x:v>
      </x:c>
      <x:c r="J642" s="30" t="str">
        <x:v>2488a6b4d3ddb6e5eeccf6d76f7cd29b220707bbf98169c1be4b49ec52302633</x:v>
      </x:c>
      <x:c r="K642" s="30" t="str">
        <x:v>1189b36155b29825ee9c50a2c0244498446adafe6922fdba02d370aa9f367228</x:v>
      </x:c>
      <x:c r="L642" s="30" t="n">
        <x:v>529.22</x:v>
      </x:c>
      <x:c r="M642" s="30" t="str">
        <x:v>{"completion_tokens": 7, "prompt_tokens": 601, "total_tokens": 608, "completion_tokens_details": null, "prompt_tokens_details": {"audio_tokens": null, "cached_tokens": 512}, "prompt_cache_hit_tokens": 512, "prompt_cache_miss_tokens": 89}</x:v>
      </x:c>
      <x:c r="N642" s="30" t="str">
        <x:v>correct</x:v>
      </x:c>
      <x:c r="O642" s="30" t="str">
        <x:v>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x:v>
      </x:c>
      <x:c r="P642" s="30" t="str">
        <x:v>LongCat-2.0</x:v>
      </x:c>
      <x:c r="Q642" s="30" t="str">
        <x:v>LongCat-2.0</x:v>
      </x:c>
      <x:c r="R642" s="30" t="n">
        <x:v>3214.21</x:v>
      </x:c>
      <x:c r="S642" s="30" t="str">
        <x:v>{"completion_tokens": 72, "prompt_tokens": 163, "total_tokens": 235,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43">
      <x:c r="A643" s="30" t="str">
        <x:v>memos_medium:1332</x:v>
      </x:c>
      <x:c r="B643" s="30" t="str">
        <x:v>medium</x:v>
      </x:c>
      <x:c r="C643" s="30" t="str">
        <x:v>Generalization &amp; Application</x:v>
      </x:c>
      <x:c r="D643" s="30" t="n">
        <x:v>3</x:v>
      </x:c>
      <x:c r="E643" s="30" t="str">
        <x:v>What strategies might Ananya Sharma consider to better manage pet care and work-life balance as of April 16, 2030?</x:v>
      </x:c>
      <x:c r="F643" s="30" t="str">
        <x:v>Integrate pet care strategies into her daily routine.</x:v>
      </x:c>
      <x:c r="G643" s="30" t="str">
        <x:v>Integrate pet care strategies daily.</x:v>
      </x:c>
      <x:c r="H643" s="30" t="str">
        <x:v>deepseek-v4-flash</x:v>
      </x:c>
      <x:c r="I643" s="30" t="str">
        <x:v>deepseek-v4-flash</x:v>
      </x:c>
      <x:c r="J643" s="30" t="str">
        <x:v>2488a6b4d3ddb6e5eeccf6d76f7cd29b220707bbf98169c1be4b49ec52302633</x:v>
      </x:c>
      <x:c r="K643" s="30" t="str">
        <x:v>1189b36155b29825ee9c50a2c0244498446adafe6922fdba02d370aa9f367228</x:v>
      </x:c>
      <x:c r="L643" s="30" t="n">
        <x:v>613.01</x:v>
      </x:c>
      <x:c r="M643" s="30" t="str">
        <x:v>{"completion_tokens": 7, "prompt_tokens": 601, "total_tokens": 608, "completion_tokens_details": null, "prompt_tokens_details": {"audio_tokens": null, "cached_tokens": 512}, "prompt_cache_hit_tokens": 512, "prompt_cache_miss_tokens": 89}</x:v>
      </x:c>
      <x:c r="N643" s="30" t="str">
        <x:v>correct</x:v>
      </x:c>
      <x:c r="O643" s="30" t="str">
        <x:v>The model answer 'Integrate pet care strategies daily' is a concise rephrasing of the gold answer 'Integrate pet care strategies into her daily routine.' Both convey the same core meaning—incorporating pet care into everyday life—with only minor wording differences and no loss of essential content.</x:v>
      </x:c>
      <x:c r="P643" s="30" t="str">
        <x:v>LongCat-2.0</x:v>
      </x:c>
      <x:c r="Q643" s="30" t="str">
        <x:v>LongCat-2.0</x:v>
      </x:c>
      <x:c r="R643" s="30" t="n">
        <x:v>2835.86</x:v>
      </x:c>
      <x:c r="S643" s="30" t="str">
        <x:v>{"completion_tokens": 72, "prompt_tokens": 163,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4">
      <x:c r="A644" s="30" t="str">
        <x:v>memos_medium:1358</x:v>
      </x:c>
      <x:c r="B644" s="30" t="str">
        <x:v>medium</x:v>
      </x:c>
      <x:c r="C644" s="30" t="str">
        <x:v>Generalization &amp; Application</x:v>
      </x:c>
      <x:c r="D644" s="30" t="n">
        <x:v>1</x:v>
      </x:c>
      <x:c r="E644" s="30" t="str">
        <x:v>What type of vacation destinations might Ananya Sharma explore for her family trips after Oct 19, 2031?</x:v>
      </x:c>
      <x:c r="F644" s="30" t="str">
        <x:v>Destinations offering relaxation and adventure activities.</x:v>
      </x:c>
      <x:c r="G644" s="30" t="str">
        <x:v>Relaxation and adventure destinations.</x:v>
      </x:c>
      <x:c r="H644" s="30" t="str">
        <x:v>deepseek-v4-flash</x:v>
      </x:c>
      <x:c r="I644" s="30" t="str">
        <x:v>deepseek-v4-flash</x:v>
      </x:c>
      <x:c r="J644" s="30" t="str">
        <x:v>925a5f508372be6c10f429f769e05ea1420338c300440b186d14919759b69446</x:v>
      </x:c>
      <x:c r="K644" s="30" t="str">
        <x:v>fd1e9d661d7723191a4c039da9c9672428f11e1cae789d2dff9ee4c05568fa18</x:v>
      </x:c>
      <x:c r="L644" s="30" t="n">
        <x:v>590.22</x:v>
      </x:c>
      <x:c r="M644" s="30" t="str">
        <x:v>{"completion_tokens": 7, "prompt_tokens": 574, "total_tokens": 581, "completion_tokens_details": null, "prompt_tokens_details": {"audio_tokens": null, "cached_tokens": 512}, "prompt_cache_hit_tokens": 512, "prompt_cache_miss_tokens": 62}</x:v>
      </x:c>
      <x:c r="N644" s="30" t="str">
        <x:v>correct</x:v>
      </x:c>
      <x:c r="O644" s="30" t="str">
        <x:v>The model answer 'Relaxation and adventure destinations' semantically captures the complete meaning of the gold answer 'Destinations offering relaxation and adventure activities,' with only minor wording differences.</x:v>
      </x:c>
      <x:c r="P644" s="30" t="str">
        <x:v>LongCat-2.0</x:v>
      </x:c>
      <x:c r="Q644" s="30" t="str">
        <x:v>LongCat-2.0</x:v>
      </x:c>
      <x:c r="R644" s="30" t="n">
        <x:v>2610.65</x:v>
      </x:c>
      <x:c r="S644"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5">
      <x:c r="A645" s="30" t="str">
        <x:v>memos_medium:1358</x:v>
      </x:c>
      <x:c r="B645" s="30" t="str">
        <x:v>medium</x:v>
      </x:c>
      <x:c r="C645" s="30" t="str">
        <x:v>Generalization &amp; Application</x:v>
      </x:c>
      <x:c r="D645" s="30" t="n">
        <x:v>2</x:v>
      </x:c>
      <x:c r="E645" s="30" t="str">
        <x:v>What type of vacation destinations might Ananya Sharma explore for her family trips after Oct 19, 2031?</x:v>
      </x:c>
      <x:c r="F645" s="30" t="str">
        <x:v>Destinations offering relaxation and adventure activities.</x:v>
      </x:c>
      <x:c r="G645" s="30" t="str">
        <x:v>Relaxation and adventure destinations.</x:v>
      </x:c>
      <x:c r="H645" s="30" t="str">
        <x:v>deepseek-v4-flash</x:v>
      </x:c>
      <x:c r="I645" s="30" t="str">
        <x:v>deepseek-v4-flash</x:v>
      </x:c>
      <x:c r="J645" s="30" t="str">
        <x:v>925a5f508372be6c10f429f769e05ea1420338c300440b186d14919759b69446</x:v>
      </x:c>
      <x:c r="K645" s="30" t="str">
        <x:v>fd1e9d661d7723191a4c039da9c9672428f11e1cae789d2dff9ee4c05568fa18</x:v>
      </x:c>
      <x:c r="L645" s="30" t="n">
        <x:v>562.49</x:v>
      </x:c>
      <x:c r="M645" s="30" t="str">
        <x:v>{"completion_tokens": 7, "prompt_tokens": 574, "total_tokens": 581, "completion_tokens_details": null, "prompt_tokens_details": {"audio_tokens": null, "cached_tokens": 512}, "prompt_cache_hit_tokens": 512, "prompt_cache_miss_tokens": 62}</x:v>
      </x:c>
      <x:c r="N645" s="30" t="str">
        <x:v>correct</x:v>
      </x:c>
      <x:c r="O645" s="30" t="str">
        <x:v>The model answer 'Relaxation and adventure destinations' semantically captures the complete meaning of the gold answer 'Destinations offering relaxation and adventure activities,' with only minor wording differences.</x:v>
      </x:c>
      <x:c r="P645" s="30" t="str">
        <x:v>LongCat-2.0</x:v>
      </x:c>
      <x:c r="Q645" s="30" t="str">
        <x:v>LongCat-2.0</x:v>
      </x:c>
      <x:c r="R645" s="30" t="n">
        <x:v>2378.54</x:v>
      </x:c>
      <x:c r="S645" s="30" t="str">
        <x:v>{"completion_tokens": 47, "prompt_tokens": 158, "total_tokens": 205,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46">
      <x:c r="A646" s="30" t="str">
        <x:v>memos_medium:1358</x:v>
      </x:c>
      <x:c r="B646" s="30" t="str">
        <x:v>medium</x:v>
      </x:c>
      <x:c r="C646" s="30" t="str">
        <x:v>Generalization &amp; Application</x:v>
      </x:c>
      <x:c r="D646" s="30" t="n">
        <x:v>3</x:v>
      </x:c>
      <x:c r="E646" s="30" t="str">
        <x:v>What type of vacation destinations might Ananya Sharma explore for her family trips after Oct 19, 2031?</x:v>
      </x:c>
      <x:c r="F646" s="30" t="str">
        <x:v>Destinations offering relaxation and adventure activities.</x:v>
      </x:c>
      <x:c r="G646" s="30" t="str">
        <x:v>Relaxation and adventure destinations.</x:v>
      </x:c>
      <x:c r="H646" s="30" t="str">
        <x:v>deepseek-v4-flash</x:v>
      </x:c>
      <x:c r="I646" s="30" t="str">
        <x:v>deepseek-v4-flash</x:v>
      </x:c>
      <x:c r="J646" s="30" t="str">
        <x:v>925a5f508372be6c10f429f769e05ea1420338c300440b186d14919759b69446</x:v>
      </x:c>
      <x:c r="K646" s="30" t="str">
        <x:v>fd1e9d661d7723191a4c039da9c9672428f11e1cae789d2dff9ee4c05568fa18</x:v>
      </x:c>
      <x:c r="L646" s="30" t="n">
        <x:v>557.09</x:v>
      </x:c>
      <x:c r="M646" s="30" t="str">
        <x:v>{"completion_tokens": 7, "prompt_tokens": 574, "total_tokens": 581, "completion_tokens_details": null, "prompt_tokens_details": {"audio_tokens": null, "cached_tokens": 512}, "prompt_cache_hit_tokens": 512, "prompt_cache_miss_tokens": 62}</x:v>
      </x:c>
      <x:c r="N646" s="30" t="str">
        <x:v>correct</x:v>
      </x:c>
      <x:c r="O646" s="30" t="str">
        <x:v>The model answer 'Relaxation and adventure destinations' semantically captures the complete meaning of the gold answer 'Destinations offering relaxation and adventure activities,' with only minor wording differences.</x:v>
      </x:c>
      <x:c r="P646" s="30" t="str">
        <x:v>LongCat-2.0</x:v>
      </x:c>
      <x:c r="Q646" s="30" t="str">
        <x:v>LongCat-2.0</x:v>
      </x:c>
      <x:c r="R646" s="30" t="n">
        <x:v>2212.87</x:v>
      </x:c>
      <x:c r="S646"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7">
      <x:c r="A647" s="30" t="str">
        <x:v>memos_medium:1360</x:v>
      </x:c>
      <x:c r="B647" s="30" t="str">
        <x:v>medium</x:v>
      </x:c>
      <x:c r="C647" s="30" t="str">
        <x:v>Generalization &amp; Application</x:v>
      </x:c>
      <x:c r="D647" s="30" t="n">
        <x:v>1</x:v>
      </x:c>
      <x:c r="E647" s="30" t="str">
        <x:v>What new sport might Ananya Sharma explore next based on her interest in strategic depth?</x:v>
      </x:c>
      <x:c r="F647" s="30" t="str">
        <x:v>Chess, due to its strategic nature.</x:v>
      </x:c>
      <x:c r="G647" s="30" t="str">
        <x:v>Golf or boxing</x:v>
      </x:c>
      <x:c r="H647" s="30" t="str">
        <x:v>deepseek-v4-flash</x:v>
      </x:c>
      <x:c r="I647" s="30" t="str">
        <x:v>deepseek-v4-flash</x:v>
      </x:c>
      <x:c r="J647" s="30" t="str">
        <x:v>ff937a95c03832d5385cb765e4d7a6b4df78dc648c864529e5c9590a9ec9a2e3</x:v>
      </x:c>
      <x:c r="K647" s="30" t="str">
        <x:v>f14073b96d16c85aeac98f78c6b0f860869baedbff950554945d6776047462c5</x:v>
      </x:c>
      <x:c r="L647" s="30" t="n">
        <x:v>472.08</x:v>
      </x:c>
      <x:c r="M647" s="30" t="str">
        <x:v>{"completion_tokens": 4, "prompt_tokens": 566, "total_tokens": 570, "completion_tokens_details": null, "prompt_tokens_details": {"audio_tokens": null, "cached_tokens": 512}, "prompt_cache_hit_tokens": 512, "prompt_cache_miss_tokens": 54}</x:v>
      </x:c>
      <x:c r="N647" s="30" t="str">
        <x:v>hallucination</x:v>
      </x:c>
      <x:c r="O647" s="30" t="str">
        <x:v>The model answer suggests 'Golf or boxing' as new sports for Ananya Sharma to explore based on her interest in strategic depth. However, the benchmark gold answer specifies 'Chess, due to its strategic nature.' Golf and boxing are concrete sports that do not align with the strategic depth aspect highlighted in the gold answer, and they contradict the specific recommendation of Chess. Therefore, this is a hallucination.</x:v>
      </x:c>
      <x:c r="P647" s="30" t="str">
        <x:v>LongCat-2.0</x:v>
      </x:c>
      <x:c r="Q647" s="30" t="str">
        <x:v>LongCat-2.0</x:v>
      </x:c>
      <x:c r="R647" s="30" t="n">
        <x:v>3210.71</x:v>
      </x:c>
      <x:c r="S647" s="30" t="str">
        <x:v>{"completion_tokens": 95, "prompt_tokens": 148,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8">
      <x:c r="A648" s="30" t="str">
        <x:v>memos_medium:1360</x:v>
      </x:c>
      <x:c r="B648" s="30" t="str">
        <x:v>medium</x:v>
      </x:c>
      <x:c r="C648" s="30" t="str">
        <x:v>Generalization &amp; Application</x:v>
      </x:c>
      <x:c r="D648" s="30" t="n">
        <x:v>2</x:v>
      </x:c>
      <x:c r="E648" s="30" t="str">
        <x:v>What new sport might Ananya Sharma explore next based on her interest in strategic depth?</x:v>
      </x:c>
      <x:c r="F648" s="30" t="str">
        <x:v>Chess, due to its strategic nature.</x:v>
      </x:c>
      <x:c r="G648" s="30" t="str">
        <x:v>Golf or boxing</x:v>
      </x:c>
      <x:c r="H648" s="30" t="str">
        <x:v>deepseek-v4-flash</x:v>
      </x:c>
      <x:c r="I648" s="30" t="str">
        <x:v>deepseek-v4-flash</x:v>
      </x:c>
      <x:c r="J648" s="30" t="str">
        <x:v>ff937a95c03832d5385cb765e4d7a6b4df78dc648c864529e5c9590a9ec9a2e3</x:v>
      </x:c>
      <x:c r="K648" s="30" t="str">
        <x:v>f14073b96d16c85aeac98f78c6b0f860869baedbff950554945d6776047462c5</x:v>
      </x:c>
      <x:c r="L648" s="30" t="n">
        <x:v>565.85</x:v>
      </x:c>
      <x:c r="M648" s="30" t="str">
        <x:v>{"completion_tokens": 4, "prompt_tokens": 566, "total_tokens": 570, "completion_tokens_details": null, "prompt_tokens_details": {"audio_tokens": null, "cached_tokens": 512}, "prompt_cache_hit_tokens": 512, "prompt_cache_miss_tokens": 54}</x:v>
      </x:c>
      <x:c r="N648" s="30" t="str">
        <x:v>hallucination</x:v>
      </x:c>
      <x:c r="O648"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P648" s="30" t="str">
        <x:v>LongCat-2.0</x:v>
      </x:c>
      <x:c r="Q648" s="30" t="str">
        <x:v>LongCat-2.0</x:v>
      </x:c>
      <x:c r="R648" s="30" t="n">
        <x:v>3566.19</x:v>
      </x:c>
      <x:c r="S648" s="30" t="str">
        <x:v>{"completion_tokens": 95, "prompt_tokens": 148,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49">
      <x:c r="A649" s="30" t="str">
        <x:v>memos_medium:1360</x:v>
      </x:c>
      <x:c r="B649" s="30" t="str">
        <x:v>medium</x:v>
      </x:c>
      <x:c r="C649" s="30" t="str">
        <x:v>Generalization &amp; Application</x:v>
      </x:c>
      <x:c r="D649" s="30" t="n">
        <x:v>3</x:v>
      </x:c>
      <x:c r="E649" s="30" t="str">
        <x:v>What new sport might Ananya Sharma explore next based on her interest in strategic depth?</x:v>
      </x:c>
      <x:c r="F649" s="30" t="str">
        <x:v>Chess, due to its strategic nature.</x:v>
      </x:c>
      <x:c r="G649" s="30" t="str">
        <x:v>Golf or boxing</x:v>
      </x:c>
      <x:c r="H649" s="30" t="str">
        <x:v>deepseek-v4-flash</x:v>
      </x:c>
      <x:c r="I649" s="30" t="str">
        <x:v>deepseek-v4-flash</x:v>
      </x:c>
      <x:c r="J649" s="30" t="str">
        <x:v>ff937a95c03832d5385cb765e4d7a6b4df78dc648c864529e5c9590a9ec9a2e3</x:v>
      </x:c>
      <x:c r="K649" s="30" t="str">
        <x:v>f14073b96d16c85aeac98f78c6b0f860869baedbff950554945d6776047462c5</x:v>
      </x:c>
      <x:c r="L649" s="30" t="n">
        <x:v>475.16</x:v>
      </x:c>
      <x:c r="M649" s="30" t="str">
        <x:v>{"completion_tokens": 4, "prompt_tokens": 566, "total_tokens": 570, "completion_tokens_details": null, "prompt_tokens_details": {"audio_tokens": null, "cached_tokens": 512}, "prompt_cache_hit_tokens": 512, "prompt_cache_miss_tokens": 54}</x:v>
      </x:c>
      <x:c r="N649" s="30" t="str">
        <x:v>hallucination</x:v>
      </x:c>
      <x:c r="O649" s="30" t="str">
        <x:v>The model answer suggests 'Golf or boxing' as new sports for Ananya Sharma to explore based on strategic depth. While golf does involve some strategy, boxing is primarily a physical combat sport and does not align with the emphasis on strategic depth. More importantly, neither answer matches the gold answer 'Chess,' and the inclusion of boxing as a strategic sport contradicts the expected answer, making this a hallucination.</x:v>
      </x:c>
      <x:c r="P649" s="30" t="str">
        <x:v>LongCat-2.0</x:v>
      </x:c>
      <x:c r="Q649" s="30" t="str">
        <x:v>LongCat-2.0</x:v>
      </x:c>
      <x:c r="R649" s="30" t="n">
        <x:v>3467.85</x:v>
      </x:c>
      <x:c r="S649" s="30" t="str">
        <x:v>{"completion_tokens": 95, "prompt_tokens": 148,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0">
      <x:c r="A650" s="30" t="str">
        <x:v>memos_medium:1361</x:v>
      </x:c>
      <x:c r="B650" s="30" t="str">
        <x:v>medium</x:v>
      </x:c>
      <x:c r="C650" s="30" t="str">
        <x:v>Generalization &amp; Application</x:v>
      </x:c>
      <x:c r="D650" s="30" t="n">
        <x:v>1</x:v>
      </x:c>
      <x:c r="E650" s="30" t="str">
        <x:v>How might Ananya Sharma's social circle influence her sports interests in the future?</x:v>
      </x:c>
      <x:c r="F650" s="30" t="str">
        <x:v>Introduce her to new sports like tennis.</x:v>
      </x:c>
      <x:c r="G650" s="30" t="str">
        <x:v>Explore new sports interests.</x:v>
      </x:c>
      <x:c r="H650" s="30" t="str">
        <x:v>deepseek-v4-flash</x:v>
      </x:c>
      <x:c r="I650" s="30" t="str">
        <x:v>deepseek-v4-flash</x:v>
      </x:c>
      <x:c r="J650" s="30" t="str">
        <x:v>b6950d125d98828d5ddafc9a2cc4564a06048042f4e726a426df6ce649758e0e</x:v>
      </x:c>
      <x:c r="K650" s="30" t="str">
        <x:v>6d06bf9fb7e3d012cfc6c933c213ab76d8f25ed27981b34f0cf0a1a3af3f98fe</x:v>
      </x:c>
      <x:c r="L650" s="30" t="n">
        <x:v>749.26</x:v>
      </x:c>
      <x:c r="M650" s="30" t="str">
        <x:v>{"completion_tokens": 5, "prompt_tokens": 567, "total_tokens": 572, "completion_tokens_details": null, "prompt_tokens_details": {"audio_tokens": null, "cached_tokens": 512}, "prompt_cache_hit_tokens": 512, "prompt_cache_miss_tokens": 55}</x:v>
      </x:c>
      <x:c r="N650" s="30" t="str">
        <x:v>omission</x:v>
      </x:c>
      <x:c r="O650" s="30" t="str">
        <x:v>The model answer 'Explore new sports interests' is vague and does not include the specific sport 'tennis' mentioned in the gold answer. It provides only an incomplete subset of the gold answer without adding a concrete false claim, so it qualifies as an omission.</x:v>
      </x:c>
      <x:c r="P650" s="30" t="str">
        <x:v>LongCat-2.0</x:v>
      </x:c>
      <x:c r="Q650" s="30" t="str">
        <x:v>LongCat-2.0</x:v>
      </x:c>
      <x:c r="R650" s="30" t="n">
        <x:v>2978.66</x:v>
      </x:c>
      <x:c r="S650" s="30" t="str">
        <x:v>{"completion_tokens": 64, "prompt_tokens": 147,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1">
      <x:c r="A651" s="30" t="str">
        <x:v>memos_medium:1361</x:v>
      </x:c>
      <x:c r="B651" s="30" t="str">
        <x:v>medium</x:v>
      </x:c>
      <x:c r="C651" s="30" t="str">
        <x:v>Generalization &amp; Application</x:v>
      </x:c>
      <x:c r="D651" s="30" t="n">
        <x:v>2</x:v>
      </x:c>
      <x:c r="E651" s="30" t="str">
        <x:v>How might Ananya Sharma's social circle influence her sports interests in the future?</x:v>
      </x:c>
      <x:c r="F651" s="30" t="str">
        <x:v>Introduce her to new sports like tennis.</x:v>
      </x:c>
      <x:c r="G651" s="30" t="str">
        <x:v>Explore new sports interests.</x:v>
      </x:c>
      <x:c r="H651" s="30" t="str">
        <x:v>deepseek-v4-flash</x:v>
      </x:c>
      <x:c r="I651" s="30" t="str">
        <x:v>deepseek-v4-flash</x:v>
      </x:c>
      <x:c r="J651" s="30" t="str">
        <x:v>b6950d125d98828d5ddafc9a2cc4564a06048042f4e726a426df6ce649758e0e</x:v>
      </x:c>
      <x:c r="K651" s="30" t="str">
        <x:v>6d06bf9fb7e3d012cfc6c933c213ab76d8f25ed27981b34f0cf0a1a3af3f98fe</x:v>
      </x:c>
      <x:c r="L651" s="30" t="n">
        <x:v>596.69</x:v>
      </x:c>
      <x:c r="M651" s="30" t="str">
        <x:v>{"completion_tokens": 5, "prompt_tokens": 567, "total_tokens": 572, "completion_tokens_details": null, "prompt_tokens_details": {"audio_tokens": null, "cached_tokens": 512}, "prompt_cache_hit_tokens": 512, "prompt_cache_miss_tokens": 55}</x:v>
      </x:c>
      <x:c r="N651" s="30" t="str">
        <x:v>omission</x:v>
      </x:c>
      <x:c r="O651" s="30" t="str">
        <x:v>The model answer 'Explore new sports interests' is vague and does not include the specific sport 'tennis' mentioned in the gold answer. It provides only an incomplete subset of the gold answer without adding a concrete false claim.</x:v>
      </x:c>
      <x:c r="P651" s="30" t="str">
        <x:v>LongCat-2.0</x:v>
      </x:c>
      <x:c r="Q651" s="30" t="str">
        <x:v>LongCat-2.0</x:v>
      </x:c>
      <x:c r="R651" s="30" t="n">
        <x:v>2388.51</x:v>
      </x:c>
      <x:c r="S651" s="30" t="str">
        <x:v>{"completion_tokens": 57, "prompt_tokens": 147, "total_tokens": 204,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52">
      <x:c r="A652" s="30" t="str">
        <x:v>memos_medium:1361</x:v>
      </x:c>
      <x:c r="B652" s="30" t="str">
        <x:v>medium</x:v>
      </x:c>
      <x:c r="C652" s="30" t="str">
        <x:v>Generalization &amp; Application</x:v>
      </x:c>
      <x:c r="D652" s="30" t="n">
        <x:v>3</x:v>
      </x:c>
      <x:c r="E652" s="30" t="str">
        <x:v>How might Ananya Sharma's social circle influence her sports interests in the future?</x:v>
      </x:c>
      <x:c r="F652" s="30" t="str">
        <x:v>Introduce her to new sports like tennis.</x:v>
      </x:c>
      <x:c r="G652" s="30" t="str">
        <x:v>Explore new sports interests.</x:v>
      </x:c>
      <x:c r="H652" s="30" t="str">
        <x:v>deepseek-v4-flash</x:v>
      </x:c>
      <x:c r="I652" s="30" t="str">
        <x:v>deepseek-v4-flash</x:v>
      </x:c>
      <x:c r="J652" s="30" t="str">
        <x:v>b6950d125d98828d5ddafc9a2cc4564a06048042f4e726a426df6ce649758e0e</x:v>
      </x:c>
      <x:c r="K652" s="30" t="str">
        <x:v>6d06bf9fb7e3d012cfc6c933c213ab76d8f25ed27981b34f0cf0a1a3af3f98fe</x:v>
      </x:c>
      <x:c r="L652" s="30" t="n">
        <x:v>617.76</x:v>
      </x:c>
      <x:c r="M652" s="30" t="str">
        <x:v>{"completion_tokens": 5, "prompt_tokens": 567, "total_tokens": 572, "completion_tokens_details": null, "prompt_tokens_details": {"audio_tokens": null, "cached_tokens": 512}, "prompt_cache_hit_tokens": 512, "prompt_cache_miss_tokens": 55}</x:v>
      </x:c>
      <x:c r="N652" s="30" t="str">
        <x:v>omission</x:v>
      </x:c>
      <x:c r="O652" s="30" t="str">
        <x:v>The model answer 'Explore new sports interests' is vague and incomplete compared to the gold answer, which specifically mentions 'tennis' as a concrete example of a new sport. The model answer omits the specific sport (tennis) and the mechanism (social circle introducing her to it), providing only a general statement without the key detail.</x:v>
      </x:c>
      <x:c r="P652" s="30" t="str">
        <x:v>LongCat-2.0</x:v>
      </x:c>
      <x:c r="Q652" s="30" t="str">
        <x:v>LongCat-2.0</x:v>
      </x:c>
      <x:c r="R652" s="30" t="n">
        <x:v>3500.69</x:v>
      </x:c>
      <x:c r="S652" s="30" t="str">
        <x:v>{"completion_tokens": 80, "prompt_tokens": 147,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3">
      <x:c r="A653" s="30" t="str">
        <x:v>memos_medium:1370</x:v>
      </x:c>
      <x:c r="B653" s="30" t="str">
        <x:v>medium</x:v>
      </x:c>
      <x:c r="C653" s="30" t="str">
        <x:v>Generalization &amp; Application</x:v>
      </x:c>
      <x:c r="D653" s="30" t="n">
        <x:v>1</x:v>
      </x:c>
      <x:c r="E653" s="30" t="str">
        <x:v>What new genre might Ananya explore next, based on her recent interest in symphonic metal?</x:v>
      </x:c>
      <x:c r="F653" s="30" t="str">
        <x:v>Progressive rock, due to its complexity and blend of styles.</x:v>
      </x:c>
      <x:c r="G653" s="30" t="str">
        <x:v>Symphonic metal</x:v>
      </x:c>
      <x:c r="H653" s="30" t="str">
        <x:v>deepseek-v4-flash</x:v>
      </x:c>
      <x:c r="I653" s="30" t="str">
        <x:v>deepseek-v4-flash</x:v>
      </x:c>
      <x:c r="J653" s="30" t="str">
        <x:v>7352ad9cbef57c20fbd6ab5f898314f274158a56e88b2c9e1580001cbc4a0915</x:v>
      </x:c>
      <x:c r="K653" s="30" t="str">
        <x:v>e2209efdb94a5d1b953a70c7284fc659c300bf377bcf8c80a5055391e48cc22e</x:v>
      </x:c>
      <x:c r="L653" s="30" t="n">
        <x:v>630.32</x:v>
      </x:c>
      <x:c r="M653" s="30" t="str">
        <x:v>{"completion_tokens": 4, "prompt_tokens": 611, "total_tokens": 615, "completion_tokens_details": null, "prompt_tokens_details": {"audio_tokens": null, "cached_tokens": 512}, "prompt_cache_hit_tokens": 512, "prompt_cache_miss_tokens": 99}</x:v>
      </x:c>
      <x:c r="N653" s="30" t="str">
        <x:v>hallucination</x:v>
      </x:c>
      <x:c r="O653" s="30" t="str">
        <x:v>The gold answer is 'Progressive rock, due to its complexity and blend of styles.' The model answer 'Symphonic metal' is a concrete answer that contradicts the gold answer, as it repeats the genre Ananya is already interested in rather than suggesting a new genre she might explore next.</x:v>
      </x:c>
      <x:c r="P653" s="30" t="str">
        <x:v>LongCat-2.0</x:v>
      </x:c>
      <x:c r="Q653" s="30" t="str">
        <x:v>LongCat-2.0</x:v>
      </x:c>
      <x:c r="R653" s="30" t="n">
        <x:v>2756.99</x:v>
      </x:c>
      <x:c r="S653" s="30" t="str">
        <x:v>{"completion_tokens": 72, "prompt_tokens": 154,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4">
      <x:c r="A654" s="30" t="str">
        <x:v>memos_medium:1370</x:v>
      </x:c>
      <x:c r="B654" s="30" t="str">
        <x:v>medium</x:v>
      </x:c>
      <x:c r="C654" s="30" t="str">
        <x:v>Generalization &amp; Application</x:v>
      </x:c>
      <x:c r="D654" s="30" t="n">
        <x:v>2</x:v>
      </x:c>
      <x:c r="E654" s="30" t="str">
        <x:v>What new genre might Ananya explore next, based on her recent interest in symphonic metal?</x:v>
      </x:c>
      <x:c r="F654" s="30" t="str">
        <x:v>Progressive rock, due to its complexity and blend of styles.</x:v>
      </x:c>
      <x:c r="G654" s="30" t="str">
        <x:v>Symphonic metal</x:v>
      </x:c>
      <x:c r="H654" s="30" t="str">
        <x:v>deepseek-v4-flash</x:v>
      </x:c>
      <x:c r="I654" s="30" t="str">
        <x:v>deepseek-v4-flash</x:v>
      </x:c>
      <x:c r="J654" s="30" t="str">
        <x:v>7352ad9cbef57c20fbd6ab5f898314f274158a56e88b2c9e1580001cbc4a0915</x:v>
      </x:c>
      <x:c r="K654" s="30" t="str">
        <x:v>e2209efdb94a5d1b953a70c7284fc659c300bf377bcf8c80a5055391e48cc22e</x:v>
      </x:c>
      <x:c r="L654" s="30" t="n">
        <x:v>631.9</x:v>
      </x:c>
      <x:c r="M654" s="30" t="str">
        <x:v>{"completion_tokens": 4, "prompt_tokens": 611, "total_tokens": 615, "completion_tokens_details": null, "prompt_tokens_details": {"audio_tokens": null, "cached_tokens": 512}, "prompt_cache_hit_tokens": 512, "prompt_cache_miss_tokens": 99}</x:v>
      </x:c>
      <x:c r="N654" s="30" t="str">
        <x:v>hallucination</x:v>
      </x:c>
      <x:c r="O654" s="30" t="str">
        <x:v>The model answer 'Symphonic metal' contradicts the gold answer 'Progressive rock'. The question asks what new genre Ananya might explore next based on her interest in symphonic metal, and the model incorrectly suggests she would explore the same genre she is already interested in, rather than the new genre indicated by the gold answer.</x:v>
      </x:c>
      <x:c r="P654" s="30" t="str">
        <x:v>LongCat-2.0</x:v>
      </x:c>
      <x:c r="Q654" s="30" t="str">
        <x:v>LongCat-2.0</x:v>
      </x:c>
      <x:c r="R654" s="30" t="n">
        <x:v>2886.66</x:v>
      </x:c>
      <x:c r="S654" s="30" t="str">
        <x:v>{"completion_tokens": 79, "prompt_tokens": 154,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5">
      <x:c r="A655" s="30" t="str">
        <x:v>memos_medium:1370</x:v>
      </x:c>
      <x:c r="B655" s="30" t="str">
        <x:v>medium</x:v>
      </x:c>
      <x:c r="C655" s="30" t="str">
        <x:v>Generalization &amp; Application</x:v>
      </x:c>
      <x:c r="D655" s="30" t="n">
        <x:v>3</x:v>
      </x:c>
      <x:c r="E655" s="30" t="str">
        <x:v>What new genre might Ananya explore next, based on her recent interest in symphonic metal?</x:v>
      </x:c>
      <x:c r="F655" s="30" t="str">
        <x:v>Progressive rock, due to its complexity and blend of styles.</x:v>
      </x:c>
      <x:c r="G655" s="30" t="str">
        <x:v>Symphonic metal</x:v>
      </x:c>
      <x:c r="H655" s="30" t="str">
        <x:v>deepseek-v4-flash</x:v>
      </x:c>
      <x:c r="I655" s="30" t="str">
        <x:v>deepseek-v4-flash</x:v>
      </x:c>
      <x:c r="J655" s="30" t="str">
        <x:v>7352ad9cbef57c20fbd6ab5f898314f274158a56e88b2c9e1580001cbc4a0915</x:v>
      </x:c>
      <x:c r="K655" s="30" t="str">
        <x:v>e2209efdb94a5d1b953a70c7284fc659c300bf377bcf8c80a5055391e48cc22e</x:v>
      </x:c>
      <x:c r="L655" s="30" t="n">
        <x:v>564.99</x:v>
      </x:c>
      <x:c r="M655" s="30" t="str">
        <x:v>{"completion_tokens": 4, "prompt_tokens": 611, "total_tokens": 615, "completion_tokens_details": null, "prompt_tokens_details": {"audio_tokens": null, "cached_tokens": 512}, "prompt_cache_hit_tokens": 512, "prompt_cache_miss_tokens": 99}</x:v>
      </x:c>
      <x:c r="N655" s="30" t="str">
        <x:v>hallucination</x:v>
      </x:c>
      <x:c r="O655" s="30" t="str">
        <x:v>The gold answer is 'Progressive rock', but the model answered 'Symphonic metal', which is a concrete answer that contradicts the gold answer.</x:v>
      </x:c>
      <x:c r="P655" s="30" t="str">
        <x:v>LongCat-2.0</x:v>
      </x:c>
      <x:c r="Q655" s="30" t="str">
        <x:v>LongCat-2.0</x:v>
      </x:c>
      <x:c r="R655" s="30" t="n">
        <x:v>2238.54</x:v>
      </x:c>
      <x:c r="S655" s="30" t="str">
        <x:v>{"completion_tokens": 43, "prompt_tokens": 154, "total_tokens": 197,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6">
      <x:c r="A656" s="30" t="str">
        <x:v>memos_medium:1404</x:v>
      </x:c>
      <x:c r="B656" s="30" t="str">
        <x:v>medium</x:v>
      </x:c>
      <x:c r="C656" s="30" t="str">
        <x:v>Dynamic Update</x:v>
      </x:c>
      <x:c r="D656" s="30" t="n">
        <x:v>1</x:v>
      </x:c>
      <x:c r="E656" s="30" t="str">
        <x:v>What is Ananya Sharma's latest mental health status as of 2035-06-01?</x:v>
      </x:c>
      <x:c r="F656" s="30" t="str">
        <x:v>Stressed</x:v>
      </x:c>
      <x:c r="G656" s="30" t="str">
        <x:v>Stressed</x:v>
      </x:c>
      <x:c r="H656" s="30" t="str">
        <x:v>deepseek-v4-flash</x:v>
      </x:c>
      <x:c r="I656" s="30" t="str">
        <x:v>deepseek-v4-flash</x:v>
      </x:c>
      <x:c r="J656" s="30" t="str">
        <x:v>ee80b1fe3e77ca79760544e25f225dc784cd9049760d6d6939320959a8214f83</x:v>
      </x:c>
      <x:c r="K656" s="30" t="str">
        <x:v>7b8b76930453b40b03a33a202ea28889945bc9cf49b807f9af167d6d39497705</x:v>
      </x:c>
      <x:c r="L656" s="30" t="n">
        <x:v>657.17</x:v>
      </x:c>
      <x:c r="M656" s="30" t="str">
        <x:v>{"completion_tokens": 2, "prompt_tokens": 571, "total_tokens": 573, "completion_tokens_details": null, "prompt_tokens_details": {"audio_tokens": null, "cached_tokens": 512}, "prompt_cache_hit_tokens": 512, "prompt_cache_miss_tokens": 59}</x:v>
      </x:c>
      <x:c r="N656" s="30" t="str">
        <x:v>correct</x:v>
      </x:c>
      <x:c r="O656" s="30" t="str">
        <x:v>The model answer 'Stressed' exactly matches the benchmark gold answer 'Stressed', providing the complete answer with no contradictions or omissions.</x:v>
      </x:c>
      <x:c r="P656" s="30" t="str">
        <x:v>LongCat-2.0</x:v>
      </x:c>
      <x:c r="Q656" s="30" t="str">
        <x:v>LongCat-2.0</x:v>
      </x:c>
      <x:c r="R656" s="30" t="n">
        <x:v>4915.1</x:v>
      </x:c>
      <x:c r="S656" s="30" t="str">
        <x:v>{"completion_tokens": 39, "prompt_tokens": 147,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7">
      <x:c r="A657" s="30" t="str">
        <x:v>memos_medium:1404</x:v>
      </x:c>
      <x:c r="B657" s="30" t="str">
        <x:v>medium</x:v>
      </x:c>
      <x:c r="C657" s="30" t="str">
        <x:v>Dynamic Update</x:v>
      </x:c>
      <x:c r="D657" s="30" t="n">
        <x:v>2</x:v>
      </x:c>
      <x:c r="E657" s="30" t="str">
        <x:v>What is Ananya Sharma's latest mental health status as of 2035-06-01?</x:v>
      </x:c>
      <x:c r="F657" s="30" t="str">
        <x:v>Stressed</x:v>
      </x:c>
      <x:c r="G657" s="30" t="str">
        <x:v>Stressed</x:v>
      </x:c>
      <x:c r="H657" s="30" t="str">
        <x:v>deepseek-v4-flash</x:v>
      </x:c>
      <x:c r="I657" s="30" t="str">
        <x:v>deepseek-v4-flash</x:v>
      </x:c>
      <x:c r="J657" s="30" t="str">
        <x:v>ee80b1fe3e77ca79760544e25f225dc784cd9049760d6d6939320959a8214f83</x:v>
      </x:c>
      <x:c r="K657" s="30" t="str">
        <x:v>7b8b76930453b40b03a33a202ea28889945bc9cf49b807f9af167d6d39497705</x:v>
      </x:c>
      <x:c r="L657" s="30" t="n">
        <x:v>614.09</x:v>
      </x:c>
      <x:c r="M657" s="30" t="str">
        <x:v>{"completion_tokens": 2, "prompt_tokens": 571, "total_tokens": 573, "completion_tokens_details": null, "prompt_tokens_details": {"audio_tokens": null, "cached_tokens": 512}, "prompt_cache_hit_tokens": 512, "prompt_cache_miss_tokens": 59}</x:v>
      </x:c>
      <x:c r="N657" s="30" t="str">
        <x:v>correct</x:v>
      </x:c>
      <x:c r="O657" s="30" t="str">
        <x:v>The model answer 'Stressed' exactly matches the benchmark gold answer 'Stressed', providing the complete answer without any contradiction or unsupported material.</x:v>
      </x:c>
      <x:c r="P657" s="30" t="str">
        <x:v>LongCat-2.0</x:v>
      </x:c>
      <x:c r="Q657" s="30" t="str">
        <x:v>LongCat-2.0</x:v>
      </x:c>
      <x:c r="R657" s="30" t="n">
        <x:v>5193.09</x:v>
      </x:c>
      <x:c r="S657" s="30" t="str">
        <x:v>{"completion_tokens": 39, "prompt_tokens": 147,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58">
      <x:c r="A658" s="30" t="str">
        <x:v>memos_medium:1404</x:v>
      </x:c>
      <x:c r="B658" s="30" t="str">
        <x:v>medium</x:v>
      </x:c>
      <x:c r="C658" s="30" t="str">
        <x:v>Dynamic Update</x:v>
      </x:c>
      <x:c r="D658" s="30" t="n">
        <x:v>3</x:v>
      </x:c>
      <x:c r="E658" s="30" t="str">
        <x:v>What is Ananya Sharma's latest mental health status as of 2035-06-01?</x:v>
      </x:c>
      <x:c r="F658" s="30" t="str">
        <x:v>Stressed</x:v>
      </x:c>
      <x:c r="G658" s="30" t="str">
        <x:v>Stressed</x:v>
      </x:c>
      <x:c r="H658" s="30" t="str">
        <x:v>deepseek-v4-flash</x:v>
      </x:c>
      <x:c r="I658" s="30" t="str">
        <x:v>deepseek-v4-flash</x:v>
      </x:c>
      <x:c r="J658" s="30" t="str">
        <x:v>ee80b1fe3e77ca79760544e25f225dc784cd9049760d6d6939320959a8214f83</x:v>
      </x:c>
      <x:c r="K658" s="30" t="str">
        <x:v>7b8b76930453b40b03a33a202ea28889945bc9cf49b807f9af167d6d39497705</x:v>
      </x:c>
      <x:c r="L658" s="30" t="n">
        <x:v>561.65</x:v>
      </x:c>
      <x:c r="M658" s="30" t="str">
        <x:v>{"completion_tokens": 2, "prompt_tokens": 571, "total_tokens": 573, "completion_tokens_details": null, "prompt_tokens_details": {"audio_tokens": null, "cached_tokens": 512}, "prompt_cache_hit_tokens": 512, "prompt_cache_miss_tokens": 59}</x:v>
      </x:c>
      <x:c r="N658" s="30" t="str">
        <x:v>correct</x:v>
      </x:c>
      <x:c r="O658" s="30" t="str">
        <x:v>The model answer 'Stressed' matches the benchmark gold answer exactly, providing the complete and correct information about Ananya Sharma's mental health status.</x:v>
      </x:c>
      <x:c r="P658" s="30" t="str">
        <x:v>LongCat-2.0</x:v>
      </x:c>
      <x:c r="Q658" s="30" t="str">
        <x:v>LongCat-2.0</x:v>
      </x:c>
      <x:c r="R658" s="30" t="n">
        <x:v>3588.66</x:v>
      </x:c>
      <x:c r="S658" s="30" t="str">
        <x:v>{"completion_tokens": 40, "prompt_tokens": 147, "total_tokens": 187,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59">
      <x:c r="A659" s="30" t="str">
        <x:v>memos_medium:1405</x:v>
      </x:c>
      <x:c r="B659" s="30" t="str">
        <x:v>medium</x:v>
      </x:c>
      <x:c r="C659" s="30" t="str">
        <x:v>Dynamic Update</x:v>
      </x:c>
      <x:c r="D659" s="30" t="n">
        <x:v>1</x:v>
      </x:c>
      <x:c r="E659" s="30" t="str">
        <x:v>What did Ananya Sharma's career description change to as of 2035-04-20?</x:v>
      </x:c>
      <x:c r="F659" s="30" t="str">
        <x:v>Shaping curriculum and mentoring at University of Film Studies.</x:v>
      </x:c>
      <x:c r="G659" s="30" t="str">
        <x:v>Head of Film Studies</x:v>
      </x:c>
      <x:c r="H659" s="30" t="str">
        <x:v>deepseek-v4-flash</x:v>
      </x:c>
      <x:c r="I659" s="30" t="str">
        <x:v>deepseek-v4-flash</x:v>
      </x:c>
      <x:c r="J659" s="30" t="str">
        <x:v>8978f8421860fc744bbb4fc751c1eff876293f6b20062c49d923167b6a37bda8</x:v>
      </x:c>
      <x:c r="K659" s="30" t="str">
        <x:v>1097ca5fb681e94186627f0c2b5411b053777ac76b0955a6c2c59113ee424c37</x:v>
      </x:c>
      <x:c r="L659" s="30" t="n">
        <x:v>578.31</x:v>
      </x:c>
      <x:c r="M659" s="30" t="str">
        <x:v>{"completion_tokens": 4, "prompt_tokens": 616, "total_tokens": 620, "completion_tokens_details": null, "prompt_tokens_details": {"audio_tokens": null, "cached_tokens": 512}, "prompt_cache_hit_tokens": 512, "prompt_cache_miss_tokens": 104}</x:v>
      </x:c>
      <x:c r="N659" s="30" t="str">
        <x:v>hallucination</x:v>
      </x:c>
      <x:c r="O659"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P659" s="30" t="str">
        <x:v>LongCat-2.0</x:v>
      </x:c>
      <x:c r="Q659" s="30" t="str">
        <x:v>LongCat-2.0</x:v>
      </x:c>
      <x:c r="R659" s="30" t="n">
        <x:v>6993</x:v>
      </x:c>
      <x:c r="S659" s="30" t="str">
        <x:v>{"completion_tokens": 66, "prompt_tokens": 157,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60">
      <x:c r="A660" s="30" t="str">
        <x:v>memos_medium:1405</x:v>
      </x:c>
      <x:c r="B660" s="30" t="str">
        <x:v>medium</x:v>
      </x:c>
      <x:c r="C660" s="30" t="str">
        <x:v>Dynamic Update</x:v>
      </x:c>
      <x:c r="D660" s="30" t="n">
        <x:v>2</x:v>
      </x:c>
      <x:c r="E660" s="30" t="str">
        <x:v>What did Ananya Sharma's career description change to as of 2035-04-20?</x:v>
      </x:c>
      <x:c r="F660" s="30" t="str">
        <x:v>Shaping curriculum and mentoring at University of Film Studies.</x:v>
      </x:c>
      <x:c r="G660" s="30" t="str">
        <x:v>Head of Film Studies</x:v>
      </x:c>
      <x:c r="H660" s="30" t="str">
        <x:v>deepseek-v4-flash</x:v>
      </x:c>
      <x:c r="I660" s="30" t="str">
        <x:v>deepseek-v4-flash</x:v>
      </x:c>
      <x:c r="J660" s="30" t="str">
        <x:v>8978f8421860fc744bbb4fc751c1eff876293f6b20062c49d923167b6a37bda8</x:v>
      </x:c>
      <x:c r="K660" s="30" t="str">
        <x:v>1097ca5fb681e94186627f0c2b5411b053777ac76b0955a6c2c59113ee424c37</x:v>
      </x:c>
      <x:c r="L660" s="30" t="n">
        <x:v>812.47</x:v>
      </x:c>
      <x:c r="M660" s="30" t="str">
        <x:v>{"completion_tokens": 4, "prompt_tokens": 616, "total_tokens": 620, "completion_tokens_details": null, "prompt_tokens_details": {"audio_tokens": null, "cached_tokens": 512}, "prompt_cache_hit_tokens": 512, "prompt_cache_miss_tokens": 104}</x:v>
      </x:c>
      <x:c r="N660" s="30" t="str">
        <x:v>hallucination</x:v>
      </x:c>
      <x:c r="O660"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P660" s="30" t="str">
        <x:v>LongCat-2.0</x:v>
      </x:c>
      <x:c r="Q660" s="30" t="str">
        <x:v>LongCat-2.0</x:v>
      </x:c>
      <x:c r="R660" s="30" t="n">
        <x:v>5984.76</x:v>
      </x:c>
      <x:c r="S660" s="30" t="str">
        <x:v>{"completion_tokens": 66, "prompt_tokens": 157,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1">
      <x:c r="A661" s="30" t="str">
        <x:v>memos_medium:1405</x:v>
      </x:c>
      <x:c r="B661" s="30" t="str">
        <x:v>medium</x:v>
      </x:c>
      <x:c r="C661" s="30" t="str">
        <x:v>Dynamic Update</x:v>
      </x:c>
      <x:c r="D661" s="30" t="n">
        <x:v>3</x:v>
      </x:c>
      <x:c r="E661" s="30" t="str">
        <x:v>What did Ananya Sharma's career description change to as of 2035-04-20?</x:v>
      </x:c>
      <x:c r="F661" s="30" t="str">
        <x:v>Shaping curriculum and mentoring at University of Film Studies.</x:v>
      </x:c>
      <x:c r="G661" s="30" t="str">
        <x:v>Head of Film Studies</x:v>
      </x:c>
      <x:c r="H661" s="30" t="str">
        <x:v>deepseek-v4-flash</x:v>
      </x:c>
      <x:c r="I661" s="30" t="str">
        <x:v>deepseek-v4-flash</x:v>
      </x:c>
      <x:c r="J661" s="30" t="str">
        <x:v>8978f8421860fc744bbb4fc751c1eff876293f6b20062c49d923167b6a37bda8</x:v>
      </x:c>
      <x:c r="K661" s="30" t="str">
        <x:v>1097ca5fb681e94186627f0c2b5411b053777ac76b0955a6c2c59113ee424c37</x:v>
      </x:c>
      <x:c r="L661" s="30" t="n">
        <x:v>528.96</x:v>
      </x:c>
      <x:c r="M661" s="30" t="str">
        <x:v>{"completion_tokens": 4, "prompt_tokens": 616, "total_tokens": 620, "completion_tokens_details": null, "prompt_tokens_details": {"audio_tokens": null, "cached_tokens": 512}, "prompt_cache_hit_tokens": 512, "prompt_cache_miss_tokens": 104}</x:v>
      </x:c>
      <x:c r="N661" s="30" t="str">
        <x:v>hallucination</x:v>
      </x:c>
      <x:c r="O661" s="30" t="str">
        <x:v>The model answer 'Head of Film Studies' is a concrete claim that contradicts the gold answer 'Shaping curriculum and mentoring at University of Film Studies.' The gold answer describes a role focused on curriculum and mentoring, while the model answer asserts a different, unsupported title.</x:v>
      </x:c>
      <x:c r="P661" s="30" t="str">
        <x:v>LongCat-2.0</x:v>
      </x:c>
      <x:c r="Q661" s="30" t="str">
        <x:v>LongCat-2.0</x:v>
      </x:c>
      <x:c r="R661" s="30" t="n">
        <x:v>6410.24</x:v>
      </x:c>
      <x:c r="S661" s="30" t="str">
        <x:v>{"completion_tokens": 66, "prompt_tokens": 157,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2">
      <x:c r="A662" s="30" t="str">
        <x:v>memos_medium:1444</x:v>
      </x:c>
      <x:c r="B662" s="30" t="str">
        <x:v>medium</x:v>
      </x:c>
      <x:c r="C662" s="30" t="str">
        <x:v>Memory Conflict</x:v>
      </x:c>
      <x:c r="D662" s="30" t="n">
        <x:v>1</x:v>
      </x:c>
      <x:c r="E662" s="30" t="str">
        <x:v>What is Jennifer Martin's job title at TechCloud Solutions as of Sep 05, 2025?</x:v>
      </x:c>
      <x:c r="F662" s="30" t="str">
        <x:v>Jennifer works at CloudTech Advisors as a Cloud Solutions Consultant.</x:v>
      </x:c>
      <x:c r="G662" s="30" t="str">
        <x:v>Cloud Solutions Consultant</x:v>
      </x:c>
      <x:c r="H662" s="30" t="str">
        <x:v>deepseek-v4-flash</x:v>
      </x:c>
      <x:c r="I662" s="30" t="str">
        <x:v>deepseek-v4-flash</x:v>
      </x:c>
      <x:c r="J662" s="30" t="str">
        <x:v>fd6204dc803133fd96081089125f0da816577031f91a19ca08362e22ff703c5c</x:v>
      </x:c>
      <x:c r="K662" s="30" t="str">
        <x:v>f70e4ae1bdebbf881d2ba1bec504ca8b40c9fe9d7f73cdd433597b5f8c11efed</x:v>
      </x:c>
      <x:c r="L662" s="30" t="n">
        <x:v>564.97</x:v>
      </x:c>
      <x:c r="M662" s="30" t="str">
        <x:v>{"completion_tokens": 3, "prompt_tokens": 553, "total_tokens": 556, "completion_tokens_details": null, "prompt_tokens_details": {"audio_tokens": null, "cached_tokens": 512}, "prompt_cache_hit_tokens": 512, "prompt_cache_miss_tokens": 41}</x:v>
      </x:c>
      <x:c r="N662" s="30" t="str">
        <x:v>omission</x:v>
      </x:c>
      <x:c r="O662"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x:v>
      </x:c>
      <x:c r="P662" s="30" t="str">
        <x:v>LongCat-2.0</x:v>
      </x:c>
      <x:c r="Q662" s="30" t="str">
        <x:v>LongCat-2.0</x:v>
      </x:c>
      <x:c r="R662" s="30" t="n">
        <x:v>3057.63</x:v>
      </x:c>
      <x:c r="S662" s="30" t="str">
        <x:v>{"completion_tokens": 82, "prompt_tokens": 158, "total_tokens": 240,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63">
      <x:c r="A663" s="30" t="str">
        <x:v>memos_medium:1444</x:v>
      </x:c>
      <x:c r="B663" s="30" t="str">
        <x:v>medium</x:v>
      </x:c>
      <x:c r="C663" s="30" t="str">
        <x:v>Memory Conflict</x:v>
      </x:c>
      <x:c r="D663" s="30" t="n">
        <x:v>2</x:v>
      </x:c>
      <x:c r="E663" s="30" t="str">
        <x:v>What is Jennifer Martin's job title at TechCloud Solutions as of Sep 05, 2025?</x:v>
      </x:c>
      <x:c r="F663" s="30" t="str">
        <x:v>Jennifer works at CloudTech Advisors as a Cloud Solutions Consultant.</x:v>
      </x:c>
      <x:c r="G663" s="30" t="str">
        <x:v>Cloud Solutions Consultant</x:v>
      </x:c>
      <x:c r="H663" s="30" t="str">
        <x:v>deepseek-v4-flash</x:v>
      </x:c>
      <x:c r="I663" s="30" t="str">
        <x:v>deepseek-v4-flash</x:v>
      </x:c>
      <x:c r="J663" s="30" t="str">
        <x:v>fd6204dc803133fd96081089125f0da816577031f91a19ca08362e22ff703c5c</x:v>
      </x:c>
      <x:c r="K663" s="30" t="str">
        <x:v>f70e4ae1bdebbf881d2ba1bec504ca8b40c9fe9d7f73cdd433597b5f8c11efed</x:v>
      </x:c>
      <x:c r="L663" s="30" t="n">
        <x:v>759.63</x:v>
      </x:c>
      <x:c r="M663" s="30" t="str">
        <x:v>{"completion_tokens": 3, "prompt_tokens": 553, "total_tokens": 556, "completion_tokens_details": null, "prompt_tokens_details": {"audio_tokens": null, "cached_tokens": 512}, "prompt_cache_hit_tokens": 512, "prompt_cache_miss_tokens": 41}</x:v>
      </x:c>
      <x:c r="N663" s="30" t="str">
        <x:v>omission</x:v>
      </x:c>
      <x:c r="O663"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incomplete subset.</x:v>
      </x:c>
      <x:c r="P663" s="30" t="str">
        <x:v>LongCat-2.0</x:v>
      </x:c>
      <x:c r="Q663" s="30" t="str">
        <x:v>LongCat-2.0</x:v>
      </x:c>
      <x:c r="R663" s="30" t="n">
        <x:v>3245.28</x:v>
      </x:c>
      <x:c r="S663" s="30" t="str">
        <x:v>{"completion_tokens": 77, "prompt_tokens": 158,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4">
      <x:c r="A664" s="30" t="str">
        <x:v>memos_medium:1444</x:v>
      </x:c>
      <x:c r="B664" s="30" t="str">
        <x:v>medium</x:v>
      </x:c>
      <x:c r="C664" s="30" t="str">
        <x:v>Memory Conflict</x:v>
      </x:c>
      <x:c r="D664" s="30" t="n">
        <x:v>3</x:v>
      </x:c>
      <x:c r="E664" s="30" t="str">
        <x:v>What is Jennifer Martin's job title at TechCloud Solutions as of Sep 05, 2025?</x:v>
      </x:c>
      <x:c r="F664" s="30" t="str">
        <x:v>Jennifer works at CloudTech Advisors as a Cloud Solutions Consultant.</x:v>
      </x:c>
      <x:c r="G664" s="30" t="str">
        <x:v>Cloud Solutions Consultant</x:v>
      </x:c>
      <x:c r="H664" s="30" t="str">
        <x:v>deepseek-v4-flash</x:v>
      </x:c>
      <x:c r="I664" s="30" t="str">
        <x:v>deepseek-v4-flash</x:v>
      </x:c>
      <x:c r="J664" s="30" t="str">
        <x:v>fd6204dc803133fd96081089125f0da816577031f91a19ca08362e22ff703c5c</x:v>
      </x:c>
      <x:c r="K664" s="30" t="str">
        <x:v>f70e4ae1bdebbf881d2ba1bec504ca8b40c9fe9d7f73cdd433597b5f8c11efed</x:v>
      </x:c>
      <x:c r="L664" s="30" t="n">
        <x:v>510.52</x:v>
      </x:c>
      <x:c r="M664" s="30" t="str">
        <x:v>{"completion_tokens": 3, "prompt_tokens": 553, "total_tokens": 556, "completion_tokens_details": null, "prompt_tokens_details": {"audio_tokens": null, "cached_tokens": 512}, "prompt_cache_hit_tokens": 512, "prompt_cache_miss_tokens": 41}</x:v>
      </x:c>
      <x:c r="N664" s="30" t="str">
        <x:v>omission</x:v>
      </x:c>
      <x:c r="O664" s="30" t="str">
        <x:v>The model answer provides the job title 'Cloud Solutions Consultant' but omits the company name 'CloudTech Advisors' and the full context from the gold answer. While the job title itself is correct, the answer is incomplete as it does not include all the information present in the gold answer, making it an omission rather than a complete semantic match.</x:v>
      </x:c>
      <x:c r="P664" s="30" t="str">
        <x:v>LongCat-2.0</x:v>
      </x:c>
      <x:c r="Q664" s="30" t="str">
        <x:v>LongCat-2.0</x:v>
      </x:c>
      <x:c r="R664" s="30" t="n">
        <x:v>3103.87</x:v>
      </x:c>
      <x:c r="S664" s="30" t="str">
        <x:v>{"completion_tokens": 82, "prompt_tokens": 158,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5">
      <x:c r="A665" s="30" t="str">
        <x:v>memos_medium:1445</x:v>
      </x:c>
      <x:c r="B665" s="30" t="str">
        <x:v>medium</x:v>
      </x:c>
      <x:c r="C665" s="30" t="str">
        <x:v>Basic Fact Recall</x:v>
      </x:c>
      <x:c r="D665" s="30" t="n">
        <x:v>1</x:v>
      </x:c>
      <x:c r="E665" s="30" t="str">
        <x:v>What type of books does Jennifer Martin dislike?</x:v>
      </x:c>
      <x:c r="F665" s="30" t="str">
        <x:v>Romantic novels and self-help books</x:v>
      </x:c>
      <x:c r="G665" s="30" t="str">
        <x:v>Romantic and self-help books</x:v>
      </x:c>
      <x:c r="H665" s="30" t="str">
        <x:v>deepseek-v4-flash</x:v>
      </x:c>
      <x:c r="I665" s="30" t="str">
        <x:v>deepseek-v4-flash</x:v>
      </x:c>
      <x:c r="J665" s="30" t="str">
        <x:v>2c53f802130494d845a6b685b1d616eb9e967381f8df60d6807a462b425ffbe6</x:v>
      </x:c>
      <x:c r="K665" s="30" t="str">
        <x:v>1d38218f4f3adb4d8d249fcecee05d2ad47b54543bfa1361ba94091b53237038</x:v>
      </x:c>
      <x:c r="L665" s="30" t="n">
        <x:v>657.86</x:v>
      </x:c>
      <x:c r="M665" s="30" t="str">
        <x:v>{"completion_tokens": 6, "prompt_tokens": 541, "total_tokens": 547, "completion_tokens_details": null, "prompt_tokens_details": {"audio_tokens": null, "cached_tokens": 512}, "prompt_cache_hit_tokens": 512, "prompt_cache_miss_tokens": 29}</x:v>
      </x:c>
      <x:c r="N665" s="30" t="str">
        <x:v>correct</x:v>
      </x:c>
      <x:c r="O665" s="30" t="str">
        <x:v>The model answer 'Romantic and self-help books' is semantically equivalent to the gold answer 'Romantic novels and self-help books'. The omission of the word 'novels' does not change the meaning, as 'romantic books' clearly refers to romantic novels in this context. The complete answer is given without any false claims.</x:v>
      </x:c>
      <x:c r="P665" s="30" t="str">
        <x:v>LongCat-2.0</x:v>
      </x:c>
      <x:c r="Q665" s="30" t="str">
        <x:v>LongCat-2.0</x:v>
      </x:c>
      <x:c r="R665" s="30" t="n">
        <x:v>3371.31</x:v>
      </x:c>
      <x:c r="S665" s="30" t="str">
        <x:v>{"completion_tokens": 79, "prompt_tokens": 141,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6">
      <x:c r="A666" s="30" t="str">
        <x:v>memos_medium:1445</x:v>
      </x:c>
      <x:c r="B666" s="30" t="str">
        <x:v>medium</x:v>
      </x:c>
      <x:c r="C666" s="30" t="str">
        <x:v>Basic Fact Recall</x:v>
      </x:c>
      <x:c r="D666" s="30" t="n">
        <x:v>2</x:v>
      </x:c>
      <x:c r="E666" s="30" t="str">
        <x:v>What type of books does Jennifer Martin dislike?</x:v>
      </x:c>
      <x:c r="F666" s="30" t="str">
        <x:v>Romantic novels and self-help books</x:v>
      </x:c>
      <x:c r="G666" s="30" t="str">
        <x:v>Romantic and self-help books</x:v>
      </x:c>
      <x:c r="H666" s="30" t="str">
        <x:v>deepseek-v4-flash</x:v>
      </x:c>
      <x:c r="I666" s="30" t="str">
        <x:v>deepseek-v4-flash</x:v>
      </x:c>
      <x:c r="J666" s="30" t="str">
        <x:v>2c53f802130494d845a6b685b1d616eb9e967381f8df60d6807a462b425ffbe6</x:v>
      </x:c>
      <x:c r="K666" s="30" t="str">
        <x:v>1d38218f4f3adb4d8d249fcecee05d2ad47b54543bfa1361ba94091b53237038</x:v>
      </x:c>
      <x:c r="L666" s="30" t="n">
        <x:v>651.26</x:v>
      </x:c>
      <x:c r="M666" s="30" t="str">
        <x:v>{"completion_tokens": 6, "prompt_tokens": 541, "total_tokens": 547, "completion_tokens_details": null, "prompt_tokens_details": {"audio_tokens": null, "cached_tokens": 512}, "prompt_cache_hit_tokens": 512, "prompt_cache_miss_tokens": 29}</x:v>
      </x:c>
      <x:c r="N666" s="30" t="str">
        <x:v>correct</x:v>
      </x:c>
      <x:c r="O666" s="30" t="str">
        <x:v>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x:v>
      </x:c>
      <x:c r="P666" s="30" t="str">
        <x:v>LongCat-2.0</x:v>
      </x:c>
      <x:c r="Q666" s="30" t="str">
        <x:v>LongCat-2.0</x:v>
      </x:c>
      <x:c r="R666" s="30" t="n">
        <x:v>3221.59</x:v>
      </x:c>
      <x:c r="S666" s="30" t="str">
        <x:v>{"completion_tokens": 77, "prompt_tokens": 141,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67">
      <x:c r="A667" s="30" t="str">
        <x:v>memos_medium:1445</x:v>
      </x:c>
      <x:c r="B667" s="30" t="str">
        <x:v>medium</x:v>
      </x:c>
      <x:c r="C667" s="30" t="str">
        <x:v>Basic Fact Recall</x:v>
      </x:c>
      <x:c r="D667" s="30" t="n">
        <x:v>3</x:v>
      </x:c>
      <x:c r="E667" s="30" t="str">
        <x:v>What type of books does Jennifer Martin dislike?</x:v>
      </x:c>
      <x:c r="F667" s="30" t="str">
        <x:v>Romantic novels and self-help books</x:v>
      </x:c>
      <x:c r="G667" s="30" t="str">
        <x:v>Romantic and self-help books</x:v>
      </x:c>
      <x:c r="H667" s="30" t="str">
        <x:v>deepseek-v4-flash</x:v>
      </x:c>
      <x:c r="I667" s="30" t="str">
        <x:v>deepseek-v4-flash</x:v>
      </x:c>
      <x:c r="J667" s="30" t="str">
        <x:v>2c53f802130494d845a6b685b1d616eb9e967381f8df60d6807a462b425ffbe6</x:v>
      </x:c>
      <x:c r="K667" s="30" t="str">
        <x:v>1d38218f4f3adb4d8d249fcecee05d2ad47b54543bfa1361ba94091b53237038</x:v>
      </x:c>
      <x:c r="L667" s="30" t="n">
        <x:v>619.71</x:v>
      </x:c>
      <x:c r="M667" s="30" t="str">
        <x:v>{"completion_tokens": 6, "prompt_tokens": 541, "total_tokens": 547, "completion_tokens_details": null, "prompt_tokens_details": {"audio_tokens": null, "cached_tokens": 512}, "prompt_cache_hit_tokens": 512, "prompt_cache_miss_tokens": 29}</x:v>
      </x:c>
      <x:c r="N667" s="30" t="str">
        <x:v>correct</x:v>
      </x:c>
      <x:c r="O667" s="30" t="str">
        <x:v>The model answer 'Romantic and self-help books' is semantically equivalent to the gold answer 'Romantic novels and self-help books'. The omission of 'novels' does not change the meaning, as 'romantic books' clearly refers to romantic novels in this context. The answer is complete and contains no false claims.</x:v>
      </x:c>
      <x:c r="P667" s="30" t="str">
        <x:v>LongCat-2.0</x:v>
      </x:c>
      <x:c r="Q667" s="30" t="str">
        <x:v>LongCat-2.0</x:v>
      </x:c>
      <x:c r="R667" s="30" t="n">
        <x:v>5539.7</x:v>
      </x:c>
      <x:c r="S667" s="30" t="str">
        <x:v>{"completion_tokens": 77, "prompt_tokens": 141, "total_tokens": 218,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68">
      <x:c r="A668" s="30" t="str">
        <x:v>memos_medium:1463</x:v>
      </x:c>
      <x:c r="B668" s="30" t="str">
        <x:v>medium</x:v>
      </x:c>
      <x:c r="C668" s="30" t="str">
        <x:v>Basic Fact Recall</x:v>
      </x:c>
      <x:c r="D668" s="30" t="n">
        <x:v>1</x:v>
      </x:c>
      <x:c r="E668" s="30" t="str">
        <x:v>What beverage did Jennifer Martin decide to eliminate from her diet on Jan 30, 2027?</x:v>
      </x:c>
      <x:c r="F668" s="30" t="str">
        <x:v>Black coffee</x:v>
      </x:c>
      <x:c r="G668" s="30" t="str">
        <x:v>Black coffee</x:v>
      </x:c>
      <x:c r="H668" s="30" t="str">
        <x:v>deepseek-v4-flash</x:v>
      </x:c>
      <x:c r="I668" s="30" t="str">
        <x:v>deepseek-v4-flash</x:v>
      </x:c>
      <x:c r="J668" s="30" t="str">
        <x:v>267cccdae0fce016c243e6663e74ae31dbb6db861bb2ee56c2dd9c96a84bd5d3</x:v>
      </x:c>
      <x:c r="K668" s="30" t="str">
        <x:v>b3824232e02078419f79723de3ad7cac98db3393f6452795ce78b669ce3fb8a7</x:v>
      </x:c>
      <x:c r="L668" s="30" t="n">
        <x:v>619.71</x:v>
      </x:c>
      <x:c r="M668" s="30" t="str">
        <x:v>{"completion_tokens": 2, "prompt_tokens": 541, "total_tokens": 543, "completion_tokens_details": null, "prompt_tokens_details": {"audio_tokens": null, "cached_tokens": 512}, "prompt_cache_hit_tokens": 512, "prompt_cache_miss_tokens": 29}</x:v>
      </x:c>
      <x:c r="N668" s="30" t="str">
        <x:v>correct</x:v>
      </x:c>
      <x:c r="O668" s="30" t="str">
        <x:v>The model answer 'Black coffee' exactly matches the benchmark gold answer 'Black coffee', providing the complete and correct information.</x:v>
      </x:c>
      <x:c r="P668" s="30" t="str">
        <x:v>LongCat-2.0</x:v>
      </x:c>
      <x:c r="Q668" s="30" t="str">
        <x:v>LongCat-2.0</x:v>
      </x:c>
      <x:c r="R668" s="30" t="n">
        <x:v>2580.53</x:v>
      </x:c>
      <x:c r="S668" s="30" t="str">
        <x:v>{"completion_tokens": 35, "prompt_tokens": 146, "total_tokens": 181,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69">
      <x:c r="A669" s="30" t="str">
        <x:v>memos_medium:1463</x:v>
      </x:c>
      <x:c r="B669" s="30" t="str">
        <x:v>medium</x:v>
      </x:c>
      <x:c r="C669" s="30" t="str">
        <x:v>Basic Fact Recall</x:v>
      </x:c>
      <x:c r="D669" s="30" t="n">
        <x:v>2</x:v>
      </x:c>
      <x:c r="E669" s="30" t="str">
        <x:v>What beverage did Jennifer Martin decide to eliminate from her diet on Jan 30, 2027?</x:v>
      </x:c>
      <x:c r="F669" s="30" t="str">
        <x:v>Black coffee</x:v>
      </x:c>
      <x:c r="G669" s="30" t="str">
        <x:v>Black coffee</x:v>
      </x:c>
      <x:c r="H669" s="30" t="str">
        <x:v>deepseek-v4-flash</x:v>
      </x:c>
      <x:c r="I669" s="30" t="str">
        <x:v>deepseek-v4-flash</x:v>
      </x:c>
      <x:c r="J669" s="30" t="str">
        <x:v>267cccdae0fce016c243e6663e74ae31dbb6db861bb2ee56c2dd9c96a84bd5d3</x:v>
      </x:c>
      <x:c r="K669" s="30" t="str">
        <x:v>b3824232e02078419f79723de3ad7cac98db3393f6452795ce78b669ce3fb8a7</x:v>
      </x:c>
      <x:c r="L669" s="30" t="n">
        <x:v>778.15</x:v>
      </x:c>
      <x:c r="M669" s="30" t="str">
        <x:v>{"completion_tokens": 2, "prompt_tokens": 541, "total_tokens": 543, "completion_tokens_details": null, "prompt_tokens_details": {"audio_tokens": null, "cached_tokens": 512}, "prompt_cache_hit_tokens": 512, "prompt_cache_miss_tokens": 29}</x:v>
      </x:c>
      <x:c r="N669" s="30" t="str">
        <x:v>correct</x:v>
      </x:c>
      <x:c r="O669" s="30" t="str">
        <x:v>The model answer 'Black coffee' exactly matches the benchmark gold answer 'Black coffee', providing the complete correct answer without any contradiction or omission.</x:v>
      </x:c>
      <x:c r="P669" s="30" t="str">
        <x:v>LongCat-2.0</x:v>
      </x:c>
      <x:c r="Q669" s="30" t="str">
        <x:v>LongCat-2.0</x:v>
      </x:c>
      <x:c r="R669" s="30" t="n">
        <x:v>2192.27</x:v>
      </x:c>
      <x:c r="S669" s="30" t="str">
        <x:v>{"completion_tokens": 39, "prompt_tokens": 146, "total_tokens": 185,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0">
      <x:c r="A670" s="30" t="str">
        <x:v>memos_medium:1463</x:v>
      </x:c>
      <x:c r="B670" s="30" t="str">
        <x:v>medium</x:v>
      </x:c>
      <x:c r="C670" s="30" t="str">
        <x:v>Basic Fact Recall</x:v>
      </x:c>
      <x:c r="D670" s="30" t="n">
        <x:v>3</x:v>
      </x:c>
      <x:c r="E670" s="30" t="str">
        <x:v>What beverage did Jennifer Martin decide to eliminate from her diet on Jan 30, 2027?</x:v>
      </x:c>
      <x:c r="F670" s="30" t="str">
        <x:v>Black coffee</x:v>
      </x:c>
      <x:c r="G670" s="30" t="str">
        <x:v>Black coffee</x:v>
      </x:c>
      <x:c r="H670" s="30" t="str">
        <x:v>deepseek-v4-flash</x:v>
      </x:c>
      <x:c r="I670" s="30" t="str">
        <x:v>deepseek-v4-flash</x:v>
      </x:c>
      <x:c r="J670" s="30" t="str">
        <x:v>267cccdae0fce016c243e6663e74ae31dbb6db861bb2ee56c2dd9c96a84bd5d3</x:v>
      </x:c>
      <x:c r="K670" s="30" t="str">
        <x:v>b3824232e02078419f79723de3ad7cac98db3393f6452795ce78b669ce3fb8a7</x:v>
      </x:c>
      <x:c r="L670" s="30" t="n">
        <x:v>617.21</x:v>
      </x:c>
      <x:c r="M670" s="30" t="str">
        <x:v>{"completion_tokens": 2, "prompt_tokens": 541, "total_tokens": 543, "completion_tokens_details": null, "prompt_tokens_details": {"audio_tokens": null, "cached_tokens": 512}, "prompt_cache_hit_tokens": 512, "prompt_cache_miss_tokens": 29}</x:v>
      </x:c>
      <x:c r="N670" s="30" t="str">
        <x:v>correct</x:v>
      </x:c>
      <x:c r="O670" s="30" t="str">
        <x:v>The model answer 'Black coffee' exactly matches the benchmark gold answer 'Black coffee', providing the complete and correct information.</x:v>
      </x:c>
      <x:c r="P670" s="30" t="str">
        <x:v>LongCat-2.0</x:v>
      </x:c>
      <x:c r="Q670" s="30" t="str">
        <x:v>LongCat-2.0</x:v>
      </x:c>
      <x:c r="R670" s="30" t="n">
        <x:v>2209.89</x:v>
      </x:c>
      <x:c r="S670" s="30" t="str">
        <x:v>{"completion_tokens": 35, "prompt_tokens": 146, "total_tokens": 181,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1">
      <x:c r="A671" s="30" t="str">
        <x:v>memos_medium:1469</x:v>
      </x:c>
      <x:c r="B671" s="30" t="str">
        <x:v>medium</x:v>
      </x:c>
      <x:c r="C671" s="30" t="str">
        <x:v>Multi-hop Inference</x:v>
      </x:c>
      <x:c r="D671" s="30" t="n">
        <x:v>1</x:v>
      </x:c>
      <x:c r="E671" s="30" t="str">
        <x:v>What strategies did Jennifer Martin explore to manage stress after her promotion on Jul 15, 2027?</x:v>
      </x:c>
      <x:c r="F671" s="30" t="str">
        <x:v>Delegation, time management, professional guidance</x:v>
      </x:c>
      <x:c r="G671" s="30" t="str">
        <x:v>Delegation, time management, guidance.</x:v>
      </x:c>
      <x:c r="H671" s="30" t="str">
        <x:v>deepseek-v4-flash</x:v>
      </x:c>
      <x:c r="I671" s="30" t="str">
        <x:v>deepseek-v4-flash</x:v>
      </x:c>
      <x:c r="J671" s="30" t="str">
        <x:v>8715226d10537619b2ca0ffb0a253195fa966e13e65184593801321564adc2c1</x:v>
      </x:c>
      <x:c r="K671" s="30" t="str">
        <x:v>db2452ef4a28680ecd4848178a5a538c398b76ad5588689852834fb7356f641c</x:v>
      </x:c>
      <x:c r="L671" s="30" t="n">
        <x:v>611.81</x:v>
      </x:c>
      <x:c r="M671" s="30" t="str">
        <x:v>{"completion_tokens": 9, "prompt_tokens": 577, "total_tokens": 586, "completion_tokens_details": null, "prompt_tokens_details": {"audio_tokens": null, "cached_tokens": 512}, "prompt_cache_hit_tokens": 512, "prompt_cache_miss_tokens": 65}</x:v>
      </x:c>
      <x:c r="N671" s="30" t="str">
        <x:v>correct</x:v>
      </x:c>
      <x:c r="O671"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claims.</x:v>
      </x:c>
      <x:c r="P671" s="30" t="str">
        <x:v>LongCat-2.0</x:v>
      </x:c>
      <x:c r="Q671" s="30" t="str">
        <x:v>LongCat-2.0</x:v>
      </x:c>
      <x:c r="R671" s="30" t="n">
        <x:v>3559.06</x:v>
      </x:c>
      <x:c r="S671" s="30" t="str">
        <x:v>{"completion_tokens": 79, "prompt_tokens": 158,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72">
      <x:c r="A672" s="30" t="str">
        <x:v>memos_medium:1469</x:v>
      </x:c>
      <x:c r="B672" s="30" t="str">
        <x:v>medium</x:v>
      </x:c>
      <x:c r="C672" s="30" t="str">
        <x:v>Multi-hop Inference</x:v>
      </x:c>
      <x:c r="D672" s="30" t="n">
        <x:v>2</x:v>
      </x:c>
      <x:c r="E672" s="30" t="str">
        <x:v>What strategies did Jennifer Martin explore to manage stress after her promotion on Jul 15, 2027?</x:v>
      </x:c>
      <x:c r="F672" s="30" t="str">
        <x:v>Delegation, time management, professional guidance</x:v>
      </x:c>
      <x:c r="G672" s="30" t="str">
        <x:v>Delegation, time management, guidance.</x:v>
      </x:c>
      <x:c r="H672" s="30" t="str">
        <x:v>deepseek-v4-flash</x:v>
      </x:c>
      <x:c r="I672" s="30" t="str">
        <x:v>deepseek-v4-flash</x:v>
      </x:c>
      <x:c r="J672" s="30" t="str">
        <x:v>8715226d10537619b2ca0ffb0a253195fa966e13e65184593801321564adc2c1</x:v>
      </x:c>
      <x:c r="K672" s="30" t="str">
        <x:v>db2452ef4a28680ecd4848178a5a538c398b76ad5588689852834fb7356f641c</x:v>
      </x:c>
      <x:c r="L672" s="30" t="n">
        <x:v>564.59</x:v>
      </x:c>
      <x:c r="M672" s="30" t="str">
        <x:v>{"completion_tokens": 9, "prompt_tokens": 577, "total_tokens": 586, "completion_tokens_details": null, "prompt_tokens_details": {"audio_tokens": null, "cached_tokens": 512}, "prompt_cache_hit_tokens": 512, "prompt_cache_miss_tokens": 65}</x:v>
      </x:c>
      <x:c r="N672" s="30" t="str">
        <x:v>correct</x:v>
      </x:c>
      <x:c r="O672"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the same concept.</x:v>
      </x:c>
      <x:c r="P672" s="30" t="str">
        <x:v>LongCat-2.0</x:v>
      </x:c>
      <x:c r="Q672" s="30" t="str">
        <x:v>LongCat-2.0</x:v>
      </x:c>
      <x:c r="R672" s="30" t="n">
        <x:v>3562.01</x:v>
      </x:c>
      <x:c r="S672" s="30" t="str">
        <x:v>{"completion_tokens": 70, "prompt_tokens": 158,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3">
      <x:c r="A673" s="30" t="str">
        <x:v>memos_medium:1469</x:v>
      </x:c>
      <x:c r="B673" s="30" t="str">
        <x:v>medium</x:v>
      </x:c>
      <x:c r="C673" s="30" t="str">
        <x:v>Multi-hop Inference</x:v>
      </x:c>
      <x:c r="D673" s="30" t="n">
        <x:v>3</x:v>
      </x:c>
      <x:c r="E673" s="30" t="str">
        <x:v>What strategies did Jennifer Martin explore to manage stress after her promotion on Jul 15, 2027?</x:v>
      </x:c>
      <x:c r="F673" s="30" t="str">
        <x:v>Delegation, time management, professional guidance</x:v>
      </x:c>
      <x:c r="G673" s="30" t="str">
        <x:v>Delegation, time management, guidance.</x:v>
      </x:c>
      <x:c r="H673" s="30" t="str">
        <x:v>deepseek-v4-flash</x:v>
      </x:c>
      <x:c r="I673" s="30" t="str">
        <x:v>deepseek-v4-flash</x:v>
      </x:c>
      <x:c r="J673" s="30" t="str">
        <x:v>8715226d10537619b2ca0ffb0a253195fa966e13e65184593801321564adc2c1</x:v>
      </x:c>
      <x:c r="K673" s="30" t="str">
        <x:v>db2452ef4a28680ecd4848178a5a538c398b76ad5588689852834fb7356f641c</x:v>
      </x:c>
      <x:c r="L673" s="30" t="n">
        <x:v>555.16</x:v>
      </x:c>
      <x:c r="M673" s="30" t="str">
        <x:v>{"completion_tokens": 9, "prompt_tokens": 577, "total_tokens": 586, "completion_tokens_details": null, "prompt_tokens_details": {"audio_tokens": null, "cached_tokens": 512}, "prompt_cache_hit_tokens": 512, "prompt_cache_miss_tokens": 65}</x:v>
      </x:c>
      <x:c r="N673" s="30" t="str">
        <x:v>correct</x:v>
      </x:c>
      <x:c r="O673" s="30" t="str">
        <x:v>The model answer includes all three strategies from the gold answer: delegation, time management, and guidance. The omission of 'professional' before 'guidance' is a minor wording difference that does not change the semantic meaning, as 'guidance' in this context clearly refers to professional guidance. The answer is complete and contains no false or unsupported claims.</x:v>
      </x:c>
      <x:c r="P673" s="30" t="str">
        <x:v>LongCat-2.0</x:v>
      </x:c>
      <x:c r="Q673" s="30" t="str">
        <x:v>LongCat-2.0</x:v>
      </x:c>
      <x:c r="R673" s="30" t="n">
        <x:v>2895.09</x:v>
      </x:c>
      <x:c r="S673" s="30" t="str">
        <x:v>{"completion_tokens": 81, "prompt_tokens": 158,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4">
      <x:c r="A674" s="30" t="str">
        <x:v>memos_medium:1470</x:v>
      </x:c>
      <x:c r="B674" s="30" t="str">
        <x:v>medium</x:v>
      </x:c>
      <x:c r="C674" s="30" t="str">
        <x:v>Multi-hop Inference</x:v>
      </x:c>
      <x:c r="D674" s="30" t="n">
        <x:v>1</x:v>
      </x:c>
      <x:c r="E674" s="30" t="str">
        <x:v>How did Jennifer Martin's health status change between Jul 15, 2027, and Nov 05, 2027?</x:v>
      </x:c>
      <x:c r="F674" s="30" t="str">
        <x:v>From poor to improved</x:v>
      </x:c>
      <x:c r="G674" s="30" t="str">
        <x:v>Improved from poor to better.</x:v>
      </x:c>
      <x:c r="H674" s="30" t="str">
        <x:v>deepseek-v4-flash</x:v>
      </x:c>
      <x:c r="I674" s="30" t="str">
        <x:v>deepseek-v4-flash</x:v>
      </x:c>
      <x:c r="J674" s="30" t="str">
        <x:v>120a0f569bc70514246e598ba04cfcce95485b9c0a4da00aa5cab51ed5559727</x:v>
      </x:c>
      <x:c r="K674" s="30" t="str">
        <x:v>58b2f2e5c4eb8bcb458717ebb7003975bbf436bc9ee1c6350bf1f2c383790787</x:v>
      </x:c>
      <x:c r="L674" s="30" t="n">
        <x:v>654.7</x:v>
      </x:c>
      <x:c r="M674" s="30" t="str">
        <x:v>{"completion_tokens": 6, "prompt_tokens": 581, "total_tokens": 587, "completion_tokens_details": null, "prompt_tokens_details": {"audio_tokens": null, "cached_tokens": 512}, "prompt_cache_hit_tokens": 512, "prompt_cache_miss_tokens": 69}</x:v>
      </x:c>
      <x:c r="N674" s="30" t="str">
        <x:v>correct</x:v>
      </x:c>
      <x:c r="O674" s="30" t="str">
        <x:v>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x:v>
      </x:c>
      <x:c r="P674" s="30" t="str">
        <x:v>LongCat-2.0</x:v>
      </x:c>
      <x:c r="Q674" s="30" t="str">
        <x:v>LongCat-2.0</x:v>
      </x:c>
      <x:c r="R674" s="30" t="n">
        <x:v>2869.2</x:v>
      </x:c>
      <x:c r="S674" s="30" t="str">
        <x:v>{"completion_tokens": 69, "prompt_tokens": 161,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75">
      <x:c r="A675" s="30" t="str">
        <x:v>memos_medium:1470</x:v>
      </x:c>
      <x:c r="B675" s="30" t="str">
        <x:v>medium</x:v>
      </x:c>
      <x:c r="C675" s="30" t="str">
        <x:v>Multi-hop Inference</x:v>
      </x:c>
      <x:c r="D675" s="30" t="n">
        <x:v>2</x:v>
      </x:c>
      <x:c r="E675" s="30" t="str">
        <x:v>How did Jennifer Martin's health status change between Jul 15, 2027, and Nov 05, 2027?</x:v>
      </x:c>
      <x:c r="F675" s="30" t="str">
        <x:v>From poor to improved</x:v>
      </x:c>
      <x:c r="G675" s="30" t="str">
        <x:v>Improved from poor to better.</x:v>
      </x:c>
      <x:c r="H675" s="30" t="str">
        <x:v>deepseek-v4-flash</x:v>
      </x:c>
      <x:c r="I675" s="30" t="str">
        <x:v>deepseek-v4-flash</x:v>
      </x:c>
      <x:c r="J675" s="30" t="str">
        <x:v>120a0f569bc70514246e598ba04cfcce95485b9c0a4da00aa5cab51ed5559727</x:v>
      </x:c>
      <x:c r="K675" s="30" t="str">
        <x:v>58b2f2e5c4eb8bcb458717ebb7003975bbf436bc9ee1c6350bf1f2c383790787</x:v>
      </x:c>
      <x:c r="L675" s="30" t="n">
        <x:v>1078.95</x:v>
      </x:c>
      <x:c r="M675" s="30" t="str">
        <x:v>{"completion_tokens": 6, "prompt_tokens": 581, "total_tokens": 587, "completion_tokens_details": null, "prompt_tokens_details": {"audio_tokens": null, "cached_tokens": 512}, "prompt_cache_hit_tokens": 512, "prompt_cache_miss_tokens": 69}</x:v>
      </x:c>
      <x:c r="N675" s="30" t="str">
        <x:v>correct</x:v>
      </x:c>
      <x:c r="O675" s="30" t="str">
        <x:v>The model answer 'Improved from poor to better' conveys the same semantic meaning as the gold answer 'From poor to improved'—both indicate that Jennifer Martin's health was poor and then got better. The wording differs slightly but the complete meaning is preserved without any contradiction or unsupported claims.</x:v>
      </x:c>
      <x:c r="P675" s="30" t="str">
        <x:v>LongCat-2.0</x:v>
      </x:c>
      <x:c r="Q675" s="30" t="str">
        <x:v>LongCat-2.0</x:v>
      </x:c>
      <x:c r="R675" s="30" t="n">
        <x:v>3592.76</x:v>
      </x:c>
      <x:c r="S675" s="30" t="str">
        <x:v>{"completion_tokens": 69, "prompt_tokens": 161,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6">
      <x:c r="A676" s="30" t="str">
        <x:v>memos_medium:1470</x:v>
      </x:c>
      <x:c r="B676" s="30" t="str">
        <x:v>medium</x:v>
      </x:c>
      <x:c r="C676" s="30" t="str">
        <x:v>Multi-hop Inference</x:v>
      </x:c>
      <x:c r="D676" s="30" t="n">
        <x:v>3</x:v>
      </x:c>
      <x:c r="E676" s="30" t="str">
        <x:v>How did Jennifer Martin's health status change between Jul 15, 2027, and Nov 05, 2027?</x:v>
      </x:c>
      <x:c r="F676" s="30" t="str">
        <x:v>From poor to improved</x:v>
      </x:c>
      <x:c r="G676" s="30" t="str">
        <x:v>Improved from poor to better.</x:v>
      </x:c>
      <x:c r="H676" s="30" t="str">
        <x:v>deepseek-v4-flash</x:v>
      </x:c>
      <x:c r="I676" s="30" t="str">
        <x:v>deepseek-v4-flash</x:v>
      </x:c>
      <x:c r="J676" s="30" t="str">
        <x:v>120a0f569bc70514246e598ba04cfcce95485b9c0a4da00aa5cab51ed5559727</x:v>
      </x:c>
      <x:c r="K676" s="30" t="str">
        <x:v>58b2f2e5c4eb8bcb458717ebb7003975bbf436bc9ee1c6350bf1f2c383790787</x:v>
      </x:c>
      <x:c r="L676" s="30" t="n">
        <x:v>923.25</x:v>
      </x:c>
      <x:c r="M676" s="30" t="str">
        <x:v>{"completion_tokens": 6, "prompt_tokens": 581, "total_tokens": 587, "completion_tokens_details": null, "prompt_tokens_details": {"audio_tokens": null, "cached_tokens": 512}, "prompt_cache_hit_tokens": 512, "prompt_cache_miss_tokens": 69}</x:v>
      </x:c>
      <x:c r="N676" s="30" t="str">
        <x:v>correct</x:v>
      </x:c>
      <x:c r="O676" s="30" t="str">
        <x:v>The model answer 'Improved from poor to better' conveys the same semantic meaning as the gold answer 'From poor to improved'—both indicate that Jennifer Martin's health started at a poor status and moved to a better/improved status. The wording differs slightly but the complete meaning is preserved without any contradiction or unsupported claims.</x:v>
      </x:c>
      <x:c r="P676" s="30" t="str">
        <x:v>LongCat-2.0</x:v>
      </x:c>
      <x:c r="Q676" s="30" t="str">
        <x:v>LongCat-2.0</x:v>
      </x:c>
      <x:c r="R676" s="30" t="n">
        <x:v>3892.16</x:v>
      </x:c>
      <x:c r="S676" s="30" t="str">
        <x:v>{"completion_tokens": 76, "prompt_tokens": 161,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7">
      <x:c r="A677" s="30" t="str">
        <x:v>memos_medium:1478</x:v>
      </x:c>
      <x:c r="B677" s="30" t="str">
        <x:v>medium</x:v>
      </x:c>
      <x:c r="C677" s="30" t="str">
        <x:v>Generalization &amp; Application</x:v>
      </x:c>
      <x:c r="D677" s="30" t="n">
        <x:v>1</x:v>
      </x:c>
      <x:c r="E677" s="30" t="str">
        <x:v>How might Jennifer Martin's preference for virtual tech conferences influence her choice of professional development activities in 2028?</x:v>
      </x:c>
      <x:c r="F677" s="30" t="str">
        <x:v>She may prioritize online courses or webinars.</x:v>
      </x:c>
      <x:c r="G677" s="30" t="str">
        <x:v>Prefer virtual tech conferences.</x:v>
      </x:c>
      <x:c r="H677" s="30" t="str">
        <x:v>deepseek-v4-flash</x:v>
      </x:c>
      <x:c r="I677" s="30" t="str">
        <x:v>deepseek-v4-flash</x:v>
      </x:c>
      <x:c r="J677" s="30" t="str">
        <x:v>e9489f70d31db14a82d50f4f26991f0a5aff499474a5c34e8cf29e6692cb562b</x:v>
      </x:c>
      <x:c r="K677" s="30" t="str">
        <x:v>797b46cf705cb9e9cf4d7c493f38ae4a6bebb38ef1907896a2469d9d197d337f</x:v>
      </x:c>
      <x:c r="L677" s="30" t="n">
        <x:v>683.37</x:v>
      </x:c>
      <x:c r="M677" s="30" t="str">
        <x:v>{"completion_tokens": 6, "prompt_tokens": 628, "total_tokens": 634, "completion_tokens_details": null, "prompt_tokens_details": {"audio_tokens": null, "cached_tokens": 512}, "prompt_cache_hit_tokens": 512, "prompt_cache_miss_tokens": 116}</x:v>
      </x:c>
      <x:c r="N677" s="30" t="str">
        <x:v>omission</x:v>
      </x:c>
      <x:c r="O677"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P677" s="30" t="str">
        <x:v>LongCat-2.0</x:v>
      </x:c>
      <x:c r="Q677" s="30" t="str">
        <x:v>LongCat-2.0</x:v>
      </x:c>
      <x:c r="R677" s="30" t="n">
        <x:v>2996.03</x:v>
      </x:c>
      <x:c r="S677" s="30" t="str">
        <x:v>{"completion_tokens": 79, "prompt_tokens": 157, "total_tokens": 236,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78">
      <x:c r="A678" s="30" t="str">
        <x:v>memos_medium:1478</x:v>
      </x:c>
      <x:c r="B678" s="30" t="str">
        <x:v>medium</x:v>
      </x:c>
      <x:c r="C678" s="30" t="str">
        <x:v>Generalization &amp; Application</x:v>
      </x:c>
      <x:c r="D678" s="30" t="n">
        <x:v>2</x:v>
      </x:c>
      <x:c r="E678" s="30" t="str">
        <x:v>How might Jennifer Martin's preference for virtual tech conferences influence her choice of professional development activities in 2028?</x:v>
      </x:c>
      <x:c r="F678" s="30" t="str">
        <x:v>She may prioritize online courses or webinars.</x:v>
      </x:c>
      <x:c r="G678" s="30" t="str">
        <x:v>Prefer virtual tech conferences.</x:v>
      </x:c>
      <x:c r="H678" s="30" t="str">
        <x:v>deepseek-v4-flash</x:v>
      </x:c>
      <x:c r="I678" s="30" t="str">
        <x:v>deepseek-v4-flash</x:v>
      </x:c>
      <x:c r="J678" s="30" t="str">
        <x:v>e9489f70d31db14a82d50f4f26991f0a5aff499474a5c34e8cf29e6692cb562b</x:v>
      </x:c>
      <x:c r="K678" s="30" t="str">
        <x:v>797b46cf705cb9e9cf4d7c493f38ae4a6bebb38ef1907896a2469d9d197d337f</x:v>
      </x:c>
      <x:c r="L678" s="30" t="n">
        <x:v>922.25</x:v>
      </x:c>
      <x:c r="M678" s="30" t="str">
        <x:v>{"completion_tokens": 6, "prompt_tokens": 628, "total_tokens": 634, "completion_tokens_details": null, "prompt_tokens_details": {"audio_tokens": null, "cached_tokens": 512}, "prompt_cache_hit_tokens": 512, "prompt_cache_miss_tokens": 116}</x:v>
      </x:c>
      <x:c r="N678" s="30" t="str">
        <x:v>omission</x:v>
      </x:c>
      <x:c r="O678"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P678" s="30" t="str">
        <x:v>LongCat-2.0</x:v>
      </x:c>
      <x:c r="Q678" s="30" t="str">
        <x:v>LongCat-2.0</x:v>
      </x:c>
      <x:c r="R678" s="30" t="n">
        <x:v>3665.18</x:v>
      </x:c>
      <x:c r="S678" s="30" t="str">
        <x:v>{"completion_tokens": 79, "prompt_tokens": 157,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79">
      <x:c r="A679" s="30" t="str">
        <x:v>memos_medium:1478</x:v>
      </x:c>
      <x:c r="B679" s="30" t="str">
        <x:v>medium</x:v>
      </x:c>
      <x:c r="C679" s="30" t="str">
        <x:v>Generalization &amp; Application</x:v>
      </x:c>
      <x:c r="D679" s="30" t="n">
        <x:v>3</x:v>
      </x:c>
      <x:c r="E679" s="30" t="str">
        <x:v>How might Jennifer Martin's preference for virtual tech conferences influence her choice of professional development activities in 2028?</x:v>
      </x:c>
      <x:c r="F679" s="30" t="str">
        <x:v>She may prioritize online courses or webinars.</x:v>
      </x:c>
      <x:c r="G679" s="30" t="str">
        <x:v>Prefer virtual tech conferences.</x:v>
      </x:c>
      <x:c r="H679" s="30" t="str">
        <x:v>deepseek-v4-flash</x:v>
      </x:c>
      <x:c r="I679" s="30" t="str">
        <x:v>deepseek-v4-flash</x:v>
      </x:c>
      <x:c r="J679" s="30" t="str">
        <x:v>e9489f70d31db14a82d50f4f26991f0a5aff499474a5c34e8cf29e6692cb562b</x:v>
      </x:c>
      <x:c r="K679" s="30" t="str">
        <x:v>797b46cf705cb9e9cf4d7c493f38ae4a6bebb38ef1907896a2469d9d197d337f</x:v>
      </x:c>
      <x:c r="L679" s="30" t="n">
        <x:v>772.53</x:v>
      </x:c>
      <x:c r="M679" s="30" t="str">
        <x:v>{"completion_tokens": 6, "prompt_tokens": 628, "total_tokens": 634, "completion_tokens_details": null, "prompt_tokens_details": {"audio_tokens": null, "cached_tokens": 512}, "prompt_cache_hit_tokens": 512, "prompt_cache_miss_tokens": 116}</x:v>
      </x:c>
      <x:c r="N679" s="30" t="str">
        <x:v>omission</x:v>
      </x:c>
      <x:c r="O679" s="30" t="str">
        <x:v>The model answer 'Prefer virtual tech conferences' merely restates the premise of the question rather than providing the complete gold answer, which specifies that she may prioritize online courses or webinars. It does not add a concrete false claim, but it fails to give a complete answer to the question about her choice of professional development activities.</x:v>
      </x:c>
      <x:c r="P679" s="30" t="str">
        <x:v>LongCat-2.0</x:v>
      </x:c>
      <x:c r="Q679" s="30" t="str">
        <x:v>LongCat-2.0</x:v>
      </x:c>
      <x:c r="R679" s="30" t="n">
        <x:v>2914.84</x:v>
      </x:c>
      <x:c r="S679" s="30" t="str">
        <x:v>{"completion_tokens": 79, "prompt_tokens": 157,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0">
      <x:c r="A680" s="30" t="str">
        <x:v>memos_medium:1513</x:v>
      </x:c>
      <x:c r="B680" s="30" t="str">
        <x:v>medium</x:v>
      </x:c>
      <x:c r="C680" s="30" t="str">
        <x:v>Generalization &amp; Application</x:v>
      </x:c>
      <x:c r="D680" s="30" t="n">
        <x:v>1</x:v>
      </x:c>
      <x:c r="E680" s="30" t="str">
        <x:v>What new herbal tea blends might Jennifer Martin enjoy after Jan 19, 2031?</x:v>
      </x:c>
      <x:c r="F680" s="30" t="str">
        <x:v>Blends offering unique flavors and health benefits.</x:v>
      </x:c>
      <x:c r="G680" s="30" t="str">
        <x:v>Jennifer Martin enjoys new herbal tea blends.</x:v>
      </x:c>
      <x:c r="H680" s="30" t="str">
        <x:v>deepseek-v4-flash</x:v>
      </x:c>
      <x:c r="I680" s="30" t="str">
        <x:v>deepseek-v4-flash</x:v>
      </x:c>
      <x:c r="J680" s="30" t="str">
        <x:v>f74db479b949bb8dd9fdf0e5f5c44368c0fe4b0290aef01717415141405feff5</x:v>
      </x:c>
      <x:c r="K680" s="30" t="str">
        <x:v>76807810ddaaeff339b5cdb2d75be5120f1ebaf461465a9e260007c0dc1a555f</x:v>
      </x:c>
      <x:c r="L680" s="30" t="n">
        <x:v>913.82</x:v>
      </x:c>
      <x:c r="M680" s="30" t="str">
        <x:v>{"completion_tokens": 8, "prompt_tokens": 596, "total_tokens": 604, "completion_tokens_details": null, "prompt_tokens_details": {"audio_tokens": null, "cached_tokens": 512}, "prompt_cache_hit_tokens": 512, "prompt_cache_miss_tokens": 84}</x:v>
      </x:c>
      <x:c r="N680" s="30" t="str">
        <x:v>omission</x:v>
      </x:c>
      <x:c r="O680"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P680" s="30" t="str">
        <x:v>LongCat-2.0</x:v>
      </x:c>
      <x:c r="Q680" s="30" t="str">
        <x:v>LongCat-2.0</x:v>
      </x:c>
      <x:c r="R680" s="30" t="n">
        <x:v>4257.76</x:v>
      </x:c>
      <x:c r="S680" s="30" t="str">
        <x:v>{"completion_tokens": 57, "prompt_tokens": 155,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1">
      <x:c r="A681" s="30" t="str">
        <x:v>memos_medium:1513</x:v>
      </x:c>
      <x:c r="B681" s="30" t="str">
        <x:v>medium</x:v>
      </x:c>
      <x:c r="C681" s="30" t="str">
        <x:v>Generalization &amp; Application</x:v>
      </x:c>
      <x:c r="D681" s="30" t="n">
        <x:v>2</x:v>
      </x:c>
      <x:c r="E681" s="30" t="str">
        <x:v>What new herbal tea blends might Jennifer Martin enjoy after Jan 19, 2031?</x:v>
      </x:c>
      <x:c r="F681" s="30" t="str">
        <x:v>Blends offering unique flavors and health benefits.</x:v>
      </x:c>
      <x:c r="G681" s="30" t="str">
        <x:v>Jennifer Martin enjoys new herbal tea blends.</x:v>
      </x:c>
      <x:c r="H681" s="30" t="str">
        <x:v>deepseek-v4-flash</x:v>
      </x:c>
      <x:c r="I681" s="30" t="str">
        <x:v>deepseek-v4-flash</x:v>
      </x:c>
      <x:c r="J681" s="30" t="str">
        <x:v>f74db479b949bb8dd9fdf0e5f5c44368c0fe4b0290aef01717415141405feff5</x:v>
      </x:c>
      <x:c r="K681" s="30" t="str">
        <x:v>76807810ddaaeff339b5cdb2d75be5120f1ebaf461465a9e260007c0dc1a555f</x:v>
      </x:c>
      <x:c r="L681" s="30" t="n">
        <x:v>716.64</x:v>
      </x:c>
      <x:c r="M681" s="30" t="str">
        <x:v>{"completion_tokens": 8, "prompt_tokens": 596, "total_tokens": 604, "completion_tokens_details": null, "prompt_tokens_details": {"audio_tokens": null, "cached_tokens": 512}, "prompt_cache_hit_tokens": 512, "prompt_cache_miss_tokens": 84}</x:v>
      </x:c>
      <x:c r="N681" s="30" t="str">
        <x:v>omission</x:v>
      </x:c>
      <x:c r="O681"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P681" s="30" t="str">
        <x:v>LongCat-2.0</x:v>
      </x:c>
      <x:c r="Q681" s="30" t="str">
        <x:v>LongCat-2.0</x:v>
      </x:c>
      <x:c r="R681" s="30" t="n">
        <x:v>2574.67</x:v>
      </x:c>
      <x:c r="S681" s="30" t="str">
        <x:v>{"completion_tokens": 57, "prompt_tokens": 155,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2">
      <x:c r="A682" s="30" t="str">
        <x:v>memos_medium:1513</x:v>
      </x:c>
      <x:c r="B682" s="30" t="str">
        <x:v>medium</x:v>
      </x:c>
      <x:c r="C682" s="30" t="str">
        <x:v>Generalization &amp; Application</x:v>
      </x:c>
      <x:c r="D682" s="30" t="n">
        <x:v>3</x:v>
      </x:c>
      <x:c r="E682" s="30" t="str">
        <x:v>What new herbal tea blends might Jennifer Martin enjoy after Jan 19, 2031?</x:v>
      </x:c>
      <x:c r="F682" s="30" t="str">
        <x:v>Blends offering unique flavors and health benefits.</x:v>
      </x:c>
      <x:c r="G682" s="30" t="str">
        <x:v>Jennifer Martin enjoys new herbal tea blends.</x:v>
      </x:c>
      <x:c r="H682" s="30" t="str">
        <x:v>deepseek-v4-flash</x:v>
      </x:c>
      <x:c r="I682" s="30" t="str">
        <x:v>deepseek-v4-flash</x:v>
      </x:c>
      <x:c r="J682" s="30" t="str">
        <x:v>f74db479b949bb8dd9fdf0e5f5c44368c0fe4b0290aef01717415141405feff5</x:v>
      </x:c>
      <x:c r="K682" s="30" t="str">
        <x:v>76807810ddaaeff339b5cdb2d75be5120f1ebaf461465a9e260007c0dc1a555f</x:v>
      </x:c>
      <x:c r="L682" s="30" t="n">
        <x:v>592.74</x:v>
      </x:c>
      <x:c r="M682" s="30" t="str">
        <x:v>{"completion_tokens": 8, "prompt_tokens": 596, "total_tokens": 604, "completion_tokens_details": null, "prompt_tokens_details": {"audio_tokens": null, "cached_tokens": 512}, "prompt_cache_hit_tokens": 512, "prompt_cache_miss_tokens": 84}</x:v>
      </x:c>
      <x:c r="N682" s="30" t="str">
        <x:v>omission</x:v>
      </x:c>
      <x:c r="O682" s="30" t="str">
        <x:v>The model answer states that Jennifer Martin enjoys new herbal tea blends but does not mention the unique flavors and health benefits that the gold answer specifies. It provides only an incomplete subset of the gold answer without adding a concrete false claim.</x:v>
      </x:c>
      <x:c r="P682" s="30" t="str">
        <x:v>LongCat-2.0</x:v>
      </x:c>
      <x:c r="Q682" s="30" t="str">
        <x:v>LongCat-2.0</x:v>
      </x:c>
      <x:c r="R682" s="30" t="n">
        <x:v>2474.56</x:v>
      </x:c>
      <x:c r="S682" s="30" t="str">
        <x:v>{"completion_tokens": 57, "prompt_tokens": 155,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83">
      <x:c r="A683" s="30" t="str">
        <x:v>memos_medium:1530</x:v>
      </x:c>
      <x:c r="B683" s="30" t="str">
        <x:v>medium</x:v>
      </x:c>
      <x:c r="C683" s="30" t="str">
        <x:v>Dynamic Update</x:v>
      </x:c>
      <x:c r="D683" s="30" t="n">
        <x:v>1</x:v>
      </x:c>
      <x:c r="E683" s="30" t="str">
        <x:v>What is the latest change in Jennifer Martin's mental health status as of Feb 10, 2032?</x:v>
      </x:c>
      <x:c r="F683" s="30" t="str">
        <x:v>Anxious due to job loss-related stress.</x:v>
      </x:c>
      <x:c r="G683" s="30" t="str">
        <x:v>Anxious</x:v>
      </x:c>
      <x:c r="H683" s="30" t="str">
        <x:v>deepseek-v4-flash</x:v>
      </x:c>
      <x:c r="I683" s="30" t="str">
        <x:v>deepseek-v4-flash</x:v>
      </x:c>
      <x:c r="J683" s="30" t="str">
        <x:v>fa6dbda9a3b4b444b1557f37fedb3593c88b682cefceacf0ad82882a8e021fd0</x:v>
      </x:c>
      <x:c r="K683" s="30" t="str">
        <x:v>45e7988d69afdff145410629111486355eb555cb6eb5d8ced8db980b85d0be21</x:v>
      </x:c>
      <x:c r="L683" s="30" t="n">
        <x:v>854.61</x:v>
      </x:c>
      <x:c r="M683" s="30" t="str">
        <x:v>{"completion_tokens": 2, "prompt_tokens": 564, "total_tokens": 566, "completion_tokens_details": null, "prompt_tokens_details": {"audio_tokens": null, "cached_tokens": 512}, "prompt_cache_hit_tokens": 512, "prompt_cache_miss_tokens": 52}</x:v>
      </x:c>
      <x:c r="N683" s="30" t="str">
        <x:v>omission</x:v>
      </x:c>
      <x:c r="O683" s="30" t="str">
        <x:v>The model answer 'Anxious' captures only a subset of the gold answer 'Anxious due to job loss-related stress' and omits the key causal detail 'due to job loss-related stress' without adding any false claim.</x:v>
      </x:c>
      <x:c r="P683" s="30" t="str">
        <x:v>LongCat-2.0</x:v>
      </x:c>
      <x:c r="Q683" s="30" t="str">
        <x:v>LongCat-2.0</x:v>
      </x:c>
      <x:c r="R683" s="30" t="n">
        <x:v>3876.8</x:v>
      </x:c>
      <x:c r="S683" s="30" t="str">
        <x:v>{"completion_tokens": 60, "prompt_tokens": 156,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4">
      <x:c r="A684" s="30" t="str">
        <x:v>memos_medium:1530</x:v>
      </x:c>
      <x:c r="B684" s="30" t="str">
        <x:v>medium</x:v>
      </x:c>
      <x:c r="C684" s="30" t="str">
        <x:v>Dynamic Update</x:v>
      </x:c>
      <x:c r="D684" s="30" t="n">
        <x:v>2</x:v>
      </x:c>
      <x:c r="E684" s="30" t="str">
        <x:v>What is the latest change in Jennifer Martin's mental health status as of Feb 10, 2032?</x:v>
      </x:c>
      <x:c r="F684" s="30" t="str">
        <x:v>Anxious due to job loss-related stress.</x:v>
      </x:c>
      <x:c r="G684" s="30" t="str">
        <x:v>Anxious</x:v>
      </x:c>
      <x:c r="H684" s="30" t="str">
        <x:v>deepseek-v4-flash</x:v>
      </x:c>
      <x:c r="I684" s="30" t="str">
        <x:v>deepseek-v4-flash</x:v>
      </x:c>
      <x:c r="J684" s="30" t="str">
        <x:v>fa6dbda9a3b4b444b1557f37fedb3593c88b682cefceacf0ad82882a8e021fd0</x:v>
      </x:c>
      <x:c r="K684" s="30" t="str">
        <x:v>45e7988d69afdff145410629111486355eb555cb6eb5d8ced8db980b85d0be21</x:v>
      </x:c>
      <x:c r="L684" s="30" t="n">
        <x:v>829.42</x:v>
      </x:c>
      <x:c r="M684" s="30" t="str">
        <x:v>{"completion_tokens": 2, "prompt_tokens": 564, "total_tokens": 566, "completion_tokens_details": null, "prompt_tokens_details": {"audio_tokens": null, "cached_tokens": 512}, "prompt_cache_hit_tokens": 512, "prompt_cache_miss_tokens": 52}</x:v>
      </x:c>
      <x:c r="N684" s="30" t="str">
        <x:v>omission</x:v>
      </x:c>
      <x:c r="O684" s="30" t="str">
        <x:v>The model answer 'Anxious' captures only a subset of the gold answer 'Anxious due to job loss-related stress' and omits the key causal detail 'due to job loss-related stress' without adding any false claim.</x:v>
      </x:c>
      <x:c r="P684" s="30" t="str">
        <x:v>LongCat-2.0</x:v>
      </x:c>
      <x:c r="Q684" s="30" t="str">
        <x:v>LongCat-2.0</x:v>
      </x:c>
      <x:c r="R684" s="30" t="n">
        <x:v>3493.59</x:v>
      </x:c>
      <x:c r="S684" s="30" t="str">
        <x:v>{"completion_tokens": 60, "prompt_tokens": 156,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5">
      <x:c r="A685" s="30" t="str">
        <x:v>memos_medium:1530</x:v>
      </x:c>
      <x:c r="B685" s="30" t="str">
        <x:v>medium</x:v>
      </x:c>
      <x:c r="C685" s="30" t="str">
        <x:v>Dynamic Update</x:v>
      </x:c>
      <x:c r="D685" s="30" t="n">
        <x:v>3</x:v>
      </x:c>
      <x:c r="E685" s="30" t="str">
        <x:v>What is the latest change in Jennifer Martin's mental health status as of Feb 10, 2032?</x:v>
      </x:c>
      <x:c r="F685" s="30" t="str">
        <x:v>Anxious due to job loss-related stress.</x:v>
      </x:c>
      <x:c r="G685" s="30" t="str">
        <x:v>Anxious</x:v>
      </x:c>
      <x:c r="H685" s="30" t="str">
        <x:v>deepseek-v4-flash</x:v>
      </x:c>
      <x:c r="I685" s="30" t="str">
        <x:v>deepseek-v4-flash</x:v>
      </x:c>
      <x:c r="J685" s="30" t="str">
        <x:v>fa6dbda9a3b4b444b1557f37fedb3593c88b682cefceacf0ad82882a8e021fd0</x:v>
      </x:c>
      <x:c r="K685" s="30" t="str">
        <x:v>45e7988d69afdff145410629111486355eb555cb6eb5d8ced8db980b85d0be21</x:v>
      </x:c>
      <x:c r="L685" s="30" t="n">
        <x:v>575.38</x:v>
      </x:c>
      <x:c r="M685" s="30" t="str">
        <x:v>{"completion_tokens": 2, "prompt_tokens": 564, "total_tokens": 566, "completion_tokens_details": null, "prompt_tokens_details": {"audio_tokens": null, "cached_tokens": 512}, "prompt_cache_hit_tokens": 512, "prompt_cache_miss_tokens": 52}</x:v>
      </x:c>
      <x:c r="N685" s="30" t="str">
        <x:v>omission</x:v>
      </x:c>
      <x:c r="O685" s="30" t="str">
        <x:v>The model answer 'Anxious' captures only a subset of the gold answer 'Anxious due to job loss-related stress' and omits the key causal detail 'due to job loss-related stress' without adding any false claim.</x:v>
      </x:c>
      <x:c r="P685" s="30" t="str">
        <x:v>LongCat-2.0</x:v>
      </x:c>
      <x:c r="Q685" s="30" t="str">
        <x:v>LongCat-2.0</x:v>
      </x:c>
      <x:c r="R685" s="30" t="n">
        <x:v>3964.53</x:v>
      </x:c>
      <x:c r="S685" s="30" t="str">
        <x:v>{"completion_tokens": 60, "prompt_tokens": 156,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86">
      <x:c r="A686" s="30" t="str">
        <x:v>memos_medium:1532</x:v>
      </x:c>
      <x:c r="B686" s="30" t="str">
        <x:v>medium</x:v>
      </x:c>
      <x:c r="C686" s="30" t="str">
        <x:v>Generalization &amp; Application</x:v>
      </x:c>
      <x:c r="D686" s="30" t="n">
        <x:v>1</x:v>
      </x:c>
      <x:c r="E686" s="30" t="str">
        <x:v>What strategies might Jennifer use to manage stress effectively after her layoff on 2031-11-01?</x:v>
      </x:c>
      <x:c r="F686" s="30" t="str">
        <x:v>Mindfulness and regular exercise.</x:v>
      </x:c>
      <x:c r="G686" s="30" t="str">
        <x:v>Mindfulness and regular exercise.</x:v>
      </x:c>
      <x:c r="H686" s="30" t="str">
        <x:v>deepseek-v4-flash</x:v>
      </x:c>
      <x:c r="I686" s="30" t="str">
        <x:v>deepseek-v4-flash</x:v>
      </x:c>
      <x:c r="J686" s="30" t="str">
        <x:v>94de0eabe63ea2937b1cef00c523d920fef8459edb27a8632c2b7605c1ac59e7</x:v>
      </x:c>
      <x:c r="K686" s="30" t="str">
        <x:v>3a81f27cef17c572c51997733dac1db205ee4b6777c4556c42dd338b88b1dec4</x:v>
      </x:c>
      <x:c r="L686" s="30" t="n">
        <x:v>735.06</x:v>
      </x:c>
      <x:c r="M686" s="30" t="str">
        <x:v>{"completion_tokens": 6, "prompt_tokens": 595, "total_tokens": 601, "completion_tokens_details": null, "prompt_tokens_details": {"audio_tokens": null, "cached_tokens": 512}, "prompt_cache_hit_tokens": 512, "prompt_cache_miss_tokens": 83}</x:v>
      </x:c>
      <x:c r="N686" s="30" t="str">
        <x:v>correct</x:v>
      </x:c>
      <x:c r="O686" s="30" t="str">
        <x:v>The model answer exactly matches the gold answer, providing the complete set of strategies (mindfulness and regular exercise) without any omissions or incorrect additions.</x:v>
      </x:c>
      <x:c r="P686" s="30" t="str">
        <x:v>LongCat-2.0</x:v>
      </x:c>
      <x:c r="Q686" s="30" t="str">
        <x:v>LongCat-2.0</x:v>
      </x:c>
      <x:c r="R686" s="30" t="n">
        <x:v>2149.13</x:v>
      </x:c>
      <x:c r="S686" s="30" t="str">
        <x:v>{"completion_tokens": 41, "prompt_tokens": 155, "total_tokens": 196,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87">
      <x:c r="A687" s="30" t="str">
        <x:v>memos_medium:1532</x:v>
      </x:c>
      <x:c r="B687" s="30" t="str">
        <x:v>medium</x:v>
      </x:c>
      <x:c r="C687" s="30" t="str">
        <x:v>Generalization &amp; Application</x:v>
      </x:c>
      <x:c r="D687" s="30" t="n">
        <x:v>2</x:v>
      </x:c>
      <x:c r="E687" s="30" t="str">
        <x:v>What strategies might Jennifer use to manage stress effectively after her layoff on 2031-11-01?</x:v>
      </x:c>
      <x:c r="F687" s="30" t="str">
        <x:v>Mindfulness and regular exercise.</x:v>
      </x:c>
      <x:c r="G687" s="30" t="str">
        <x:v>Mindfulness and regular exercise.</x:v>
      </x:c>
      <x:c r="H687" s="30" t="str">
        <x:v>deepseek-v4-flash</x:v>
      </x:c>
      <x:c r="I687" s="30" t="str">
        <x:v>deepseek-v4-flash</x:v>
      </x:c>
      <x:c r="J687" s="30" t="str">
        <x:v>94de0eabe63ea2937b1cef00c523d920fef8459edb27a8632c2b7605c1ac59e7</x:v>
      </x:c>
      <x:c r="K687" s="30" t="str">
        <x:v>3a81f27cef17c572c51997733dac1db205ee4b6777c4556c42dd338b88b1dec4</x:v>
      </x:c>
      <x:c r="L687" s="30" t="n">
        <x:v>745.16</x:v>
      </x:c>
      <x:c r="M687" s="30" t="str">
        <x:v>{"completion_tokens": 6, "prompt_tokens": 595, "total_tokens": 601, "completion_tokens_details": null, "prompt_tokens_details": {"audio_tokens": null, "cached_tokens": 512}, "prompt_cache_hit_tokens": 512, "prompt_cache_miss_tokens": 83}</x:v>
      </x:c>
      <x:c r="N687" s="30" t="str">
        <x:v>correct</x:v>
      </x:c>
      <x:c r="O687" s="30" t="str">
        <x:v>The model answer exactly matches the gold answer, providing the complete set of strategies (mindfulness and regular exercise) without any omissions or incorrect additions.</x:v>
      </x:c>
      <x:c r="P687" s="30" t="str">
        <x:v>LongCat-2.0</x:v>
      </x:c>
      <x:c r="Q687" s="30" t="str">
        <x:v>LongCat-2.0</x:v>
      </x:c>
      <x:c r="R687" s="30" t="n">
        <x:v>2028.41</x:v>
      </x:c>
      <x:c r="S687" s="30" t="str">
        <x:v>{"completion_tokens": 41, "prompt_tokens": 155,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8">
      <x:c r="A688" s="30" t="str">
        <x:v>memos_medium:1532</x:v>
      </x:c>
      <x:c r="B688" s="30" t="str">
        <x:v>medium</x:v>
      </x:c>
      <x:c r="C688" s="30" t="str">
        <x:v>Generalization &amp; Application</x:v>
      </x:c>
      <x:c r="D688" s="30" t="n">
        <x:v>3</x:v>
      </x:c>
      <x:c r="E688" s="30" t="str">
        <x:v>What strategies might Jennifer use to manage stress effectively after her layoff on 2031-11-01?</x:v>
      </x:c>
      <x:c r="F688" s="30" t="str">
        <x:v>Mindfulness and regular exercise.</x:v>
      </x:c>
      <x:c r="G688" s="30" t="str">
        <x:v>Mindfulness and regular exercise.</x:v>
      </x:c>
      <x:c r="H688" s="30" t="str">
        <x:v>deepseek-v4-flash</x:v>
      </x:c>
      <x:c r="I688" s="30" t="str">
        <x:v>deepseek-v4-flash</x:v>
      </x:c>
      <x:c r="J688" s="30" t="str">
        <x:v>94de0eabe63ea2937b1cef00c523d920fef8459edb27a8632c2b7605c1ac59e7</x:v>
      </x:c>
      <x:c r="K688" s="30" t="str">
        <x:v>3a81f27cef17c572c51997733dac1db205ee4b6777c4556c42dd338b88b1dec4</x:v>
      </x:c>
      <x:c r="L688" s="30" t="n">
        <x:v>685.17</x:v>
      </x:c>
      <x:c r="M688" s="30" t="str">
        <x:v>{"completion_tokens": 6, "prompt_tokens": 595, "total_tokens": 601, "completion_tokens_details": null, "prompt_tokens_details": {"audio_tokens": null, "cached_tokens": 512}, "prompt_cache_hit_tokens": 512, "prompt_cache_miss_tokens": 83}</x:v>
      </x:c>
      <x:c r="N688" s="30" t="str">
        <x:v>correct</x:v>
      </x:c>
      <x:c r="O688" s="30" t="str">
        <x:v>The model answer exactly matches the benchmark gold answer, providing the complete set of strategies (mindfulness and regular exercise) without any omissions or incorrect additions.</x:v>
      </x:c>
      <x:c r="P688" s="30" t="str">
        <x:v>LongCat-2.0</x:v>
      </x:c>
      <x:c r="Q688" s="30" t="str">
        <x:v>LongCat-2.0</x:v>
      </x:c>
      <x:c r="R688" s="30" t="n">
        <x:v>3170.77</x:v>
      </x:c>
      <x:c r="S688" s="30" t="str">
        <x:v>{"completion_tokens": 42, "prompt_tokens": 155, "total_tokens": 197,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89">
      <x:c r="A689" s="30" t="str">
        <x:v>memos_medium:1548</x:v>
      </x:c>
      <x:c r="B689" s="30" t="str">
        <x:v>medium</x:v>
      </x:c>
      <x:c r="C689" s="30" t="str">
        <x:v>Generalization &amp; Application</x:v>
      </x:c>
      <x:c r="D689" s="30" t="n">
        <x:v>1</x:v>
      </x:c>
      <x:c r="E689" s="30" t="str">
        <x:v>How does Jennifer's exploratory motivation influence her engagement at industry conferences in 2033?</x:v>
      </x:c>
      <x:c r="F689" s="30" t="str">
        <x:v>It drives her to test industry boundaries.</x:v>
      </x:c>
      <x:c r="G689" s="30" t="str">
        <x:v>Tests industry boundaries.</x:v>
      </x:c>
      <x:c r="H689" s="30" t="str">
        <x:v>deepseek-v4-flash</x:v>
      </x:c>
      <x:c r="I689" s="30" t="str">
        <x:v>deepseek-v4-flash</x:v>
      </x:c>
      <x:c r="J689" s="30" t="str">
        <x:v>1e82c893812998ea4a5716d013f7d79660afd73b876752ab191cf9d232c0fe00</x:v>
      </x:c>
      <x:c r="K689" s="30" t="str">
        <x:v>37b02a3e7427bc54215d6e7c8138a5bbbbf194ede00b8a878e1c6e7aaababaf1</x:v>
      </x:c>
      <x:c r="L689" s="30" t="n">
        <x:v>527.26</x:v>
      </x:c>
      <x:c r="M689" s="30" t="str">
        <x:v>{"completion_tokens": 4, "prompt_tokens": 562, "total_tokens": 566, "completion_tokens_details": null, "prompt_tokens_details": {"audio_tokens": null, "cached_tokens": 512}, "prompt_cache_hit_tokens": 512, "prompt_cache_miss_tokens": 50}</x:v>
      </x:c>
      <x:c r="N689" s="30" t="str">
        <x:v>correct</x:v>
      </x:c>
      <x:c r="O689"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P689" s="30" t="str">
        <x:v>LongCat-2.0</x:v>
      </x:c>
      <x:c r="Q689" s="30" t="str">
        <x:v>LongCat-2.0</x:v>
      </x:c>
      <x:c r="R689" s="30" t="n">
        <x:v>5651.98</x:v>
      </x:c>
      <x:c r="S689" s="30" t="str">
        <x:v>{"completion_tokens": 68, "prompt_tokens": 148,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90">
      <x:c r="A690" s="30" t="str">
        <x:v>memos_medium:1548</x:v>
      </x:c>
      <x:c r="B690" s="30" t="str">
        <x:v>medium</x:v>
      </x:c>
      <x:c r="C690" s="30" t="str">
        <x:v>Generalization &amp; Application</x:v>
      </x:c>
      <x:c r="D690" s="30" t="n">
        <x:v>2</x:v>
      </x:c>
      <x:c r="E690" s="30" t="str">
        <x:v>How does Jennifer's exploratory motivation influence her engagement at industry conferences in 2033?</x:v>
      </x:c>
      <x:c r="F690" s="30" t="str">
        <x:v>It drives her to test industry boundaries.</x:v>
      </x:c>
      <x:c r="G690" s="30" t="str">
        <x:v>Tests industry boundaries.</x:v>
      </x:c>
      <x:c r="H690" s="30" t="str">
        <x:v>deepseek-v4-flash</x:v>
      </x:c>
      <x:c r="I690" s="30" t="str">
        <x:v>deepseek-v4-flash</x:v>
      </x:c>
      <x:c r="J690" s="30" t="str">
        <x:v>1e82c893812998ea4a5716d013f7d79660afd73b876752ab191cf9d232c0fe00</x:v>
      </x:c>
      <x:c r="K690" s="30" t="str">
        <x:v>37b02a3e7427bc54215d6e7c8138a5bbbbf194ede00b8a878e1c6e7aaababaf1</x:v>
      </x:c>
      <x:c r="L690" s="30" t="n">
        <x:v>779.18</x:v>
      </x:c>
      <x:c r="M690" s="30" t="str">
        <x:v>{"completion_tokens": 4, "prompt_tokens": 562, "total_tokens": 566, "completion_tokens_details": null, "prompt_tokens_details": {"audio_tokens": null, "cached_tokens": 512}, "prompt_cache_hit_tokens": 512, "prompt_cache_miss_tokens": 50}</x:v>
      </x:c>
      <x:c r="N690" s="30" t="str">
        <x:v>correct</x:v>
      </x:c>
      <x:c r="O690"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P690" s="30" t="str">
        <x:v>LongCat-2.0</x:v>
      </x:c>
      <x:c r="Q690" s="30" t="str">
        <x:v>LongCat-2.0</x:v>
      </x:c>
      <x:c r="R690" s="30" t="n">
        <x:v>4027.97</x:v>
      </x:c>
      <x:c r="S690" s="30" t="str">
        <x:v>{"completion_tokens": 68, "prompt_tokens": 148,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1">
      <x:c r="A691" s="30" t="str">
        <x:v>memos_medium:1548</x:v>
      </x:c>
      <x:c r="B691" s="30" t="str">
        <x:v>medium</x:v>
      </x:c>
      <x:c r="C691" s="30" t="str">
        <x:v>Generalization &amp; Application</x:v>
      </x:c>
      <x:c r="D691" s="30" t="n">
        <x:v>3</x:v>
      </x:c>
      <x:c r="E691" s="30" t="str">
        <x:v>How does Jennifer's exploratory motivation influence her engagement at industry conferences in 2033?</x:v>
      </x:c>
      <x:c r="F691" s="30" t="str">
        <x:v>It drives her to test industry boundaries.</x:v>
      </x:c>
      <x:c r="G691" s="30" t="str">
        <x:v>Tests industry boundaries.</x:v>
      </x:c>
      <x:c r="H691" s="30" t="str">
        <x:v>deepseek-v4-flash</x:v>
      </x:c>
      <x:c r="I691" s="30" t="str">
        <x:v>deepseek-v4-flash</x:v>
      </x:c>
      <x:c r="J691" s="30" t="str">
        <x:v>1e82c893812998ea4a5716d013f7d79660afd73b876752ab191cf9d232c0fe00</x:v>
      </x:c>
      <x:c r="K691" s="30" t="str">
        <x:v>37b02a3e7427bc54215d6e7c8138a5bbbbf194ede00b8a878e1c6e7aaababaf1</x:v>
      </x:c>
      <x:c r="L691" s="30" t="n">
        <x:v>558.79</x:v>
      </x:c>
      <x:c r="M691" s="30" t="str">
        <x:v>{"completion_tokens": 4, "prompt_tokens": 562, "total_tokens": 566, "completion_tokens_details": null, "prompt_tokens_details": {"audio_tokens": null, "cached_tokens": 512}, "prompt_cache_hit_tokens": 512, "prompt_cache_miss_tokens": 50}</x:v>
      </x:c>
      <x:c r="N691" s="30" t="str">
        <x:v>correct</x:v>
      </x:c>
      <x:c r="O691" s="30" t="str">
        <x:v>The model answer 'Tests industry boundaries' is a concise restatement of the gold answer 'It drives her to test industry boundaries.' Both convey the same semantic meaning—that Jennifer's exploratory motivation leads her to test industry boundaries—with only minor wording differences and no added or contradictory information.</x:v>
      </x:c>
      <x:c r="P691" s="30" t="str">
        <x:v>LongCat-2.0</x:v>
      </x:c>
      <x:c r="Q691" s="30" t="str">
        <x:v>LongCat-2.0</x:v>
      </x:c>
      <x:c r="R691" s="30" t="n">
        <x:v>4940.73</x:v>
      </x:c>
      <x:c r="S691" s="30" t="str">
        <x:v>{"completion_tokens": 68, "prompt_tokens": 148,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2">
      <x:c r="A692" s="30" t="str">
        <x:v>memos_medium:1565</x:v>
      </x:c>
      <x:c r="B692" s="30" t="str">
        <x:v>medium</x:v>
      </x:c>
      <x:c r="C692" s="30" t="str">
        <x:v>Basic Fact Recall</x:v>
      </x:c>
      <x:c r="D692" s="30" t="n">
        <x:v>1</x:v>
      </x:c>
      <x:c r="E692" s="30" t="str">
        <x:v>What travel method did Jennifer Martin adopt on Jan 09, 2035?</x:v>
      </x:c>
      <x:c r="F692" s="30" t="str">
        <x:v>Public transportation and personal rentals</x:v>
      </x:c>
      <x:c r="G692" s="30" t="str">
        <x:v>Public transportation and personal rentals.</x:v>
      </x:c>
      <x:c r="H692" s="30" t="str">
        <x:v>deepseek-v4-flash</x:v>
      </x:c>
      <x:c r="I692" s="30" t="str">
        <x:v>deepseek-v4-flash</x:v>
      </x:c>
      <x:c r="J692" s="30" t="str">
        <x:v>6cb7c4b21d1352838354ff9ab0ff4784b441cd890d1587b220994b79ebe14d4c</x:v>
      </x:c>
      <x:c r="K692" s="30" t="str">
        <x:v>7152199cda639a0974c5874db0dd11405012f50382e5fe3c4e78b3031c74d781</x:v>
      </x:c>
      <x:c r="L692" s="30" t="n">
        <x:v>529.45</x:v>
      </x:c>
      <x:c r="M692" s="30" t="str">
        <x:v>{"completion_tokens": 6, "prompt_tokens": 537, "total_tokens": 543, "completion_tokens_details": null, "prompt_tokens_details": {"audio_tokens": null, "cached_tokens": 512}, "prompt_cache_hit_tokens": 512, "prompt_cache_miss_tokens": 25}</x:v>
      </x:c>
      <x:c r="N692" s="30" t="str">
        <x:v>correct</x:v>
      </x:c>
      <x:c r="O692" s="30" t="str">
        <x:v>The model answer 'Public transportation and personal rentals.' is semantically identical to the benchmark gold answer 'Public transportation and personal rentals', differing only by a trailing period. It provides the complete answer without any contradiction or unsupported material.</x:v>
      </x:c>
      <x:c r="P692" s="30" t="str">
        <x:v>LongCat-2.0</x:v>
      </x:c>
      <x:c r="Q692" s="30" t="str">
        <x:v>LongCat-2.0</x:v>
      </x:c>
      <x:c r="R692" s="30" t="n">
        <x:v>3564.67</x:v>
      </x:c>
      <x:c r="S692" s="30" t="str">
        <x:v>{"completion_tokens": 56, "prompt_tokens": 148, "total_tokens": 204,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3">
      <x:c r="A693" s="30" t="str">
        <x:v>memos_medium:1565</x:v>
      </x:c>
      <x:c r="B693" s="30" t="str">
        <x:v>medium</x:v>
      </x:c>
      <x:c r="C693" s="30" t="str">
        <x:v>Basic Fact Recall</x:v>
      </x:c>
      <x:c r="D693" s="30" t="n">
        <x:v>2</x:v>
      </x:c>
      <x:c r="E693" s="30" t="str">
        <x:v>What travel method did Jennifer Martin adopt on Jan 09, 2035?</x:v>
      </x:c>
      <x:c r="F693" s="30" t="str">
        <x:v>Public transportation and personal rentals</x:v>
      </x:c>
      <x:c r="G693" s="30" t="str">
        <x:v>Public transportation and personal rentals.</x:v>
      </x:c>
      <x:c r="H693" s="30" t="str">
        <x:v>deepseek-v4-flash</x:v>
      </x:c>
      <x:c r="I693" s="30" t="str">
        <x:v>deepseek-v4-flash</x:v>
      </x:c>
      <x:c r="J693" s="30" t="str">
        <x:v>6cb7c4b21d1352838354ff9ab0ff4784b441cd890d1587b220994b79ebe14d4c</x:v>
      </x:c>
      <x:c r="K693" s="30" t="str">
        <x:v>7152199cda639a0974c5874db0dd11405012f50382e5fe3c4e78b3031c74d781</x:v>
      </x:c>
      <x:c r="L693" s="30" t="n">
        <x:v>515.56</x:v>
      </x:c>
      <x:c r="M693" s="30" t="str">
        <x:v>{"completion_tokens": 6, "prompt_tokens": 537, "total_tokens": 543, "completion_tokens_details": null, "prompt_tokens_details": {"audio_tokens": null, "cached_tokens": 512}, "prompt_cache_hit_tokens": 512, "prompt_cache_miss_tokens": 25}</x:v>
      </x:c>
      <x:c r="N693" s="30" t="str">
        <x:v>correct</x:v>
      </x:c>
      <x:c r="O693" s="30" t="str">
        <x:v>The model answer 'Public transportation and personal rentals.' is semantically identical to the benchmark gold answer 'Public transportation and personal rentals', with only a minor punctuation difference (a period at the end). It provides the complete answer without any contradiction or omission.</x:v>
      </x:c>
      <x:c r="P693" s="30" t="str">
        <x:v>LongCat-2.0</x:v>
      </x:c>
      <x:c r="Q693" s="30" t="str">
        <x:v>LongCat-2.0</x:v>
      </x:c>
      <x:c r="R693" s="30" t="n">
        <x:v>3510.17</x:v>
      </x:c>
      <x:c r="S693" s="30" t="str">
        <x:v>{"completion_tokens": 61, "prompt_tokens": 148,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4">
      <x:c r="A694" s="30" t="str">
        <x:v>memos_medium:1565</x:v>
      </x:c>
      <x:c r="B694" s="30" t="str">
        <x:v>medium</x:v>
      </x:c>
      <x:c r="C694" s="30" t="str">
        <x:v>Basic Fact Recall</x:v>
      </x:c>
      <x:c r="D694" s="30" t="n">
        <x:v>3</x:v>
      </x:c>
      <x:c r="E694" s="30" t="str">
        <x:v>What travel method did Jennifer Martin adopt on Jan 09, 2035?</x:v>
      </x:c>
      <x:c r="F694" s="30" t="str">
        <x:v>Public transportation and personal rentals</x:v>
      </x:c>
      <x:c r="G694" s="30" t="str">
        <x:v>Public transportation and personal rentals.</x:v>
      </x:c>
      <x:c r="H694" s="30" t="str">
        <x:v>deepseek-v4-flash</x:v>
      </x:c>
      <x:c r="I694" s="30" t="str">
        <x:v>deepseek-v4-flash</x:v>
      </x:c>
      <x:c r="J694" s="30" t="str">
        <x:v>6cb7c4b21d1352838354ff9ab0ff4784b441cd890d1587b220994b79ebe14d4c</x:v>
      </x:c>
      <x:c r="K694" s="30" t="str">
        <x:v>7152199cda639a0974c5874db0dd11405012f50382e5fe3c4e78b3031c74d781</x:v>
      </x:c>
      <x:c r="L694" s="30" t="n">
        <x:v>517.6</x:v>
      </x:c>
      <x:c r="M694" s="30" t="str">
        <x:v>{"completion_tokens": 6, "prompt_tokens": 537, "total_tokens": 543, "completion_tokens_details": null, "prompt_tokens_details": {"audio_tokens": null, "cached_tokens": 512}, "prompt_cache_hit_tokens": 512, "prompt_cache_miss_tokens": 25}</x:v>
      </x:c>
      <x:c r="N694" s="30" t="str">
        <x:v>correct</x:v>
      </x:c>
      <x:c r="O694" s="30" t="str">
        <x:v>The model answer 'Public transportation and personal rentals.' is semantically identical to the benchmark gold answer 'Public transportation and personal rentals', differing only by a trailing period. It provides the complete answer without any contradiction or unsupported material.</x:v>
      </x:c>
      <x:c r="P694" s="30" t="str">
        <x:v>LongCat-2.0</x:v>
      </x:c>
      <x:c r="Q694" s="30" t="str">
        <x:v>LongCat-2.0</x:v>
      </x:c>
      <x:c r="R694" s="30" t="n">
        <x:v>2738.81</x:v>
      </x:c>
      <x:c r="S694" s="30" t="str">
        <x:v>{"completion_tokens": 56, "prompt_tokens": 148, "total_tokens": 204,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95">
      <x:c r="A695" s="30" t="str">
        <x:v>memos_medium:157</x:v>
      </x:c>
      <x:c r="B695" s="30" t="str">
        <x:v>medium</x:v>
      </x:c>
      <x:c r="C695" s="30" t="str">
        <x:v>Memory Conflict</x:v>
      </x:c>
      <x:c r="D695" s="30" t="n">
        <x:v>1</x:v>
      </x:c>
      <x:c r="E695" s="30" t="str">
        <x:v>Did Martin Mark express disinterest in integrating insights from a study on feline communication into his pet preferences on Aug 03, 2035?</x:v>
      </x:c>
      <x:c r="F695" s="30" t="str">
        <x:v>No, he expressed enthusiasm about integrating these insights.</x:v>
      </x:c>
      <x:c r="G695" s="30" t="str">
        <x:v>No.</x:v>
      </x:c>
      <x:c r="H695" s="30" t="str">
        <x:v>deepseek-v4-flash</x:v>
      </x:c>
      <x:c r="I695" s="30" t="str">
        <x:v>deepseek-v4-flash</x:v>
      </x:c>
      <x:c r="J695" s="30" t="str">
        <x:v>ba6e2b068d8a5e43afa9ce96fb828ce8f41d7cfce8c1d66ff5e76d656bab6b05</x:v>
      </x:c>
      <x:c r="K695" s="30" t="str">
        <x:v>5b452bae4917862c13a1d364ff9e792a1ba8346056b5ac370c3f905a899a27d0</x:v>
      </x:c>
      <x:c r="L695" s="30" t="n">
        <x:v>717.5</x:v>
      </x:c>
      <x:c r="M695" s="30" t="str">
        <x:v>{"completion_tokens": 2, "prompt_tokens": 551, "total_tokens": 553, "completion_tokens_details": null, "prompt_tokens_details": {"audio_tokens": null, "cached_tokens": 512}, "prompt_cache_hit_tokens": 512, "prompt_cache_miss_tokens": 39}</x:v>
      </x:c>
      <x:c r="N695" s="30" t="str">
        <x:v>omission</x:v>
      </x:c>
      <x:c r="O695" s="30" t="str">
        <x:v>The model answer 'No' correctly denies that Martin Mark expressed disinterest, but it omits the key information from the gold answer that he expressed enthusiasm about integrating the insights. This makes it an incomplete subset of the gold answer.</x:v>
      </x:c>
      <x:c r="P695" s="30" t="str">
        <x:v>LongCat-2.0</x:v>
      </x:c>
      <x:c r="Q695" s="30" t="str">
        <x:v>LongCat-2.0</x:v>
      </x:c>
      <x:c r="R695" s="30" t="n">
        <x:v>2471.9</x:v>
      </x:c>
      <x:c r="S695" s="30" t="str">
        <x:v>{"completion_tokens": 58, "prompt_tokens": 161,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6">
      <x:c r="A696" s="30" t="str">
        <x:v>memos_medium:157</x:v>
      </x:c>
      <x:c r="B696" s="30" t="str">
        <x:v>medium</x:v>
      </x:c>
      <x:c r="C696" s="30" t="str">
        <x:v>Memory Conflict</x:v>
      </x:c>
      <x:c r="D696" s="30" t="n">
        <x:v>2</x:v>
      </x:c>
      <x:c r="E696" s="30" t="str">
        <x:v>Did Martin Mark express disinterest in integrating insights from a study on feline communication into his pet preferences on Aug 03, 2035?</x:v>
      </x:c>
      <x:c r="F696" s="30" t="str">
        <x:v>No, he expressed enthusiasm about integrating these insights.</x:v>
      </x:c>
      <x:c r="G696" s="30" t="str">
        <x:v>No.</x:v>
      </x:c>
      <x:c r="H696" s="30" t="str">
        <x:v>deepseek-v4-flash</x:v>
      </x:c>
      <x:c r="I696" s="30" t="str">
        <x:v>deepseek-v4-flash</x:v>
      </x:c>
      <x:c r="J696" s="30" t="str">
        <x:v>ba6e2b068d8a5e43afa9ce96fb828ce8f41d7cfce8c1d66ff5e76d656bab6b05</x:v>
      </x:c>
      <x:c r="K696" s="30" t="str">
        <x:v>5b452bae4917862c13a1d364ff9e792a1ba8346056b5ac370c3f905a899a27d0</x:v>
      </x:c>
      <x:c r="L696" s="30" t="n">
        <x:v>622.08</x:v>
      </x:c>
      <x:c r="M696" s="30" t="str">
        <x:v>{"completion_tokens": 2, "prompt_tokens": 551, "total_tokens": 553, "completion_tokens_details": null, "prompt_tokens_details": {"audio_tokens": null, "cached_tokens": 512}, "prompt_cache_hit_tokens": 512, "prompt_cache_miss_tokens": 39}</x:v>
      </x:c>
      <x:c r="N696" s="30" t="str">
        <x:v>omission</x:v>
      </x:c>
      <x:c r="O696" s="30" t="str">
        <x:v>The model answer 'No' correctly denies that Martin Mark expressed disinterest, but it omits the key detail from the gold answer that he expressed enthusiasm about integrating the insights. This makes it an incomplete subset of the gold answer.</x:v>
      </x:c>
      <x:c r="P696" s="30" t="str">
        <x:v>LongCat-2.0</x:v>
      </x:c>
      <x:c r="Q696" s="30" t="str">
        <x:v>LongCat-2.0</x:v>
      </x:c>
      <x:c r="R696" s="30" t="n">
        <x:v>2329.23</x:v>
      </x:c>
      <x:c r="S696" s="30" t="str">
        <x:v>{"completion_tokens": 58, "prompt_tokens": 161,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7">
      <x:c r="A697" s="30" t="str">
        <x:v>memos_medium:157</x:v>
      </x:c>
      <x:c r="B697" s="30" t="str">
        <x:v>medium</x:v>
      </x:c>
      <x:c r="C697" s="30" t="str">
        <x:v>Memory Conflict</x:v>
      </x:c>
      <x:c r="D697" s="30" t="n">
        <x:v>3</x:v>
      </x:c>
      <x:c r="E697" s="30" t="str">
        <x:v>Did Martin Mark express disinterest in integrating insights from a study on feline communication into his pet preferences on Aug 03, 2035?</x:v>
      </x:c>
      <x:c r="F697" s="30" t="str">
        <x:v>No, he expressed enthusiasm about integrating these insights.</x:v>
      </x:c>
      <x:c r="G697" s="30" t="str">
        <x:v>No.</x:v>
      </x:c>
      <x:c r="H697" s="30" t="str">
        <x:v>deepseek-v4-flash</x:v>
      </x:c>
      <x:c r="I697" s="30" t="str">
        <x:v>deepseek-v4-flash</x:v>
      </x:c>
      <x:c r="J697" s="30" t="str">
        <x:v>ba6e2b068d8a5e43afa9ce96fb828ce8f41d7cfce8c1d66ff5e76d656bab6b05</x:v>
      </x:c>
      <x:c r="K697" s="30" t="str">
        <x:v>5b452bae4917862c13a1d364ff9e792a1ba8346056b5ac370c3f905a899a27d0</x:v>
      </x:c>
      <x:c r="L697" s="30" t="n">
        <x:v>495.97</x:v>
      </x:c>
      <x:c r="M697" s="30" t="str">
        <x:v>{"completion_tokens": 2, "prompt_tokens": 551, "total_tokens": 553, "completion_tokens_details": null, "prompt_tokens_details": {"audio_tokens": null, "cached_tokens": 512}, "prompt_cache_hit_tokens": 512, "prompt_cache_miss_tokens": 39}</x:v>
      </x:c>
      <x:c r="N697" s="30" t="str">
        <x:v>omission</x:v>
      </x:c>
      <x:c r="O697" s="30" t="str">
        <x:v>The model answer 'No' correctly negates the disinterest claim but omits the key positive detail from the gold answer that Martin Mark expressed enthusiasm about integrating the insights. This makes it an incomplete subset of the gold answer.</x:v>
      </x:c>
      <x:c r="P697" s="30" t="str">
        <x:v>LongCat-2.0</x:v>
      </x:c>
      <x:c r="Q697" s="30" t="str">
        <x:v>LongCat-2.0</x:v>
      </x:c>
      <x:c r="R697" s="30" t="n">
        <x:v>2840.21</x:v>
      </x:c>
      <x:c r="S697" s="30" t="str">
        <x:v>{"completion_tokens": 57, "prompt_tokens": 161,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698">
      <x:c r="A698" s="30" t="str">
        <x:v>memos_medium:1634</x:v>
      </x:c>
      <x:c r="B698" s="30" t="str">
        <x:v>medium</x:v>
      </x:c>
      <x:c r="C698" s="30" t="str">
        <x:v>Basic Fact Recall</x:v>
      </x:c>
      <x:c r="D698" s="30" t="n">
        <x:v>1</x:v>
      </x:c>
      <x:c r="E698" s="30" t="str">
        <x:v>What travel style did Susan Thompson adopt for short trips as of August 26, 2029?</x:v>
      </x:c>
      <x:c r="F698" s="30" t="str">
        <x:v>Backpacking</x:v>
      </x:c>
      <x:c r="G698" s="30" t="str">
        <x:v>Backpacking</x:v>
      </x:c>
      <x:c r="H698" s="30" t="str">
        <x:v>deepseek-v4-flash</x:v>
      </x:c>
      <x:c r="I698" s="30" t="str">
        <x:v>deepseek-v4-flash</x:v>
      </x:c>
      <x:c r="J698" s="30" t="str">
        <x:v>7bdd1c86d53a0f47abce8c26033477ed1578bc64335bc0f0265a34821acc1f52</x:v>
      </x:c>
      <x:c r="K698" s="30" t="str">
        <x:v>30715f06f2da19f0067ec39189a1e8196a6ddbef508a2bdccd805dbdd669a20c</x:v>
      </x:c>
      <x:c r="L698" s="30" t="n">
        <x:v>699.96</x:v>
      </x:c>
      <x:c r="M698" s="30" t="str">
        <x:v>{"completion_tokens": 3, "prompt_tokens": 552, "total_tokens": 555, "completion_tokens_details": null, "prompt_tokens_details": {"audio_tokens": null, "cached_tokens": 512}, "prompt_cache_hit_tokens": 512, "prompt_cache_miss_tokens": 40}</x:v>
      </x:c>
      <x:c r="N698" s="30" t="str">
        <x:v>correct</x:v>
      </x:c>
      <x:c r="O698" s="30" t="str">
        <x:v>The model answer 'Backpacking' exactly matches the benchmark gold answer, providing the complete and correct travel style adopted by Susan Thompson.</x:v>
      </x:c>
      <x:c r="P698" s="30" t="str">
        <x:v>LongCat-2.0</x:v>
      </x:c>
      <x:c r="Q698" s="30" t="str">
        <x:v>LongCat-2.0</x:v>
      </x:c>
      <x:c r="R698" s="30" t="n">
        <x:v>2168.5</x:v>
      </x:c>
      <x:c r="S698" s="30" t="str">
        <x:v>{"completion_tokens": 38, "prompt_tokens": 148, "total_tokens": 186,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699">
      <x:c r="A699" s="30" t="str">
        <x:v>memos_medium:1634</x:v>
      </x:c>
      <x:c r="B699" s="30" t="str">
        <x:v>medium</x:v>
      </x:c>
      <x:c r="C699" s="30" t="str">
        <x:v>Basic Fact Recall</x:v>
      </x:c>
      <x:c r="D699" s="30" t="n">
        <x:v>2</x:v>
      </x:c>
      <x:c r="E699" s="30" t="str">
        <x:v>What travel style did Susan Thompson adopt for short trips as of August 26, 2029?</x:v>
      </x:c>
      <x:c r="F699" s="30" t="str">
        <x:v>Backpacking</x:v>
      </x:c>
      <x:c r="G699" s="30" t="str">
        <x:v>Backpacking</x:v>
      </x:c>
      <x:c r="H699" s="30" t="str">
        <x:v>deepseek-v4-flash</x:v>
      </x:c>
      <x:c r="I699" s="30" t="str">
        <x:v>deepseek-v4-flash</x:v>
      </x:c>
      <x:c r="J699" s="30" t="str">
        <x:v>7bdd1c86d53a0f47abce8c26033477ed1578bc64335bc0f0265a34821acc1f52</x:v>
      </x:c>
      <x:c r="K699" s="30" t="str">
        <x:v>30715f06f2da19f0067ec39189a1e8196a6ddbef508a2bdccd805dbdd669a20c</x:v>
      </x:c>
      <x:c r="L699" s="30" t="n">
        <x:v>560.21</x:v>
      </x:c>
      <x:c r="M699" s="30" t="str">
        <x:v>{"completion_tokens": 3, "prompt_tokens": 552, "total_tokens": 555, "completion_tokens_details": null, "prompt_tokens_details": {"audio_tokens": null, "cached_tokens": 512}, "prompt_cache_hit_tokens": 512, "prompt_cache_miss_tokens": 40}</x:v>
      </x:c>
      <x:c r="N699" s="30" t="str">
        <x:v>correct</x:v>
      </x:c>
      <x:c r="O699" s="30" t="str">
        <x:v>The model answer 'Backpacking' exactly matches the benchmark gold answer, providing the complete and correct travel style.</x:v>
      </x:c>
      <x:c r="P699" s="30" t="str">
        <x:v>LongCat-2.0</x:v>
      </x:c>
      <x:c r="Q699" s="30" t="str">
        <x:v>LongCat-2.0</x:v>
      </x:c>
      <x:c r="R699" s="30" t="n">
        <x:v>2169.51</x:v>
      </x:c>
      <x:c r="S699" s="30" t="str">
        <x:v>{"completion_tokens": 34, "prompt_tokens": 148, "total_tokens": 182,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0">
      <x:c r="A700" s="30" t="str">
        <x:v>memos_medium:1634</x:v>
      </x:c>
      <x:c r="B700" s="30" t="str">
        <x:v>medium</x:v>
      </x:c>
      <x:c r="C700" s="30" t="str">
        <x:v>Basic Fact Recall</x:v>
      </x:c>
      <x:c r="D700" s="30" t="n">
        <x:v>3</x:v>
      </x:c>
      <x:c r="E700" s="30" t="str">
        <x:v>What travel style did Susan Thompson adopt for short trips as of August 26, 2029?</x:v>
      </x:c>
      <x:c r="F700" s="30" t="str">
        <x:v>Backpacking</x:v>
      </x:c>
      <x:c r="G700" s="30" t="str">
        <x:v>Backpacking</x:v>
      </x:c>
      <x:c r="H700" s="30" t="str">
        <x:v>deepseek-v4-flash</x:v>
      </x:c>
      <x:c r="I700" s="30" t="str">
        <x:v>deepseek-v4-flash</x:v>
      </x:c>
      <x:c r="J700" s="30" t="str">
        <x:v>7bdd1c86d53a0f47abce8c26033477ed1578bc64335bc0f0265a34821acc1f52</x:v>
      </x:c>
      <x:c r="K700" s="30" t="str">
        <x:v>30715f06f2da19f0067ec39189a1e8196a6ddbef508a2bdccd805dbdd669a20c</x:v>
      </x:c>
      <x:c r="L700" s="30" t="n">
        <x:v>768.85</x:v>
      </x:c>
      <x:c r="M700" s="30" t="str">
        <x:v>{"completion_tokens": 3, "prompt_tokens": 552, "total_tokens": 555, "completion_tokens_details": null, "prompt_tokens_details": {"audio_tokens": null, "cached_tokens": 512}, "prompt_cache_hit_tokens": 512, "prompt_cache_miss_tokens": 40}</x:v>
      </x:c>
      <x:c r="N700" s="30" t="str">
        <x:v>correct</x:v>
      </x:c>
      <x:c r="O700" s="30" t="str">
        <x:v>The model answer 'Backpacking' exactly matches the benchmark gold answer, providing the complete and correct travel style adopted by Susan Thompson.</x:v>
      </x:c>
      <x:c r="P700" s="30" t="str">
        <x:v>LongCat-2.0</x:v>
      </x:c>
      <x:c r="Q700" s="30" t="str">
        <x:v>LongCat-2.0</x:v>
      </x:c>
      <x:c r="R700" s="30" t="n">
        <x:v>3341.71</x:v>
      </x:c>
      <x:c r="S700" s="30" t="str">
        <x:v>{"completion_tokens": 38, "prompt_tokens": 148,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1">
      <x:c r="A701" s="30" t="str">
        <x:v>memos_medium:1663</x:v>
      </x:c>
      <x:c r="B701" s="30" t="str">
        <x:v>medium</x:v>
      </x:c>
      <x:c r="C701" s="30" t="str">
        <x:v>Multi-hop Inference</x:v>
      </x:c>
      <x:c r="D701" s="30" t="n">
        <x:v>1</x:v>
      </x:c>
      <x:c r="E701" s="30" t="str">
        <x:v>By November 1, 2031, how did Susan's stress management techniques evolve?</x:v>
      </x:c>
      <x:c r="F701" s="30" t="str">
        <x:v>Incorporated mindfulness and time management.</x:v>
      </x:c>
      <x:c r="G701" s="30" t="str">
        <x:v>Used mindfulness and time management.</x:v>
      </x:c>
      <x:c r="H701" s="30" t="str">
        <x:v>deepseek-v4-flash</x:v>
      </x:c>
      <x:c r="I701" s="30" t="str">
        <x:v>deepseek-v4-flash</x:v>
      </x:c>
      <x:c r="J701" s="30" t="str">
        <x:v>43920a9dfa365027a40695560dcd3b721621f611e24a848309d494d1ab37a3c5</x:v>
      </x:c>
      <x:c r="K701" s="30" t="str">
        <x:v>74d33578be265a29b0272668fb8fdcb9b65d0593e52a8268d1e0e05646e181fa</x:v>
      </x:c>
      <x:c r="L701" s="30" t="n">
        <x:v>727.7</x:v>
      </x:c>
      <x:c r="M701" s="30" t="str">
        <x:v>{"completion_tokens": 6, "prompt_tokens": 564, "total_tokens": 570, "completion_tokens_details": null, "prompt_tokens_details": {"audio_tokens": null, "cached_tokens": 512}, "prompt_cache_hit_tokens": 512, "prompt_cache_miss_tokens": 52}</x:v>
      </x:c>
      <x:c r="N701" s="30" t="str">
        <x:v>correct</x:v>
      </x:c>
      <x:c r="O701"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P701" s="30" t="str">
        <x:v>LongCat-2.0</x:v>
      </x:c>
      <x:c r="Q701" s="30" t="str">
        <x:v>LongCat-2.0</x:v>
      </x:c>
      <x:c r="R701" s="30" t="n">
        <x:v>2952.85</x:v>
      </x:c>
      <x:c r="S701" s="30" t="str">
        <x:v>{"completion_tokens": 77, "prompt_tokens": 151,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2">
      <x:c r="A702" s="30" t="str">
        <x:v>memos_medium:1663</x:v>
      </x:c>
      <x:c r="B702" s="30" t="str">
        <x:v>medium</x:v>
      </x:c>
      <x:c r="C702" s="30" t="str">
        <x:v>Multi-hop Inference</x:v>
      </x:c>
      <x:c r="D702" s="30" t="n">
        <x:v>2</x:v>
      </x:c>
      <x:c r="E702" s="30" t="str">
        <x:v>By November 1, 2031, how did Susan's stress management techniques evolve?</x:v>
      </x:c>
      <x:c r="F702" s="30" t="str">
        <x:v>Incorporated mindfulness and time management.</x:v>
      </x:c>
      <x:c r="G702" s="30" t="str">
        <x:v>Used mindfulness and time management.</x:v>
      </x:c>
      <x:c r="H702" s="30" t="str">
        <x:v>deepseek-v4-flash</x:v>
      </x:c>
      <x:c r="I702" s="30" t="str">
        <x:v>deepseek-v4-flash</x:v>
      </x:c>
      <x:c r="J702" s="30" t="str">
        <x:v>43920a9dfa365027a40695560dcd3b721621f611e24a848309d494d1ab37a3c5</x:v>
      </x:c>
      <x:c r="K702" s="30" t="str">
        <x:v>74d33578be265a29b0272668fb8fdcb9b65d0593e52a8268d1e0e05646e181fa</x:v>
      </x:c>
      <x:c r="L702" s="30" t="n">
        <x:v>653.56</x:v>
      </x:c>
      <x:c r="M702" s="30" t="str">
        <x:v>{"completion_tokens": 6, "prompt_tokens": 564, "total_tokens": 570, "completion_tokens_details": null, "prompt_tokens_details": {"audio_tokens": null, "cached_tokens": 512}, "prompt_cache_hit_tokens": 512, "prompt_cache_miss_tokens": 52}</x:v>
      </x:c>
      <x:c r="N702" s="30" t="str">
        <x:v>correct</x:v>
      </x:c>
      <x:c r="O702"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P702" s="30" t="str">
        <x:v>LongCat-2.0</x:v>
      </x:c>
      <x:c r="Q702" s="30" t="str">
        <x:v>LongCat-2.0</x:v>
      </x:c>
      <x:c r="R702" s="30" t="n">
        <x:v>3228.6</x:v>
      </x:c>
      <x:c r="S702" s="30" t="str">
        <x:v>{"completion_tokens": 77, "prompt_tokens": 151,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3">
      <x:c r="A703" s="30" t="str">
        <x:v>memos_medium:1663</x:v>
      </x:c>
      <x:c r="B703" s="30" t="str">
        <x:v>medium</x:v>
      </x:c>
      <x:c r="C703" s="30" t="str">
        <x:v>Multi-hop Inference</x:v>
      </x:c>
      <x:c r="D703" s="30" t="n">
        <x:v>3</x:v>
      </x:c>
      <x:c r="E703" s="30" t="str">
        <x:v>By November 1, 2031, how did Susan's stress management techniques evolve?</x:v>
      </x:c>
      <x:c r="F703" s="30" t="str">
        <x:v>Incorporated mindfulness and time management.</x:v>
      </x:c>
      <x:c r="G703" s="30" t="str">
        <x:v>Used mindfulness and time management.</x:v>
      </x:c>
      <x:c r="H703" s="30" t="str">
        <x:v>deepseek-v4-flash</x:v>
      </x:c>
      <x:c r="I703" s="30" t="str">
        <x:v>deepseek-v4-flash</x:v>
      </x:c>
      <x:c r="J703" s="30" t="str">
        <x:v>43920a9dfa365027a40695560dcd3b721621f611e24a848309d494d1ab37a3c5</x:v>
      </x:c>
      <x:c r="K703" s="30" t="str">
        <x:v>74d33578be265a29b0272668fb8fdcb9b65d0593e52a8268d1e0e05646e181fa</x:v>
      </x:c>
      <x:c r="L703" s="30" t="n">
        <x:v>711.55</x:v>
      </x:c>
      <x:c r="M703" s="30" t="str">
        <x:v>{"completion_tokens": 6, "prompt_tokens": 564, "total_tokens": 570, "completion_tokens_details": null, "prompt_tokens_details": {"audio_tokens": null, "cached_tokens": 512}, "prompt_cache_hit_tokens": 512, "prompt_cache_miss_tokens": 52}</x:v>
      </x:c>
      <x:c r="N703" s="30" t="str">
        <x:v>correct</x:v>
      </x:c>
      <x:c r="O703" s="30" t="str">
        <x:v>The model answer 'Used mindfulness and time management' semantically conveys the same complete information as the gold answer 'Incorporated mindfulness and time management.' Both state that Susan employed mindfulness and time management as stress management techniques, with only minor wording differences ('Used' vs. 'Incorporated') that do not change the meaning.</x:v>
      </x:c>
      <x:c r="P703" s="30" t="str">
        <x:v>LongCat-2.0</x:v>
      </x:c>
      <x:c r="Q703" s="30" t="str">
        <x:v>LongCat-2.0</x:v>
      </x:c>
      <x:c r="R703" s="30" t="n">
        <x:v>3078.12</x:v>
      </x:c>
      <x:c r="S703" s="30" t="str">
        <x:v>{"completion_tokens": 77, "prompt_tokens": 151,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4">
      <x:c r="A704" s="30" t="str">
        <x:v>memos_medium:1675</x:v>
      </x:c>
      <x:c r="B704" s="30" t="str">
        <x:v>medium</x:v>
      </x:c>
      <x:c r="C704" s="30" t="str">
        <x:v>Generalization &amp; Application</x:v>
      </x:c>
      <x:c r="D704" s="30" t="n">
        <x:v>1</x:v>
      </x:c>
      <x:c r="E704" s="30" t="str">
        <x:v>What type of workshop content might Susan Thompson develop after Jun 15, 2032?</x:v>
      </x:c>
      <x:c r="F704" s="30" t="str">
        <x:v>Content based on personal health recovery experiences.</x:v>
      </x:c>
      <x:c r="G704" s="30" t="str">
        <x:v>Innovative personal recovery content.</x:v>
      </x:c>
      <x:c r="H704" s="30" t="str">
        <x:v>deepseek-v4-flash</x:v>
      </x:c>
      <x:c r="I704" s="30" t="str">
        <x:v>deepseek-v4-flash</x:v>
      </x:c>
      <x:c r="J704" s="30" t="str">
        <x:v>c2b5fff2ce5a2d5d6e94580738b8dc9a15ad0c347660188ebd3a9e8c2fb4257c</x:v>
      </x:c>
      <x:c r="K704" s="30" t="str">
        <x:v>cdcf6635ba16238f8fa532be4f930ed088f9d457564519452fe6917f546f4a8d</x:v>
      </x:c>
      <x:c r="L704" s="30" t="n">
        <x:v>695.15</x:v>
      </x:c>
      <x:c r="M704" s="30" t="str">
        <x:v>{"completion_tokens": 6, "prompt_tokens": 572, "total_tokens": 578, "completion_tokens_details": null, "prompt_tokens_details": {"audio_tokens": null, "cached_tokens": 512}, "prompt_cache_hit_tokens": 512, "prompt_cache_miss_tokens": 60}</x:v>
      </x:c>
      <x:c r="N704" s="30" t="str">
        <x:v>correct</x:v>
      </x:c>
      <x:c r="O704"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P704" s="30" t="str">
        <x:v>LongCat-2.0</x:v>
      </x:c>
      <x:c r="Q704" s="30" t="str">
        <x:v>LongCat-2.0</x:v>
      </x:c>
      <x:c r="R704" s="30" t="n">
        <x:v>4698.71</x:v>
      </x:c>
      <x:c r="S704" s="30" t="str">
        <x:v>{"completion_tokens": 85, "prompt_tokens": 153, "total_tokens": 238,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05">
      <x:c r="A705" s="30" t="str">
        <x:v>memos_medium:1675</x:v>
      </x:c>
      <x:c r="B705" s="30" t="str">
        <x:v>medium</x:v>
      </x:c>
      <x:c r="C705" s="30" t="str">
        <x:v>Generalization &amp; Application</x:v>
      </x:c>
      <x:c r="D705" s="30" t="n">
        <x:v>2</x:v>
      </x:c>
      <x:c r="E705" s="30" t="str">
        <x:v>What type of workshop content might Susan Thompson develop after Jun 15, 2032?</x:v>
      </x:c>
      <x:c r="F705" s="30" t="str">
        <x:v>Content based on personal health recovery experiences.</x:v>
      </x:c>
      <x:c r="G705" s="30" t="str">
        <x:v>Innovative personal recovery content.</x:v>
      </x:c>
      <x:c r="H705" s="30" t="str">
        <x:v>deepseek-v4-flash</x:v>
      </x:c>
      <x:c r="I705" s="30" t="str">
        <x:v>deepseek-v4-flash</x:v>
      </x:c>
      <x:c r="J705" s="30" t="str">
        <x:v>c2b5fff2ce5a2d5d6e94580738b8dc9a15ad0c347660188ebd3a9e8c2fb4257c</x:v>
      </x:c>
      <x:c r="K705" s="30" t="str">
        <x:v>cdcf6635ba16238f8fa532be4f930ed088f9d457564519452fe6917f546f4a8d</x:v>
      </x:c>
      <x:c r="L705" s="30" t="n">
        <x:v>638.56</x:v>
      </x:c>
      <x:c r="M705" s="30" t="str">
        <x:v>{"completion_tokens": 6, "prompt_tokens": 572, "total_tokens": 578, "completion_tokens_details": null, "prompt_tokens_details": {"audio_tokens": null, "cached_tokens": 512}, "prompt_cache_hit_tokens": 512, "prompt_cache_miss_tokens": 60}</x:v>
      </x:c>
      <x:c r="N705" s="30" t="str">
        <x:v>correct</x:v>
      </x:c>
      <x:c r="O705"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P705" s="30" t="str">
        <x:v>LongCat-2.0</x:v>
      </x:c>
      <x:c r="Q705" s="30" t="str">
        <x:v>LongCat-2.0</x:v>
      </x:c>
      <x:c r="R705" s="30" t="n">
        <x:v>4850.89</x:v>
      </x:c>
      <x:c r="S705" s="30" t="str">
        <x:v>{"completion_tokens": 85, "prompt_tokens": 153,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6">
      <x:c r="A706" s="30" t="str">
        <x:v>memos_medium:1675</x:v>
      </x:c>
      <x:c r="B706" s="30" t="str">
        <x:v>medium</x:v>
      </x:c>
      <x:c r="C706" s="30" t="str">
        <x:v>Generalization &amp; Application</x:v>
      </x:c>
      <x:c r="D706" s="30" t="n">
        <x:v>3</x:v>
      </x:c>
      <x:c r="E706" s="30" t="str">
        <x:v>What type of workshop content might Susan Thompson develop after Jun 15, 2032?</x:v>
      </x:c>
      <x:c r="F706" s="30" t="str">
        <x:v>Content based on personal health recovery experiences.</x:v>
      </x:c>
      <x:c r="G706" s="30" t="str">
        <x:v>Innovative personal recovery content.</x:v>
      </x:c>
      <x:c r="H706" s="30" t="str">
        <x:v>deepseek-v4-flash</x:v>
      </x:c>
      <x:c r="I706" s="30" t="str">
        <x:v>deepseek-v4-flash</x:v>
      </x:c>
      <x:c r="J706" s="30" t="str">
        <x:v>c2b5fff2ce5a2d5d6e94580738b8dc9a15ad0c347660188ebd3a9e8c2fb4257c</x:v>
      </x:c>
      <x:c r="K706" s="30" t="str">
        <x:v>cdcf6635ba16238f8fa532be4f930ed088f9d457564519452fe6917f546f4a8d</x:v>
      </x:c>
      <x:c r="L706" s="30" t="n">
        <x:v>815.35</x:v>
      </x:c>
      <x:c r="M706" s="30" t="str">
        <x:v>{"completion_tokens": 6, "prompt_tokens": 572, "total_tokens": 578, "completion_tokens_details": null, "prompt_tokens_details": {"audio_tokens": null, "cached_tokens": 512}, "prompt_cache_hit_tokens": 512, "prompt_cache_miss_tokens": 60}</x:v>
      </x:c>
      <x:c r="N706" s="30" t="str">
        <x:v>correct</x:v>
      </x:c>
      <x:c r="O706" s="30" t="str">
        <x:v>The model answer 'Innovative personal recovery content' semantically captures the gold answer 'Content based on personal health recovery experiences.' Both refer to content centered on personal recovery, with the model using a slightly different but equivalent phrasing ('personal recovery' vs. 'personal health recovery experiences'). No false or unsupported claims are introduced, and the core meaning is fully preserved.</x:v>
      </x:c>
      <x:c r="P706" s="30" t="str">
        <x:v>LongCat-2.0</x:v>
      </x:c>
      <x:c r="Q706" s="30" t="str">
        <x:v>LongCat-2.0</x:v>
      </x:c>
      <x:c r="R706" s="30" t="n">
        <x:v>3332.82</x:v>
      </x:c>
      <x:c r="S706" s="30" t="str">
        <x:v>{"completion_tokens": 85, "prompt_tokens": 153,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7">
      <x:c r="A707" s="30" t="str">
        <x:v>memos_medium:1676</x:v>
      </x:c>
      <x:c r="B707" s="30" t="str">
        <x:v>medium</x:v>
      </x:c>
      <x:c r="C707" s="30" t="str">
        <x:v>Generalization &amp; Application</x:v>
      </x:c>
      <x:c r="D707" s="30" t="n">
        <x:v>1</x:v>
      </x:c>
      <x:c r="E707" s="30" t="str">
        <x:v>What might motivate Susan Thompson to continue her wellness journey after Dec 20, 2032?</x:v>
      </x:c>
      <x:c r="F707" s="30" t="str">
        <x:v>Emotional resonance from connecting with others.</x:v>
      </x:c>
      <x:c r="G707" s="30" t="str">
        <x:v>Emotional resonance with others.</x:v>
      </x:c>
      <x:c r="H707" s="30" t="str">
        <x:v>deepseek-v4-flash</x:v>
      </x:c>
      <x:c r="I707" s="30" t="str">
        <x:v>deepseek-v4-flash</x:v>
      </x:c>
      <x:c r="J707" s="30" t="str">
        <x:v>0de8adfe20969122f5fafd91652e0f16596baddbe2b1e34c1055ee869dabb754</x:v>
      </x:c>
      <x:c r="K707" s="30" t="str">
        <x:v>251e9a48b0f9a16e7fddbe7790c0c538a95cde8dff4da18ced95abd85ed6cc14</x:v>
      </x:c>
      <x:c r="L707" s="30" t="n">
        <x:v>698.75</x:v>
      </x:c>
      <x:c r="M707" s="30" t="str">
        <x:v>{"completion_tokens": 6, "prompt_tokens": 574, "total_tokens": 580, "completion_tokens_details": null, "prompt_tokens_details": {"audio_tokens": null, "cached_tokens": 512}, "prompt_cache_hit_tokens": 512, "prompt_cache_miss_tokens": 62}</x:v>
      </x:c>
      <x:c r="N707" s="30" t="str">
        <x:v>correct</x:v>
      </x:c>
      <x:c r="O707" s="30" t="str">
        <x:v>The model answer 'Emotional resonance with others' captures the complete meaning of the gold answer 'Emotional resonance from connecting with others.' The slight wording difference ('with' vs. 'from connecting with') does not change the semantic content, and no false or unsupported material is added.</x:v>
      </x:c>
      <x:c r="P707" s="30" t="str">
        <x:v>LongCat-2.0</x:v>
      </x:c>
      <x:c r="Q707" s="30" t="str">
        <x:v>LongCat-2.0</x:v>
      </x:c>
      <x:c r="R707" s="30" t="n">
        <x:v>5633.67</x:v>
      </x:c>
      <x:c r="S707" s="30" t="str">
        <x:v>{"completion_tokens": 68, "prompt_tokens": 153,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8">
      <x:c r="A708" s="30" t="str">
        <x:v>memos_medium:1676</x:v>
      </x:c>
      <x:c r="B708" s="30" t="str">
        <x:v>medium</x:v>
      </x:c>
      <x:c r="C708" s="30" t="str">
        <x:v>Generalization &amp; Application</x:v>
      </x:c>
      <x:c r="D708" s="30" t="n">
        <x:v>2</x:v>
      </x:c>
      <x:c r="E708" s="30" t="str">
        <x:v>What might motivate Susan Thompson to continue her wellness journey after Dec 20, 2032?</x:v>
      </x:c>
      <x:c r="F708" s="30" t="str">
        <x:v>Emotional resonance from connecting with others.</x:v>
      </x:c>
      <x:c r="G708" s="30" t="str">
        <x:v>Emotional resonance with others.</x:v>
      </x:c>
      <x:c r="H708" s="30" t="str">
        <x:v>deepseek-v4-flash</x:v>
      </x:c>
      <x:c r="I708" s="30" t="str">
        <x:v>deepseek-v4-flash</x:v>
      </x:c>
      <x:c r="J708" s="30" t="str">
        <x:v>0de8adfe20969122f5fafd91652e0f16596baddbe2b1e34c1055ee869dabb754</x:v>
      </x:c>
      <x:c r="K708" s="30" t="str">
        <x:v>251e9a48b0f9a16e7fddbe7790c0c538a95cde8dff4da18ced95abd85ed6cc14</x:v>
      </x:c>
      <x:c r="L708" s="30" t="n">
        <x:v>476.85</x:v>
      </x:c>
      <x:c r="M708" s="30" t="str">
        <x:v>{"completion_tokens": 6, "prompt_tokens": 574, "total_tokens": 580, "completion_tokens_details": null, "prompt_tokens_details": {"audio_tokens": null, "cached_tokens": 512}, "prompt_cache_hit_tokens": 512, "prompt_cache_miss_tokens": 62}</x:v>
      </x:c>
      <x:c r="N708" s="30" t="str">
        <x:v>correct</x:v>
      </x:c>
      <x:c r="O708" s="30" t="str">
        <x:v>The model answer 'Emotional resonance with others' is semantically equivalent to the gold answer 'Emotional resonance from connecting with others.' Both convey the same core idea of emotional connection with others as the motivation, with only minor wording differences ('with' vs. 'from connecting with').</x:v>
      </x:c>
      <x:c r="P708" s="30" t="str">
        <x:v>LongCat-2.0</x:v>
      </x:c>
      <x:c r="Q708" s="30" t="str">
        <x:v>LongCat-2.0</x:v>
      </x:c>
      <x:c r="R708" s="30" t="n">
        <x:v>2587.27</x:v>
      </x:c>
      <x:c r="S708" s="30" t="str">
        <x:v>{"completion_tokens": 69, "prompt_tokens": 153,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09">
      <x:c r="A709" s="30" t="str">
        <x:v>memos_medium:1676</x:v>
      </x:c>
      <x:c r="B709" s="30" t="str">
        <x:v>medium</x:v>
      </x:c>
      <x:c r="C709" s="30" t="str">
        <x:v>Generalization &amp; Application</x:v>
      </x:c>
      <x:c r="D709" s="30" t="n">
        <x:v>3</x:v>
      </x:c>
      <x:c r="E709" s="30" t="str">
        <x:v>What might motivate Susan Thompson to continue her wellness journey after Dec 20, 2032?</x:v>
      </x:c>
      <x:c r="F709" s="30" t="str">
        <x:v>Emotional resonance from connecting with others.</x:v>
      </x:c>
      <x:c r="G709" s="30" t="str">
        <x:v>Emotional resonance with others.</x:v>
      </x:c>
      <x:c r="H709" s="30" t="str">
        <x:v>deepseek-v4-flash</x:v>
      </x:c>
      <x:c r="I709" s="30" t="str">
        <x:v>deepseek-v4-flash</x:v>
      </x:c>
      <x:c r="J709" s="30" t="str">
        <x:v>0de8adfe20969122f5fafd91652e0f16596baddbe2b1e34c1055ee869dabb754</x:v>
      </x:c>
      <x:c r="K709" s="30" t="str">
        <x:v>251e9a48b0f9a16e7fddbe7790c0c538a95cde8dff4da18ced95abd85ed6cc14</x:v>
      </x:c>
      <x:c r="L709" s="30" t="n">
        <x:v>599.52</x:v>
      </x:c>
      <x:c r="M709" s="30" t="str">
        <x:v>{"completion_tokens": 6, "prompt_tokens": 574, "total_tokens": 580, "completion_tokens_details": null, "prompt_tokens_details": {"audio_tokens": null, "cached_tokens": 512}, "prompt_cache_hit_tokens": 512, "prompt_cache_miss_tokens": 62}</x:v>
      </x:c>
      <x:c r="N709" s="30" t="str">
        <x:v>correct</x:v>
      </x:c>
      <x:c r="O709" s="30" t="str">
        <x:v>The model answer 'Emotional resonance with others' is semantically equivalent to the gold answer 'Emotional resonance from connecting with others.' Both convey the same core idea that Susan Thompson is motivated by an emotional connection or resonance with other people. The slight wording difference ('with' vs. 'from connecting with') does not change the meaning, and no information is omitted or contradicted.</x:v>
      </x:c>
      <x:c r="P709" s="30" t="str">
        <x:v>LongCat-2.0</x:v>
      </x:c>
      <x:c r="Q709" s="30" t="str">
        <x:v>LongCat-2.0</x:v>
      </x:c>
      <x:c r="R709" s="30" t="n">
        <x:v>2493.25</x:v>
      </x:c>
      <x:c r="S709" s="30" t="str">
        <x:v>{"completion_tokens": 88, "prompt_tokens": 153,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0">
      <x:c r="A710" s="30" t="str">
        <x:v>memos_medium:1694</x:v>
      </x:c>
      <x:c r="B710" s="30" t="str">
        <x:v>medium</x:v>
      </x:c>
      <x:c r="C710" s="30" t="str">
        <x:v>Generalization &amp; Application</x:v>
      </x:c>
      <x:c r="D710" s="30" t="n">
        <x:v>1</x:v>
      </x:c>
      <x:c r="E710" s="30" t="str">
        <x:v>Based on Susan's interest in holistic health guides, what type of wellness strategies might she explore in her workshops after April 29, 2034?</x:v>
      </x:c>
      <x:c r="F710" s="30" t="str">
        <x:v>Integrated wellness strategies combining traditional and alternative methods.</x:v>
      </x:c>
      <x:c r="G710" s="30" t="str">
        <x:v>Comprehensive wellness strategies</x:v>
      </x:c>
      <x:c r="H710" s="30" t="str">
        <x:v>deepseek-v4-flash</x:v>
      </x:c>
      <x:c r="I710" s="30" t="str">
        <x:v>deepseek-v4-flash</x:v>
      </x:c>
      <x:c r="J710" s="30" t="str">
        <x:v>5759550d63bb9a94fd2739329284591405ade11583cc8858c7bc352ddc8b3e2e</x:v>
      </x:c>
      <x:c r="K710" s="30" t="str">
        <x:v>aee9632db30bd7c57a7924590bcd0c49db7b5feef4845aae20accf48b99369ad</x:v>
      </x:c>
      <x:c r="L710" s="30" t="n">
        <x:v>594.23</x:v>
      </x:c>
      <x:c r="M710" s="30" t="str">
        <x:v>{"completion_tokens": 4, "prompt_tokens": 597, "total_tokens": 601, "completion_tokens_details": null, "prompt_tokens_details": {"audio_tokens": null, "cached_tokens": 512}, "prompt_cache_hit_tokens": 512, "prompt_cache_miss_tokens": 85}</x:v>
      </x:c>
      <x:c r="N710" s="30" t="str">
        <x:v>omission</x:v>
      </x:c>
      <x:c r="O710" s="30" t="str">
        <x:v>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x:v>
      </x:c>
      <x:c r="P710" s="30" t="str">
        <x:v>LongCat-2.0</x:v>
      </x:c>
      <x:c r="Q710" s="30" t="str">
        <x:v>LongCat-2.0</x:v>
      </x:c>
      <x:c r="R710" s="30" t="n">
        <x:v>3908.65</x:v>
      </x:c>
      <x:c r="S710" s="30" t="str">
        <x:v>{"completion_tokens": 79, "prompt_tokens": 165, "total_tokens": 244,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11">
      <x:c r="A711" s="30" t="str">
        <x:v>memos_medium:1694</x:v>
      </x:c>
      <x:c r="B711" s="30" t="str">
        <x:v>medium</x:v>
      </x:c>
      <x:c r="C711" s="30" t="str">
        <x:v>Generalization &amp; Application</x:v>
      </x:c>
      <x:c r="D711" s="30" t="n">
        <x:v>2</x:v>
      </x:c>
      <x:c r="E711" s="30" t="str">
        <x:v>Based on Susan's interest in holistic health guides, what type of wellness strategies might she explore in her workshops after April 29, 2034?</x:v>
      </x:c>
      <x:c r="F711" s="30" t="str">
        <x:v>Integrated wellness strategies combining traditional and alternative methods.</x:v>
      </x:c>
      <x:c r="G711" s="30" t="str">
        <x:v>Comprehensive wellness strategies</x:v>
      </x:c>
      <x:c r="H711" s="30" t="str">
        <x:v>deepseek-v4-flash</x:v>
      </x:c>
      <x:c r="I711" s="30" t="str">
        <x:v>deepseek-v4-flash</x:v>
      </x:c>
      <x:c r="J711" s="30" t="str">
        <x:v>5759550d63bb9a94fd2739329284591405ade11583cc8858c7bc352ddc8b3e2e</x:v>
      </x:c>
      <x:c r="K711" s="30" t="str">
        <x:v>aee9632db30bd7c57a7924590bcd0c49db7b5feef4845aae20accf48b99369ad</x:v>
      </x:c>
      <x:c r="L711" s="30" t="n">
        <x:v>875.98</x:v>
      </x:c>
      <x:c r="M711" s="30" t="str">
        <x:v>{"completion_tokens": 4, "prompt_tokens": 597, "total_tokens": 601, "completion_tokens_details": null, "prompt_tokens_details": {"audio_tokens": null, "cached_tokens": 512}, "prompt_cache_hit_tokens": 512, "prompt_cache_miss_tokens": 85}</x:v>
      </x:c>
      <x:c r="N711" s="30" t="str">
        <x:v>omission</x:v>
      </x:c>
      <x:c r="O711" s="30" t="str">
        <x:v>The model answer 'Comprehensive wellness strategies' is vague and lacks the specific detail present in the gold answer, which explicitly mentions 'integrated wellness strategies combining traditional and alternative methods.' The model answer does not capture the key elements of integration or the combination of traditional and alternative methods, making it an incomplete subset of the gold answer.</x:v>
      </x:c>
      <x:c r="P711" s="30" t="str">
        <x:v>LongCat-2.0</x:v>
      </x:c>
      <x:c r="Q711" s="30" t="str">
        <x:v>LongCat-2.0</x:v>
      </x:c>
      <x:c r="R711" s="30" t="n">
        <x:v>3580.04</x:v>
      </x:c>
      <x:c r="S711" s="30" t="str">
        <x:v>{"completion_tokens": 78, "prompt_tokens": 165,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2">
      <x:c r="A712" s="30" t="str">
        <x:v>memos_medium:1694</x:v>
      </x:c>
      <x:c r="B712" s="30" t="str">
        <x:v>medium</x:v>
      </x:c>
      <x:c r="C712" s="30" t="str">
        <x:v>Generalization &amp; Application</x:v>
      </x:c>
      <x:c r="D712" s="30" t="n">
        <x:v>3</x:v>
      </x:c>
      <x:c r="E712" s="30" t="str">
        <x:v>Based on Susan's interest in holistic health guides, what type of wellness strategies might she explore in her workshops after April 29, 2034?</x:v>
      </x:c>
      <x:c r="F712" s="30" t="str">
        <x:v>Integrated wellness strategies combining traditional and alternative methods.</x:v>
      </x:c>
      <x:c r="G712" s="30" t="str">
        <x:v>Comprehensive wellness strategies</x:v>
      </x:c>
      <x:c r="H712" s="30" t="str">
        <x:v>deepseek-v4-flash</x:v>
      </x:c>
      <x:c r="I712" s="30" t="str">
        <x:v>deepseek-v4-flash</x:v>
      </x:c>
      <x:c r="J712" s="30" t="str">
        <x:v>5759550d63bb9a94fd2739329284591405ade11583cc8858c7bc352ddc8b3e2e</x:v>
      </x:c>
      <x:c r="K712" s="30" t="str">
        <x:v>aee9632db30bd7c57a7924590bcd0c49db7b5feef4845aae20accf48b99369ad</x:v>
      </x:c>
      <x:c r="L712" s="30" t="n">
        <x:v>523.12</x:v>
      </x:c>
      <x:c r="M712" s="30" t="str">
        <x:v>{"completion_tokens": 4, "prompt_tokens": 597, "total_tokens": 601, "completion_tokens_details": null, "prompt_tokens_details": {"audio_tokens": null, "cached_tokens": 512}, "prompt_cache_hit_tokens": 512, "prompt_cache_miss_tokens": 85}</x:v>
      </x:c>
      <x:c r="N712" s="30" t="str">
        <x:v>omission</x:v>
      </x:c>
      <x:c r="O712" s="30" t="str">
        <x:v>The model answer 'Comprehensive wellness strategies' is vague and lacks the specific detail present in the gold answer, which explicitly mentions 'integrated wellness strategies combining traditional and alternative methods.' The model's response does not convey the key elements of integration or the combination of traditional and alternative methods, making it an incomplete subset of the gold answer.</x:v>
      </x:c>
      <x:c r="P712" s="30" t="str">
        <x:v>LongCat-2.0</x:v>
      </x:c>
      <x:c r="Q712" s="30" t="str">
        <x:v>LongCat-2.0</x:v>
      </x:c>
      <x:c r="R712" s="30" t="n">
        <x:v>3565.82</x:v>
      </x:c>
      <x:c r="S712" s="30" t="str">
        <x:v>{"completion_tokens": 79, "prompt_tokens": 165,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3">
      <x:c r="A713" s="30" t="str">
        <x:v>memos_medium:1717</x:v>
      </x:c>
      <x:c r="B713" s="30" t="str">
        <x:v>medium</x:v>
      </x:c>
      <x:c r="C713" s="30" t="str">
        <x:v>Generalization &amp; Application</x:v>
      </x:c>
      <x:c r="D713" s="30" t="n">
        <x:v>1</x:v>
      </x:c>
      <x:c r="E713" s="30" t="str">
        <x:v>What types of dietary alternatives might Susan explore next based on her recent experiences?</x:v>
      </x:c>
      <x:c r="F713" s="30" t="str">
        <x:v>Plant-based and other health-focused alternatives.</x:v>
      </x:c>
      <x:c r="G713" s="30" t="str">
        <x:v>Lactose-free and plant-based alternatives.</x:v>
      </x:c>
      <x:c r="H713" s="30" t="str">
        <x:v>deepseek-v4-flash</x:v>
      </x:c>
      <x:c r="I713" s="30" t="str">
        <x:v>deepseek-v4-flash</x:v>
      </x:c>
      <x:c r="J713" s="30" t="str">
        <x:v>d813582dae012ed0abfccd1b3b10cd129026cb43d8f0fd65f3c39000768a7dc0</x:v>
      </x:c>
      <x:c r="K713" s="30" t="str">
        <x:v>d52138822c269d0b1926d5e1445aab7cc66a8e3e57835acdee6d2a044c878457</x:v>
      </x:c>
      <x:c r="L713" s="30" t="n">
        <x:v>717.77</x:v>
      </x:c>
      <x:c r="M713" s="30" t="str">
        <x:v>{"completion_tokens": 9, "prompt_tokens": 599, "total_tokens": 608, "completion_tokens_details": null, "prompt_tokens_details": {"audio_tokens": null, "cached_tokens": 512}, "prompt_cache_hit_tokens": 512, "prompt_cache_miss_tokens": 87}</x:v>
      </x:c>
      <x:c r="N713" s="30" t="str">
        <x:v>hallucination</x:v>
      </x:c>
      <x:c r="O713" s="30" t="str">
        <x:v>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partial answer.</x:v>
      </x:c>
      <x:c r="P713" s="30" t="str">
        <x:v>LongCat-2.0</x:v>
      </x:c>
      <x:c r="Q713" s="30" t="str">
        <x:v>LongCat-2.0</x:v>
      </x:c>
      <x:c r="R713" s="30" t="n">
        <x:v>4457.25</x:v>
      </x:c>
      <x:c r="S713" s="30" t="str">
        <x:v>{"completion_tokens": 88, "prompt_tokens": 149,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4">
      <x:c r="A714" s="30" t="str">
        <x:v>memos_medium:1717</x:v>
      </x:c>
      <x:c r="B714" s="30" t="str">
        <x:v>medium</x:v>
      </x:c>
      <x:c r="C714" s="30" t="str">
        <x:v>Generalization &amp; Application</x:v>
      </x:c>
      <x:c r="D714" s="30" t="n">
        <x:v>2</x:v>
      </x:c>
      <x:c r="E714" s="30" t="str">
        <x:v>What types of dietary alternatives might Susan explore next based on her recent experiences?</x:v>
      </x:c>
      <x:c r="F714" s="30" t="str">
        <x:v>Plant-based and other health-focused alternatives.</x:v>
      </x:c>
      <x:c r="G714" s="30" t="str">
        <x:v>Lactose-free and plant-based alternatives.</x:v>
      </x:c>
      <x:c r="H714" s="30" t="str">
        <x:v>deepseek-v4-flash</x:v>
      </x:c>
      <x:c r="I714" s="30" t="str">
        <x:v>deepseek-v4-flash</x:v>
      </x:c>
      <x:c r="J714" s="30" t="str">
        <x:v>d813582dae012ed0abfccd1b3b10cd129026cb43d8f0fd65f3c39000768a7dc0</x:v>
      </x:c>
      <x:c r="K714" s="30" t="str">
        <x:v>d52138822c269d0b1926d5e1445aab7cc66a8e3e57835acdee6d2a044c878457</x:v>
      </x:c>
      <x:c r="L714" s="30" t="n">
        <x:v>817.88</x:v>
      </x:c>
      <x:c r="M714" s="30" t="str">
        <x:v>{"completion_tokens": 9, "prompt_tokens": 599, "total_tokens": 608, "completion_tokens_details": null, "prompt_tokens_details": {"audio_tokens": null, "cached_tokens": 512}, "prompt_cache_hit_tokens": 512, "prompt_cache_miss_tokens": 87}</x:v>
      </x:c>
      <x:c r="N714" s="30" t="str">
        <x:v>hallucination</x:v>
      </x:c>
      <x:c r="O714" s="30" t="str">
        <x:v>The gold answer specifies 'Plant-based and other health-focused alternatives.' The model answer includes 'plant-based' which is part of the gold answer, but adds 'lactose-free' which is not mentioned or supported in the gold answer. Since the model introduces a concrete unsupported claim ('lactose-free'), this constitutes a hallucination rather than a correct or omitted answer.</x:v>
      </x:c>
      <x:c r="P714" s="30" t="str">
        <x:v>LongCat-2.0</x:v>
      </x:c>
      <x:c r="Q714" s="30" t="str">
        <x:v>LongCat-2.0</x:v>
      </x:c>
      <x:c r="R714" s="30" t="n">
        <x:v>3678.16</x:v>
      </x:c>
      <x:c r="S714" s="30" t="str">
        <x:v>{"completion_tokens": 88, "prompt_tokens": 149,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5">
      <x:c r="A715" s="30" t="str">
        <x:v>memos_medium:1717</x:v>
      </x:c>
      <x:c r="B715" s="30" t="str">
        <x:v>medium</x:v>
      </x:c>
      <x:c r="C715" s="30" t="str">
        <x:v>Generalization &amp; Application</x:v>
      </x:c>
      <x:c r="D715" s="30" t="n">
        <x:v>3</x:v>
      </x:c>
      <x:c r="E715" s="30" t="str">
        <x:v>What types of dietary alternatives might Susan explore next based on her recent experiences?</x:v>
      </x:c>
      <x:c r="F715" s="30" t="str">
        <x:v>Plant-based and other health-focused alternatives.</x:v>
      </x:c>
      <x:c r="G715" s="30" t="str">
        <x:v>Lactose-free and plant-based alternatives.</x:v>
      </x:c>
      <x:c r="H715" s="30" t="str">
        <x:v>deepseek-v4-flash</x:v>
      </x:c>
      <x:c r="I715" s="30" t="str">
        <x:v>deepseek-v4-flash</x:v>
      </x:c>
      <x:c r="J715" s="30" t="str">
        <x:v>d813582dae012ed0abfccd1b3b10cd129026cb43d8f0fd65f3c39000768a7dc0</x:v>
      </x:c>
      <x:c r="K715" s="30" t="str">
        <x:v>d52138822c269d0b1926d5e1445aab7cc66a8e3e57835acdee6d2a044c878457</x:v>
      </x:c>
      <x:c r="L715" s="30" t="n">
        <x:v>689.53</x:v>
      </x:c>
      <x:c r="M715" s="30" t="str">
        <x:v>{"completion_tokens": 9, "prompt_tokens": 599, "total_tokens": 608, "completion_tokens_details": null, "prompt_tokens_details": {"audio_tokens": null, "cached_tokens": 512}, "prompt_cache_hit_tokens": 512, "prompt_cache_miss_tokens": 87}</x:v>
      </x:c>
      <x:c r="N715" s="30" t="str">
        <x:v>omission</x:v>
      </x:c>
      <x:c r="O715" s="30" t="str">
        <x:v>The model answer mentions 'lactose-free and plant-based alternatives.' While 'plant-based' is part of the gold answer, 'lactose-free' is not mentioned in the gold answer and is not a concrete false claim that contradicts it, but the model answer omits the broader 'other health-focused alternatives' category from the gold answer, providing only an incomplete subset.</x:v>
      </x:c>
      <x:c r="P715" s="30" t="str">
        <x:v>LongCat-2.0</x:v>
      </x:c>
      <x:c r="Q715" s="30" t="str">
        <x:v>LongCat-2.0</x:v>
      </x:c>
      <x:c r="R715" s="30" t="n">
        <x:v>3660.15</x:v>
      </x:c>
      <x:c r="S715" s="30" t="str">
        <x:v>{"completion_tokens": 88, "prompt_tokens": 149,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16">
      <x:c r="A716" s="30" t="str">
        <x:v>memos_medium:1724</x:v>
      </x:c>
      <x:c r="B716" s="30" t="str">
        <x:v>medium</x:v>
      </x:c>
      <x:c r="C716" s="30" t="str">
        <x:v>Generalization &amp; Application</x:v>
      </x:c>
      <x:c r="D716" s="30" t="n">
        <x:v>1</x:v>
      </x:c>
      <x:c r="E716" s="30" t="str">
        <x:v>How might Susan Thompson's appreciation for cats influence her choice of pets in future health workshops after Jun 10, 2037?</x:v>
      </x:c>
      <x:c r="F716" s="30" t="str">
        <x:v>She may suggest pets with stress-reducing qualities.</x:v>
      </x:c>
      <x:c r="G716" s="30" t="str">
        <x:v>She will choose cats.</x:v>
      </x:c>
      <x:c r="H716" s="30" t="str">
        <x:v>deepseek-v4-flash</x:v>
      </x:c>
      <x:c r="I716" s="30" t="str">
        <x:v>deepseek-v4-flash</x:v>
      </x:c>
      <x:c r="J716" s="30" t="str">
        <x:v>df401a91a540c04e4cf74e396027bb262872519f02cc16a7ccd49c3140c808d0</x:v>
      </x:c>
      <x:c r="K716" s="30" t="str">
        <x:v>caab02721e7f552063b9fbb03bf5565693b4672acf64a95178f78042d656e80a</x:v>
      </x:c>
      <x:c r="L716" s="30" t="n">
        <x:v>772.08</x:v>
      </x:c>
      <x:c r="M716" s="30" t="str">
        <x:v>{"completion_tokens": 5, "prompt_tokens": 591, "total_tokens": 596, "completion_tokens_details": null, "prompt_tokens_details": {"audio_tokens": null, "cached_tokens": 512}, "prompt_cache_hit_tokens": 512, "prompt_cache_miss_tokens": 79}</x:v>
      </x:c>
      <x:c r="N716" s="30" t="str">
        <x:v>omission</x:v>
      </x:c>
      <x:c r="O716" s="30" t="str">
        <x:v>The gold answer states she may suggest pets with stress-reducing qualities, which is a broader category that includes cats but is not limited to them. The model answer narrows it down to only cats, which is an incomplete subset of the gold answer and does not fully capture the semantic content of suggesting pets with stress-reducing qualities.</x:v>
      </x:c>
      <x:c r="P716" s="30" t="str">
        <x:v>LongCat-2.0</x:v>
      </x:c>
      <x:c r="Q716" s="30" t="str">
        <x:v>LongCat-2.0</x:v>
      </x:c>
      <x:c r="R716" s="30" t="n">
        <x:v>3271.99</x:v>
      </x:c>
      <x:c r="S716" s="30" t="str">
        <x:v>{"completion_tokens": 78, "prompt_tokens": 161,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7">
      <x:c r="A717" s="30" t="str">
        <x:v>memos_medium:1724</x:v>
      </x:c>
      <x:c r="B717" s="30" t="str">
        <x:v>medium</x:v>
      </x:c>
      <x:c r="C717" s="30" t="str">
        <x:v>Generalization &amp; Application</x:v>
      </x:c>
      <x:c r="D717" s="30" t="n">
        <x:v>2</x:v>
      </x:c>
      <x:c r="E717" s="30" t="str">
        <x:v>How might Susan Thompson's appreciation for cats influence her choice of pets in future health workshops after Jun 10, 2037?</x:v>
      </x:c>
      <x:c r="F717" s="30" t="str">
        <x:v>She may suggest pets with stress-reducing qualities.</x:v>
      </x:c>
      <x:c r="G717" s="30" t="str">
        <x:v>She will choose cats.</x:v>
      </x:c>
      <x:c r="H717" s="30" t="str">
        <x:v>deepseek-v4-flash</x:v>
      </x:c>
      <x:c r="I717" s="30" t="str">
        <x:v>deepseek-v4-flash</x:v>
      </x:c>
      <x:c r="J717" s="30" t="str">
        <x:v>df401a91a540c04e4cf74e396027bb262872519f02cc16a7ccd49c3140c808d0</x:v>
      </x:c>
      <x:c r="K717" s="30" t="str">
        <x:v>caab02721e7f552063b9fbb03bf5565693b4672acf64a95178f78042d656e80a</x:v>
      </x:c>
      <x:c r="L717" s="30" t="n">
        <x:v>799.76</x:v>
      </x:c>
      <x:c r="M717" s="30" t="str">
        <x:v>{"completion_tokens": 5, "prompt_tokens": 591, "total_tokens": 596, "completion_tokens_details": null, "prompt_tokens_details": {"audio_tokens": null, "cached_tokens": 512}, "prompt_cache_hit_tokens": 512, "prompt_cache_miss_tokens": 79}</x:v>
      </x:c>
      <x:c r="N717" s="30" t="str">
        <x:v>hallucination</x:v>
      </x:c>
      <x:c r="O717" s="30" t="str">
        <x:v>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x:v>
      </x:c>
      <x:c r="P717" s="30" t="str">
        <x:v>LongCat-2.0</x:v>
      </x:c>
      <x:c r="Q717" s="30" t="str">
        <x:v>LongCat-2.0</x:v>
      </x:c>
      <x:c r="R717" s="30" t="n">
        <x:v>4740.14</x:v>
      </x:c>
      <x:c r="S717" s="30" t="str">
        <x:v>{"completion_tokens": 72, "prompt_tokens": 161,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18">
      <x:c r="A718" s="30" t="str">
        <x:v>memos_medium:1724</x:v>
      </x:c>
      <x:c r="B718" s="30" t="str">
        <x:v>medium</x:v>
      </x:c>
      <x:c r="C718" s="30" t="str">
        <x:v>Generalization &amp; Application</x:v>
      </x:c>
      <x:c r="D718" s="30" t="n">
        <x:v>3</x:v>
      </x:c>
      <x:c r="E718" s="30" t="str">
        <x:v>How might Susan Thompson's appreciation for cats influence her choice of pets in future health workshops after Jun 10, 2037?</x:v>
      </x:c>
      <x:c r="F718" s="30" t="str">
        <x:v>She may suggest pets with stress-reducing qualities.</x:v>
      </x:c>
      <x:c r="G718" s="30" t="str">
        <x:v>She will choose cats.</x:v>
      </x:c>
      <x:c r="H718" s="30" t="str">
        <x:v>deepseek-v4-flash</x:v>
      </x:c>
      <x:c r="I718" s="30" t="str">
        <x:v>deepseek-v4-flash</x:v>
      </x:c>
      <x:c r="J718" s="30" t="str">
        <x:v>df401a91a540c04e4cf74e396027bb262872519f02cc16a7ccd49c3140c808d0</x:v>
      </x:c>
      <x:c r="K718" s="30" t="str">
        <x:v>caab02721e7f552063b9fbb03bf5565693b4672acf64a95178f78042d656e80a</x:v>
      </x:c>
      <x:c r="L718" s="30" t="n">
        <x:v>625.39</x:v>
      </x:c>
      <x:c r="M718" s="30" t="str">
        <x:v>{"completion_tokens": 5, "prompt_tokens": 591, "total_tokens": 596, "completion_tokens_details": null, "prompt_tokens_details": {"audio_tokens": null, "cached_tokens": 512}, "prompt_cache_hit_tokens": 512, "prompt_cache_miss_tokens": 79}</x:v>
      </x:c>
      <x:c r="N718" s="30" t="str">
        <x:v>hallucination</x:v>
      </x:c>
      <x:c r="O718" s="30" t="str">
        <x:v>The gold answer states she may suggest pets with stress-reducing qualities, which is a general category that could include cats but is not limited to them. The model answer narrows this down specifically to cats, introducing an unsupported concrete claim that contradicts the broader, more cautious scope of the gold answer.</x:v>
      </x:c>
      <x:c r="P718" s="30" t="str">
        <x:v>LongCat-2.0</x:v>
      </x:c>
      <x:c r="Q718" s="30" t="str">
        <x:v>LongCat-2.0</x:v>
      </x:c>
      <x:c r="R718" s="30" t="n">
        <x:v>3488.09</x:v>
      </x:c>
      <x:c r="S718" s="30" t="str">
        <x:v>{"completion_tokens": 72, "prompt_tokens": 161,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19">
      <x:c r="A719" s="30" t="str">
        <x:v>memos_medium:1735</x:v>
      </x:c>
      <x:c r="B719" s="30" t="str">
        <x:v>medium</x:v>
      </x:c>
      <x:c r="C719" s="30" t="str">
        <x:v>Multi-hop Inference</x:v>
      </x:c>
      <x:c r="D719" s="30" t="n">
        <x:v>1</x:v>
      </x:c>
      <x:c r="E719" s="30" t="str">
        <x:v>As of Mar 19, 2038, how has Susan Thompson's career focus changed since Jun 19, 2037?</x:v>
      </x:c>
      <x:c r="F719" s="30" t="str">
        <x:v>From Health Advocate to Strategic Wellness Planner.</x:v>
      </x:c>
      <x:c r="G719" s="30" t="str">
        <x:v>Strategic Wellness Planner</x:v>
      </x:c>
      <x:c r="H719" s="30" t="str">
        <x:v>deepseek-v4-flash</x:v>
      </x:c>
      <x:c r="I719" s="30" t="str">
        <x:v>deepseek-v4-flash</x:v>
      </x:c>
      <x:c r="J719" s="30" t="str">
        <x:v>cc1668b15ab95f9dbbb0c7e8bea00eed6ba01b055d5a44bd667c29097685fbb6</x:v>
      </x:c>
      <x:c r="K719" s="30" t="str">
        <x:v>2ba0f07ca9b560dd7d457dedb1ffcd1af7a577f611d85e6cc18ff2c8c196c866</x:v>
      </x:c>
      <x:c r="L719" s="30" t="n">
        <x:v>559.9</x:v>
      </x:c>
      <x:c r="M719" s="30" t="str">
        <x:v>{"completion_tokens": 3, "prompt_tokens": 603, "total_tokens": 606, "completion_tokens_details": null, "prompt_tokens_details": {"audio_tokens": null, "cached_tokens": 512}, "prompt_cache_hit_tokens": 512, "prompt_cache_miss_tokens": 91}</x:v>
      </x:c>
      <x:c r="N719" s="30" t="str">
        <x:v>omission</x:v>
      </x:c>
      <x:c r="O719" s="30" t="str">
        <x:v>The model answer only provides the current role (Strategic Wellness Planner) but omits the previous role (Health Advocate) that is required to fully describe the career focus change since Jun 19, 2037.</x:v>
      </x:c>
      <x:c r="P719" s="30" t="str">
        <x:v>LongCat-2.0</x:v>
      </x:c>
      <x:c r="Q719" s="30" t="str">
        <x:v>LongCat-2.0</x:v>
      </x:c>
      <x:c r="R719" s="30" t="n">
        <x:v>4015.35</x:v>
      </x:c>
      <x:c r="S719" s="30" t="str">
        <x:v>{"completion_tokens": 60, "prompt_tokens": 167,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0">
      <x:c r="A720" s="30" t="str">
        <x:v>memos_medium:1735</x:v>
      </x:c>
      <x:c r="B720" s="30" t="str">
        <x:v>medium</x:v>
      </x:c>
      <x:c r="C720" s="30" t="str">
        <x:v>Multi-hop Inference</x:v>
      </x:c>
      <x:c r="D720" s="30" t="n">
        <x:v>2</x:v>
      </x:c>
      <x:c r="E720" s="30" t="str">
        <x:v>As of Mar 19, 2038, how has Susan Thompson's career focus changed since Jun 19, 2037?</x:v>
      </x:c>
      <x:c r="F720" s="30" t="str">
        <x:v>From Health Advocate to Strategic Wellness Planner.</x:v>
      </x:c>
      <x:c r="G720" s="30" t="str">
        <x:v>Strategic Wellness Planner</x:v>
      </x:c>
      <x:c r="H720" s="30" t="str">
        <x:v>deepseek-v4-flash</x:v>
      </x:c>
      <x:c r="I720" s="30" t="str">
        <x:v>deepseek-v4-flash</x:v>
      </x:c>
      <x:c r="J720" s="30" t="str">
        <x:v>cc1668b15ab95f9dbbb0c7e8bea00eed6ba01b055d5a44bd667c29097685fbb6</x:v>
      </x:c>
      <x:c r="K720" s="30" t="str">
        <x:v>2ba0f07ca9b560dd7d457dedb1ffcd1af7a577f611d85e6cc18ff2c8c196c866</x:v>
      </x:c>
      <x:c r="L720" s="30" t="n">
        <x:v>612.5</x:v>
      </x:c>
      <x:c r="M720" s="30" t="str">
        <x:v>{"completion_tokens": 3, "prompt_tokens": 603, "total_tokens": 606, "completion_tokens_details": null, "prompt_tokens_details": {"audio_tokens": null, "cached_tokens": 512}, "prompt_cache_hit_tokens": 512, "prompt_cache_miss_tokens": 91}</x:v>
      </x:c>
      <x:c r="N720" s="30" t="str">
        <x:v>omission</x:v>
      </x:c>
      <x:c r="O720" s="30" t="str">
        <x:v>The gold answer describes a career change from 'Health Advocate' to 'Strategic Wellness Planner', capturing both the starting and ending roles. The model answer only provides the ending role ('Strategic Wellness Planner') without mentioning the prior role, making it an incomplete subset of the gold answer.</x:v>
      </x:c>
      <x:c r="P720" s="30" t="str">
        <x:v>LongCat-2.0</x:v>
      </x:c>
      <x:c r="Q720" s="30" t="str">
        <x:v>LongCat-2.0</x:v>
      </x:c>
      <x:c r="R720" s="30" t="n">
        <x:v>2777.34</x:v>
      </x:c>
      <x:c r="S720" s="30" t="str">
        <x:v>{"completion_tokens": 73, "prompt_tokens": 167,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1">
      <x:c r="A721" s="30" t="str">
        <x:v>memos_medium:1735</x:v>
      </x:c>
      <x:c r="B721" s="30" t="str">
        <x:v>medium</x:v>
      </x:c>
      <x:c r="C721" s="30" t="str">
        <x:v>Multi-hop Inference</x:v>
      </x:c>
      <x:c r="D721" s="30" t="n">
        <x:v>3</x:v>
      </x:c>
      <x:c r="E721" s="30" t="str">
        <x:v>As of Mar 19, 2038, how has Susan Thompson's career focus changed since Jun 19, 2037?</x:v>
      </x:c>
      <x:c r="F721" s="30" t="str">
        <x:v>From Health Advocate to Strategic Wellness Planner.</x:v>
      </x:c>
      <x:c r="G721" s="30" t="str">
        <x:v>Strategic Wellness Planner</x:v>
      </x:c>
      <x:c r="H721" s="30" t="str">
        <x:v>deepseek-v4-flash</x:v>
      </x:c>
      <x:c r="I721" s="30" t="str">
        <x:v>deepseek-v4-flash</x:v>
      </x:c>
      <x:c r="J721" s="30" t="str">
        <x:v>cc1668b15ab95f9dbbb0c7e8bea00eed6ba01b055d5a44bd667c29097685fbb6</x:v>
      </x:c>
      <x:c r="K721" s="30" t="str">
        <x:v>2ba0f07ca9b560dd7d457dedb1ffcd1af7a577f611d85e6cc18ff2c8c196c866</x:v>
      </x:c>
      <x:c r="L721" s="30" t="n">
        <x:v>767.01</x:v>
      </x:c>
      <x:c r="M721" s="30" t="str">
        <x:v>{"completion_tokens": 3, "prompt_tokens": 603, "total_tokens": 606, "completion_tokens_details": null, "prompt_tokens_details": {"audio_tokens": null, "cached_tokens": 512}, "prompt_cache_hit_tokens": 512, "prompt_cache_miss_tokens": 91}</x:v>
      </x:c>
      <x:c r="N721" s="30" t="str">
        <x:v>omission</x:v>
      </x:c>
      <x:c r="O721" s="30" t="str">
        <x:v>The model answer only provides the current role 'Strategic Wellness Planner' but omits the previous role 'Health Advocate', failing to capture the complete change in career focus described in the gold answer.</x:v>
      </x:c>
      <x:c r="P721" s="30" t="str">
        <x:v>LongCat-2.0</x:v>
      </x:c>
      <x:c r="Q721" s="30" t="str">
        <x:v>LongCat-2.0</x:v>
      </x:c>
      <x:c r="R721" s="30" t="n">
        <x:v>2432.12</x:v>
      </x:c>
      <x:c r="S721" s="30" t="str">
        <x:v>{"completion_tokens": 53, "prompt_tokens": 167,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2">
      <x:c r="A722" s="30" t="str">
        <x:v>memos_medium:1754</x:v>
      </x:c>
      <x:c r="B722" s="30" t="str">
        <x:v>medium</x:v>
      </x:c>
      <x:c r="C722" s="30" t="str">
        <x:v>Generalization &amp; Application</x:v>
      </x:c>
      <x:c r="D722" s="30" t="n">
        <x:v>1</x:v>
      </x:c>
      <x:c r="E722" s="30" t="str">
        <x:v>What type of beverages might Susan Thompson explore during her wellness workshops after Oct 11, 2039?</x:v>
      </x:c>
      <x:c r="F722" s="30" t="str">
        <x:v>Low-sugar fruit juices.</x:v>
      </x:c>
      <x:c r="G722" s="30" t="str">
        <x:v>Low-sugar fruit juices.</x:v>
      </x:c>
      <x:c r="H722" s="30" t="str">
        <x:v>deepseek-v4-flash</x:v>
      </x:c>
      <x:c r="I722" s="30" t="str">
        <x:v>deepseek-v4-flash</x:v>
      </x:c>
      <x:c r="J722" s="30" t="str">
        <x:v>595e276553182c326fede14d766130e3ebbf1780c6c35b52ba12384ede073ddf</x:v>
      </x:c>
      <x:c r="K722" s="30" t="str">
        <x:v>28937c5357fae16d89c0dc944439d7b8a1e2bab73bea432415773537135afe12</x:v>
      </x:c>
      <x:c r="L722" s="30" t="n">
        <x:v>578.15</x:v>
      </x:c>
      <x:c r="M722" s="30" t="str">
        <x:v>{"completion_tokens": 6, "prompt_tokens": 605, "total_tokens": 611, "completion_tokens_details": null, "prompt_tokens_details": {"audio_tokens": null, "cached_tokens": 512}, "prompt_cache_hit_tokens": 512, "prompt_cache_miss_tokens": 93}</x:v>
      </x:c>
      <x:c r="N722" s="30" t="str">
        <x:v>correct</x:v>
      </x:c>
      <x:c r="O722" s="30" t="str">
        <x:v>The model answer exactly matches the benchmark gold answer 'Low-sugar fruit juices', providing the complete correct information without any contradiction or unsupported material.</x:v>
      </x:c>
      <x:c r="P722" s="30" t="str">
        <x:v>LongCat-2.0</x:v>
      </x:c>
      <x:c r="Q722" s="30" t="str">
        <x:v>LongCat-2.0</x:v>
      </x:c>
      <x:c r="R722" s="30" t="n">
        <x:v>2320.45</x:v>
      </x:c>
      <x:c r="S722" s="30" t="str">
        <x:v>{"completion_tokens": 39, "prompt_tokens": 153, "total_tokens": 192,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23">
      <x:c r="A723" s="30" t="str">
        <x:v>memos_medium:1754</x:v>
      </x:c>
      <x:c r="B723" s="30" t="str">
        <x:v>medium</x:v>
      </x:c>
      <x:c r="C723" s="30" t="str">
        <x:v>Generalization &amp; Application</x:v>
      </x:c>
      <x:c r="D723" s="30" t="n">
        <x:v>2</x:v>
      </x:c>
      <x:c r="E723" s="30" t="str">
        <x:v>What type of beverages might Susan Thompson explore during her wellness workshops after Oct 11, 2039?</x:v>
      </x:c>
      <x:c r="F723" s="30" t="str">
        <x:v>Low-sugar fruit juices.</x:v>
      </x:c>
      <x:c r="G723" s="30" t="str">
        <x:v>Low-sugar fruit juices.</x:v>
      </x:c>
      <x:c r="H723" s="30" t="str">
        <x:v>deepseek-v4-flash</x:v>
      </x:c>
      <x:c r="I723" s="30" t="str">
        <x:v>deepseek-v4-flash</x:v>
      </x:c>
      <x:c r="J723" s="30" t="str">
        <x:v>595e276553182c326fede14d766130e3ebbf1780c6c35b52ba12384ede073ddf</x:v>
      </x:c>
      <x:c r="K723" s="30" t="str">
        <x:v>28937c5357fae16d89c0dc944439d7b8a1e2bab73bea432415773537135afe12</x:v>
      </x:c>
      <x:c r="L723" s="30" t="n">
        <x:v>621.85</x:v>
      </x:c>
      <x:c r="M723" s="30" t="str">
        <x:v>{"completion_tokens": 6, "prompt_tokens": 605, "total_tokens": 611, "completion_tokens_details": null, "prompt_tokens_details": {"audio_tokens": null, "cached_tokens": 512}, "prompt_cache_hit_tokens": 512, "prompt_cache_miss_tokens": 93}</x:v>
      </x:c>
      <x:c r="N723" s="30" t="str">
        <x:v>correct</x:v>
      </x:c>
      <x:c r="O723" s="30" t="str">
        <x:v>The model answer exactly matches the benchmark gold answer 'Low-sugar fruit juices,' providing the complete expected response without any contradiction or unsupported material.</x:v>
      </x:c>
      <x:c r="P723" s="30" t="str">
        <x:v>LongCat-2.0</x:v>
      </x:c>
      <x:c r="Q723" s="30" t="str">
        <x:v>LongCat-2.0</x:v>
      </x:c>
      <x:c r="R723" s="30" t="n">
        <x:v>2204.07</x:v>
      </x:c>
      <x:c r="S723" s="30" t="str">
        <x:v>{"completion_tokens": 39, "prompt_tokens": 153,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4">
      <x:c r="A724" s="30" t="str">
        <x:v>memos_medium:1754</x:v>
      </x:c>
      <x:c r="B724" s="30" t="str">
        <x:v>medium</x:v>
      </x:c>
      <x:c r="C724" s="30" t="str">
        <x:v>Generalization &amp; Application</x:v>
      </x:c>
      <x:c r="D724" s="30" t="n">
        <x:v>3</x:v>
      </x:c>
      <x:c r="E724" s="30" t="str">
        <x:v>What type of beverages might Susan Thompson explore during her wellness workshops after Oct 11, 2039?</x:v>
      </x:c>
      <x:c r="F724" s="30" t="str">
        <x:v>Low-sugar fruit juices.</x:v>
      </x:c>
      <x:c r="G724" s="30" t="str">
        <x:v>Low-sugar fruit juices.</x:v>
      </x:c>
      <x:c r="H724" s="30" t="str">
        <x:v>deepseek-v4-flash</x:v>
      </x:c>
      <x:c r="I724" s="30" t="str">
        <x:v>deepseek-v4-flash</x:v>
      </x:c>
      <x:c r="J724" s="30" t="str">
        <x:v>595e276553182c326fede14d766130e3ebbf1780c6c35b52ba12384ede073ddf</x:v>
      </x:c>
      <x:c r="K724" s="30" t="str">
        <x:v>28937c5357fae16d89c0dc944439d7b8a1e2bab73bea432415773537135afe12</x:v>
      </x:c>
      <x:c r="L724" s="30" t="n">
        <x:v>967.62</x:v>
      </x:c>
      <x:c r="M724" s="30" t="str">
        <x:v>{"completion_tokens": 6, "prompt_tokens": 605, "total_tokens": 611, "completion_tokens_details": null, "prompt_tokens_details": {"audio_tokens": null, "cached_tokens": 512}, "prompt_cache_hit_tokens": 512, "prompt_cache_miss_tokens": 93}</x:v>
      </x:c>
      <x:c r="N724" s="30" t="str">
        <x:v>correct</x:v>
      </x:c>
      <x:c r="O724" s="30" t="str">
        <x:v>The model answer exactly matches the benchmark gold answer 'Low-sugar fruit juices', providing the complete correct information without any contradiction or unsupported material.</x:v>
      </x:c>
      <x:c r="P724" s="30" t="str">
        <x:v>LongCat-2.0</x:v>
      </x:c>
      <x:c r="Q724" s="30" t="str">
        <x:v>LongCat-2.0</x:v>
      </x:c>
      <x:c r="R724" s="30" t="n">
        <x:v>2469.73</x:v>
      </x:c>
      <x:c r="S724" s="30" t="str">
        <x:v>{"completion_tokens": 39, "prompt_tokens": 153,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5">
      <x:c r="A725" s="30" t="str">
        <x:v>memos_medium:1757</x:v>
      </x:c>
      <x:c r="B725" s="30" t="str">
        <x:v>medium</x:v>
      </x:c>
      <x:c r="C725" s="30" t="str">
        <x:v>Multi-hop Inference</x:v>
      </x:c>
      <x:c r="D725" s="30" t="n">
        <x:v>1</x:v>
      </x:c>
      <x:c r="E725" s="30" t="str">
        <x:v>How did Susan Thompson's salary increase influence her ability to inspire others in the wellness sector?</x:v>
      </x:c>
      <x:c r="F725" s="30" t="str">
        <x:v>It enhanced her capacity to support other women.</x:v>
      </x:c>
      <x:c r="G725" s="30" t="str">
        <x:v>Enhanced her ability to inspire.</x:v>
      </x:c>
      <x:c r="H725" s="30" t="str">
        <x:v>deepseek-v4-flash</x:v>
      </x:c>
      <x:c r="I725" s="30" t="str">
        <x:v>deepseek-v4-flash</x:v>
      </x:c>
      <x:c r="J725" s="30" t="str">
        <x:v>e2bb45e9fa68f3b9262f011d9de8630a8877584f7fdbe836d57da17c79381778</x:v>
      </x:c>
      <x:c r="K725" s="30" t="str">
        <x:v>e0cf8933f65fae0e6edf91c3a0cbc9995e0978beea429176c359af3ac889b76b</x:v>
      </x:c>
      <x:c r="L725" s="30" t="n">
        <x:v>672.22</x:v>
      </x:c>
      <x:c r="M725" s="30" t="str">
        <x:v>{"completion_tokens": 6, "prompt_tokens": 605, "total_tokens": 611, "completion_tokens_details": null, "prompt_tokens_details": {"audio_tokens": null, "cached_tokens": 512}, "prompt_cache_hit_tokens": 512, "prompt_cache_miss_tokens": 93}</x:v>
      </x:c>
      <x:c r="N725" s="30" t="str">
        <x:v>omission</x:v>
      </x:c>
      <x:c r="O725" s="30" t="str">
        <x:v>The model answer 'Enhanced her ability to inspire' is vague and incomplete compared to the gold answer, which specifies that the salary increase enhanced her capacity to support other women. The model answer omits the key detail about supporting other women, providing only a generic subset of the gold answer without adding false claims.</x:v>
      </x:c>
      <x:c r="P725" s="30" t="str">
        <x:v>LongCat-2.0</x:v>
      </x:c>
      <x:c r="Q725" s="30" t="str">
        <x:v>LongCat-2.0</x:v>
      </x:c>
      <x:c r="R725" s="30" t="n">
        <x:v>3111.71</x:v>
      </x:c>
      <x:c r="S725" s="30" t="str">
        <x:v>{"completion_tokens": 74, "prompt_tokens": 151,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6">
      <x:c r="A726" s="30" t="str">
        <x:v>memos_medium:1757</x:v>
      </x:c>
      <x:c r="B726" s="30" t="str">
        <x:v>medium</x:v>
      </x:c>
      <x:c r="C726" s="30" t="str">
        <x:v>Multi-hop Inference</x:v>
      </x:c>
      <x:c r="D726" s="30" t="n">
        <x:v>2</x:v>
      </x:c>
      <x:c r="E726" s="30" t="str">
        <x:v>How did Susan Thompson's salary increase influence her ability to inspire others in the wellness sector?</x:v>
      </x:c>
      <x:c r="F726" s="30" t="str">
        <x:v>It enhanced her capacity to support other women.</x:v>
      </x:c>
      <x:c r="G726" s="30" t="str">
        <x:v>Enhanced her ability to inspire.</x:v>
      </x:c>
      <x:c r="H726" s="30" t="str">
        <x:v>deepseek-v4-flash</x:v>
      </x:c>
      <x:c r="I726" s="30" t="str">
        <x:v>deepseek-v4-flash</x:v>
      </x:c>
      <x:c r="J726" s="30" t="str">
        <x:v>e2bb45e9fa68f3b9262f011d9de8630a8877584f7fdbe836d57da17c79381778</x:v>
      </x:c>
      <x:c r="K726" s="30" t="str">
        <x:v>e0cf8933f65fae0e6edf91c3a0cbc9995e0978beea429176c359af3ac889b76b</x:v>
      </x:c>
      <x:c r="L726" s="30" t="n">
        <x:v>658.09</x:v>
      </x:c>
      <x:c r="M726" s="30" t="str">
        <x:v>{"completion_tokens": 6, "prompt_tokens": 605, "total_tokens": 611, "completion_tokens_details": null, "prompt_tokens_details": {"audio_tokens": null, "cached_tokens": 512}, "prompt_cache_hit_tokens": 512, "prompt_cache_miss_tokens": 93}</x:v>
      </x:c>
      <x:c r="N726" s="30" t="str">
        <x:v>omission</x:v>
      </x:c>
      <x:c r="O726" s="30" t="str">
        <x:v>The model answer 'Enhanced her ability to inspire' captures part of the gold answer's meaning but omits the specific detail that the support was directed toward 'other women,' which is a key element of the complete gold answer.</x:v>
      </x:c>
      <x:c r="P726" s="30" t="str">
        <x:v>LongCat-2.0</x:v>
      </x:c>
      <x:c r="Q726" s="30" t="str">
        <x:v>LongCat-2.0</x:v>
      </x:c>
      <x:c r="R726" s="30" t="n">
        <x:v>2926.84</x:v>
      </x:c>
      <x:c r="S726" s="30" t="str">
        <x:v>{"completion_tokens": 58, "prompt_tokens": 151,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7">
      <x:c r="A727" s="30" t="str">
        <x:v>memos_medium:1757</x:v>
      </x:c>
      <x:c r="B727" s="30" t="str">
        <x:v>medium</x:v>
      </x:c>
      <x:c r="C727" s="30" t="str">
        <x:v>Multi-hop Inference</x:v>
      </x:c>
      <x:c r="D727" s="30" t="n">
        <x:v>3</x:v>
      </x:c>
      <x:c r="E727" s="30" t="str">
        <x:v>How did Susan Thompson's salary increase influence her ability to inspire others in the wellness sector?</x:v>
      </x:c>
      <x:c r="F727" s="30" t="str">
        <x:v>It enhanced her capacity to support other women.</x:v>
      </x:c>
      <x:c r="G727" s="30" t="str">
        <x:v>Enhanced her ability to inspire.</x:v>
      </x:c>
      <x:c r="H727" s="30" t="str">
        <x:v>deepseek-v4-flash</x:v>
      </x:c>
      <x:c r="I727" s="30" t="str">
        <x:v>deepseek-v4-flash</x:v>
      </x:c>
      <x:c r="J727" s="30" t="str">
        <x:v>e2bb45e9fa68f3b9262f011d9de8630a8877584f7fdbe836d57da17c79381778</x:v>
      </x:c>
      <x:c r="K727" s="30" t="str">
        <x:v>e0cf8933f65fae0e6edf91c3a0cbc9995e0978beea429176c359af3ac889b76b</x:v>
      </x:c>
      <x:c r="L727" s="30" t="n">
        <x:v>797.59</x:v>
      </x:c>
      <x:c r="M727" s="30" t="str">
        <x:v>{"completion_tokens": 6, "prompt_tokens": 605, "total_tokens": 611, "completion_tokens_details": null, "prompt_tokens_details": {"audio_tokens": null, "cached_tokens": 512}, "prompt_cache_hit_tokens": 512, "prompt_cache_miss_tokens": 93}</x:v>
      </x:c>
      <x:c r="N727" s="30" t="str">
        <x:v>omission</x:v>
      </x:c>
      <x:c r="O727" s="30" t="str">
        <x:v>The model answer 'Enhanced her ability to inspire' is vague and incomplete compared to the gold answer, which specifies that the salary increase enhanced her capacity to support other women. The model answer omits the key detail about supporting other women, making it an incomplete subset of the gold answer.</x:v>
      </x:c>
      <x:c r="P727" s="30" t="str">
        <x:v>LongCat-2.0</x:v>
      </x:c>
      <x:c r="Q727" s="30" t="str">
        <x:v>LongCat-2.0</x:v>
      </x:c>
      <x:c r="R727" s="30" t="n">
        <x:v>2516.19</x:v>
      </x:c>
      <x:c r="S727" s="30" t="str">
        <x:v>{"completion_tokens": 70, "prompt_tokens": 151,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8">
      <x:c r="A728" s="30" t="str">
        <x:v>memos_medium:1807</x:v>
      </x:c>
      <x:c r="B728" s="30" t="str">
        <x:v>medium</x:v>
      </x:c>
      <x:c r="C728" s="30" t="str">
        <x:v>Generalization &amp; Application</x:v>
      </x:c>
      <x:c r="D728" s="30" t="n">
        <x:v>1</x:v>
      </x:c>
      <x:c r="E728" s="30" t="str">
        <x:v>What type of leisure activity could Michelle Hernandez pursue to support her professional growth after February 09, 2028?</x:v>
      </x:c>
      <x:c r="F728" s="30" t="str">
        <x:v>Intellectually stimulating hobbies aligning with career goals.</x:v>
      </x:c>
      <x:c r="G728" s="30" t="str">
        <x:v>Intellectually stimulating hobbies</x:v>
      </x:c>
      <x:c r="H728" s="30" t="str">
        <x:v>deepseek-v4-flash</x:v>
      </x:c>
      <x:c r="I728" s="30" t="str">
        <x:v>deepseek-v4-flash</x:v>
      </x:c>
      <x:c r="J728" s="30" t="str">
        <x:v>e4933daf0b2d5ddcd8c065d5966c87b0b6ed3771f5a0e868df14a773e6ff0649</x:v>
      </x:c>
      <x:c r="K728" s="30" t="str">
        <x:v>d77145bb485c46bfc880e1d822bce874d7372f04de1b0cfcda76d1ff5dc0b8cb</x:v>
      </x:c>
      <x:c r="L728" s="30" t="n">
        <x:v>793.66</x:v>
      </x:c>
      <x:c r="M728" s="30" t="str">
        <x:v>{"completion_tokens": 5, "prompt_tokens": 636, "total_tokens": 641, "completion_tokens_details": null, "prompt_tokens_details": {"audio_tokens": null, "cached_tokens": 512}, "prompt_cache_hit_tokens": 512, "prompt_cache_miss_tokens": 124}</x:v>
      </x:c>
      <x:c r="N728" s="30" t="str">
        <x:v>omission</x:v>
      </x:c>
      <x:c r="O728"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P728" s="30" t="str">
        <x:v>LongCat-2.0</x:v>
      </x:c>
      <x:c r="Q728" s="30" t="str">
        <x:v>LongCat-2.0</x:v>
      </x:c>
      <x:c r="R728" s="30" t="n">
        <x:v>2746.25</x:v>
      </x:c>
      <x:c r="S728" s="30" t="str">
        <x:v>{"completion_tokens": 69, "prompt_tokens": 161,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29">
      <x:c r="A729" s="30" t="str">
        <x:v>memos_medium:1807</x:v>
      </x:c>
      <x:c r="B729" s="30" t="str">
        <x:v>medium</x:v>
      </x:c>
      <x:c r="C729" s="30" t="str">
        <x:v>Generalization &amp; Application</x:v>
      </x:c>
      <x:c r="D729" s="30" t="n">
        <x:v>2</x:v>
      </x:c>
      <x:c r="E729" s="30" t="str">
        <x:v>What type of leisure activity could Michelle Hernandez pursue to support her professional growth after February 09, 2028?</x:v>
      </x:c>
      <x:c r="F729" s="30" t="str">
        <x:v>Intellectually stimulating hobbies aligning with career goals.</x:v>
      </x:c>
      <x:c r="G729" s="30" t="str">
        <x:v>Intellectually stimulating hobbies</x:v>
      </x:c>
      <x:c r="H729" s="30" t="str">
        <x:v>deepseek-v4-flash</x:v>
      </x:c>
      <x:c r="I729" s="30" t="str">
        <x:v>deepseek-v4-flash</x:v>
      </x:c>
      <x:c r="J729" s="30" t="str">
        <x:v>e4933daf0b2d5ddcd8c065d5966c87b0b6ed3771f5a0e868df14a773e6ff0649</x:v>
      </x:c>
      <x:c r="K729" s="30" t="str">
        <x:v>d77145bb485c46bfc880e1d822bce874d7372f04de1b0cfcda76d1ff5dc0b8cb</x:v>
      </x:c>
      <x:c r="L729" s="30" t="n">
        <x:v>769.83</x:v>
      </x:c>
      <x:c r="M729" s="30" t="str">
        <x:v>{"completion_tokens": 5, "prompt_tokens": 636, "total_tokens": 641, "completion_tokens_details": null, "prompt_tokens_details": {"audio_tokens": null, "cached_tokens": 512}, "prompt_cache_hit_tokens": 512, "prompt_cache_miss_tokens": 124}</x:v>
      </x:c>
      <x:c r="N729" s="30" t="str">
        <x:v>omission</x:v>
      </x:c>
      <x:c r="O729"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P729" s="30" t="str">
        <x:v>LongCat-2.0</x:v>
      </x:c>
      <x:c r="Q729" s="30" t="str">
        <x:v>LongCat-2.0</x:v>
      </x:c>
      <x:c r="R729" s="30" t="n">
        <x:v>2673.89</x:v>
      </x:c>
      <x:c r="S729" s="30" t="str">
        <x:v>{"completion_tokens": 69, "prompt_tokens": 161,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30">
      <x:c r="A730" s="30" t="str">
        <x:v>memos_medium:1807</x:v>
      </x:c>
      <x:c r="B730" s="30" t="str">
        <x:v>medium</x:v>
      </x:c>
      <x:c r="C730" s="30" t="str">
        <x:v>Generalization &amp; Application</x:v>
      </x:c>
      <x:c r="D730" s="30" t="n">
        <x:v>3</x:v>
      </x:c>
      <x:c r="E730" s="30" t="str">
        <x:v>What type of leisure activity could Michelle Hernandez pursue to support her professional growth after February 09, 2028?</x:v>
      </x:c>
      <x:c r="F730" s="30" t="str">
        <x:v>Intellectually stimulating hobbies aligning with career goals.</x:v>
      </x:c>
      <x:c r="G730" s="30" t="str">
        <x:v>Intellectually stimulating hobbies</x:v>
      </x:c>
      <x:c r="H730" s="30" t="str">
        <x:v>deepseek-v4-flash</x:v>
      </x:c>
      <x:c r="I730" s="30" t="str">
        <x:v>deepseek-v4-flash</x:v>
      </x:c>
      <x:c r="J730" s="30" t="str">
        <x:v>e4933daf0b2d5ddcd8c065d5966c87b0b6ed3771f5a0e868df14a773e6ff0649</x:v>
      </x:c>
      <x:c r="K730" s="30" t="str">
        <x:v>d77145bb485c46bfc880e1d822bce874d7372f04de1b0cfcda76d1ff5dc0b8cb</x:v>
      </x:c>
      <x:c r="L730" s="30" t="n">
        <x:v>750.99</x:v>
      </x:c>
      <x:c r="M730" s="30" t="str">
        <x:v>{"completion_tokens": 5, "prompt_tokens": 636, "total_tokens": 641, "completion_tokens_details": null, "prompt_tokens_details": {"audio_tokens": null, "cached_tokens": 512}, "prompt_cache_hit_tokens": 512, "prompt_cache_miss_tokens": 124}</x:v>
      </x:c>
      <x:c r="N730" s="30" t="str">
        <x:v>omission</x:v>
      </x:c>
      <x:c r="O730" s="30" t="str">
        <x:v>The model answer 'Intellectually stimulating hobbies' captures part of the gold answer but omits the key qualifying phrase 'aligning with career goals,' which is essential to the complete meaning. Since it provides only an incomplete subset without adding a false claim, it is an omission.</x:v>
      </x:c>
      <x:c r="P730" s="30" t="str">
        <x:v>LongCat-2.0</x:v>
      </x:c>
      <x:c r="Q730" s="30" t="str">
        <x:v>LongCat-2.0</x:v>
      </x:c>
      <x:c r="R730" s="30" t="n">
        <x:v>3859.65</x:v>
      </x:c>
      <x:c r="S730" s="30" t="str">
        <x:v>{"completion_tokens": 69, "prompt_tokens": 161,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1">
      <x:c r="A731" s="30" t="str">
        <x:v>memos_medium:1811</x:v>
      </x:c>
      <x:c r="B731" s="30" t="str">
        <x:v>medium</x:v>
      </x:c>
      <x:c r="C731" s="30" t="str">
        <x:v>Memory Conflict</x:v>
      </x:c>
      <x:c r="D731" s="30" t="n">
        <x:v>1</x:v>
      </x:c>
      <x:c r="E731" s="30" t="str">
        <x:v>Did Michelle Hernandez prioritize green tea in her daily routine as of July 02, 2028?</x:v>
      </x:c>
      <x:c r="F731" s="30" t="str">
        <x:v>No, Michelle deprioritized green tea due to increased work demands.</x:v>
      </x:c>
      <x:c r="G731" s="30" t="str">
        <x:v>No</x:v>
      </x:c>
      <x:c r="H731" s="30" t="str">
        <x:v>deepseek-v4-flash</x:v>
      </x:c>
      <x:c r="I731" s="30" t="str">
        <x:v>deepseek-v4-flash</x:v>
      </x:c>
      <x:c r="J731" s="30" t="str">
        <x:v>251203a8868e0f7c6ff434996fe5bb97353c41a6b2e3b08f5c96f777f65c097f</x:v>
      </x:c>
      <x:c r="K731" s="30" t="str">
        <x:v>1e2f1e90d26a1a3b9faf85cbb3de57410ec8e76157338b7a9ff1d31b9dcf7ada</x:v>
      </x:c>
      <x:c r="L731" s="30" t="n">
        <x:v>555.53</x:v>
      </x:c>
      <x:c r="M731" s="30" t="str">
        <x:v>{"completion_tokens": 1, "prompt_tokens": 544, "total_tokens": 545, "completion_tokens_details": null, "prompt_tokens_details": {"audio_tokens": null, "cached_tokens": 512}, "prompt_cache_hit_tokens": 512, "prompt_cache_miss_tokens": 32}</x:v>
      </x:c>
      <x:c r="N731" s="30" t="str">
        <x:v>omission</x:v>
      </x:c>
      <x:c r="O731" s="30" t="str">
        <x:v>The model answer 'No' is factually consistent with the gold answer but omits the key supporting detail (deprioritization due to increased work demands), providing only an incomplete subset of the gold answer.</x:v>
      </x:c>
      <x:c r="P731" s="30" t="str">
        <x:v>LongCat-2.0</x:v>
      </x:c>
      <x:c r="Q731" s="30" t="str">
        <x:v>LongCat-2.0</x:v>
      </x:c>
      <x:c r="R731" s="30" t="n">
        <x:v>2902.98</x:v>
      </x:c>
      <x:c r="S731" s="30" t="str">
        <x:v>{"completion_tokens": 54, "prompt_tokens": 156,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2">
      <x:c r="A732" s="30" t="str">
        <x:v>memos_medium:1811</x:v>
      </x:c>
      <x:c r="B732" s="30" t="str">
        <x:v>medium</x:v>
      </x:c>
      <x:c r="C732" s="30" t="str">
        <x:v>Memory Conflict</x:v>
      </x:c>
      <x:c r="D732" s="30" t="n">
        <x:v>2</x:v>
      </x:c>
      <x:c r="E732" s="30" t="str">
        <x:v>Did Michelle Hernandez prioritize green tea in her daily routine as of July 02, 2028?</x:v>
      </x:c>
      <x:c r="F732" s="30" t="str">
        <x:v>No, Michelle deprioritized green tea due to increased work demands.</x:v>
      </x:c>
      <x:c r="G732" s="30" t="str">
        <x:v>No</x:v>
      </x:c>
      <x:c r="H732" s="30" t="str">
        <x:v>deepseek-v4-flash</x:v>
      </x:c>
      <x:c r="I732" s="30" t="str">
        <x:v>deepseek-v4-flash</x:v>
      </x:c>
      <x:c r="J732" s="30" t="str">
        <x:v>251203a8868e0f7c6ff434996fe5bb97353c41a6b2e3b08f5c96f777f65c097f</x:v>
      </x:c>
      <x:c r="K732" s="30" t="str">
        <x:v>1e2f1e90d26a1a3b9faf85cbb3de57410ec8e76157338b7a9ff1d31b9dcf7ada</x:v>
      </x:c>
      <x:c r="L732" s="30" t="n">
        <x:v>514.6</x:v>
      </x:c>
      <x:c r="M732" s="30" t="str">
        <x:v>{"completion_tokens": 1, "prompt_tokens": 544, "total_tokens": 545, "completion_tokens_details": null, "prompt_tokens_details": {"audio_tokens": null, "cached_tokens": 512}, "prompt_cache_hit_tokens": 512, "prompt_cache_miss_tokens": 32}</x:v>
      </x:c>
      <x:c r="N732" s="30" t="str">
        <x:v>omission</x:v>
      </x:c>
      <x:c r="O732" s="30" t="str">
        <x:v>The model answer 'No' is factually aligned with the gold answer but omits the key supporting detail that Michelle deprioritized green tea due to increased work demands, making it an incomplete subset of the gold answer.</x:v>
      </x:c>
      <x:c r="P732" s="30" t="str">
        <x:v>LongCat-2.0</x:v>
      </x:c>
      <x:c r="Q732" s="30" t="str">
        <x:v>LongCat-2.0</x:v>
      </x:c>
      <x:c r="R732" s="30" t="n">
        <x:v>2974.01</x:v>
      </x:c>
      <x:c r="S732" s="30" t="str">
        <x:v>{"completion_tokens": 56, "prompt_tokens": 156,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33">
      <x:c r="A733" s="30" t="str">
        <x:v>memos_medium:1811</x:v>
      </x:c>
      <x:c r="B733" s="30" t="str">
        <x:v>medium</x:v>
      </x:c>
      <x:c r="C733" s="30" t="str">
        <x:v>Memory Conflict</x:v>
      </x:c>
      <x:c r="D733" s="30" t="n">
        <x:v>3</x:v>
      </x:c>
      <x:c r="E733" s="30" t="str">
        <x:v>Did Michelle Hernandez prioritize green tea in her daily routine as of July 02, 2028?</x:v>
      </x:c>
      <x:c r="F733" s="30" t="str">
        <x:v>No, Michelle deprioritized green tea due to increased work demands.</x:v>
      </x:c>
      <x:c r="G733" s="30" t="str">
        <x:v>No</x:v>
      </x:c>
      <x:c r="H733" s="30" t="str">
        <x:v>deepseek-v4-flash</x:v>
      </x:c>
      <x:c r="I733" s="30" t="str">
        <x:v>deepseek-v4-flash</x:v>
      </x:c>
      <x:c r="J733" s="30" t="str">
        <x:v>251203a8868e0f7c6ff434996fe5bb97353c41a6b2e3b08f5c96f777f65c097f</x:v>
      </x:c>
      <x:c r="K733" s="30" t="str">
        <x:v>1e2f1e90d26a1a3b9faf85cbb3de57410ec8e76157338b7a9ff1d31b9dcf7ada</x:v>
      </x:c>
      <x:c r="L733" s="30" t="n">
        <x:v>753.76</x:v>
      </x:c>
      <x:c r="M733" s="30" t="str">
        <x:v>{"completion_tokens": 1, "prompt_tokens": 544, "total_tokens": 545, "completion_tokens_details": null, "prompt_tokens_details": {"audio_tokens": null, "cached_tokens": 512}, "prompt_cache_hit_tokens": 512, "prompt_cache_miss_tokens": 32}</x:v>
      </x:c>
      <x:c r="N733" s="30" t="str">
        <x:v>omission</x:v>
      </x:c>
      <x:c r="O733" s="30" t="str">
        <x:v>The model answer 'No' is factually consistent with the gold answer but omits the key supporting detail that Michelle deprioritized green tea due to increased work demands, making it an incomplete subset of the gold answer.</x:v>
      </x:c>
      <x:c r="P733" s="30" t="str">
        <x:v>LongCat-2.0</x:v>
      </x:c>
      <x:c r="Q733" s="30" t="str">
        <x:v>LongCat-2.0</x:v>
      </x:c>
      <x:c r="R733" s="30" t="n">
        <x:v>2929.18</x:v>
      </x:c>
      <x:c r="S733" s="30" t="str">
        <x:v>{"completion_tokens": 56, "prompt_tokens": 156,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4">
      <x:c r="A734" s="30" t="str">
        <x:v>memos_medium:1815</x:v>
      </x:c>
      <x:c r="B734" s="30" t="str">
        <x:v>medium</x:v>
      </x:c>
      <x:c r="C734" s="30" t="str">
        <x:v>Basic Fact Recall</x:v>
      </x:c>
      <x:c r="D734" s="30" t="n">
        <x:v>1</x:v>
      </x:c>
      <x:c r="E734" s="30" t="str">
        <x:v>What travel preference did Michelle Hernandez modify on Apr 14, 2029?</x:v>
      </x:c>
      <x:c r="F734" s="30" t="str">
        <x:v>To include crowded tourist spots for data collection.</x:v>
      </x:c>
      <x:c r="G734" s="30" t="str">
        <x:v>Crowded tourist spots</x:v>
      </x:c>
      <x:c r="H734" s="30" t="str">
        <x:v>deepseek-v4-flash</x:v>
      </x:c>
      <x:c r="I734" s="30" t="str">
        <x:v>deepseek-v4-flash</x:v>
      </x:c>
      <x:c r="J734" s="30" t="str">
        <x:v>1cee1290d147bca778a8b81a54ef2784d5d5f5592f9c0cfce5251e4653cc7477</x:v>
      </x:c>
      <x:c r="K734" s="30" t="str">
        <x:v>e88e63623105143e9c48afe7b6facd7ac6af930053686e15e4fe65d7161bf39c</x:v>
      </x:c>
      <x:c r="L734" s="30" t="n">
        <x:v>511.4</x:v>
      </x:c>
      <x:c r="M734" s="30" t="str">
        <x:v>{"completion_tokens": 5, "prompt_tokens": 534, "total_tokens": 539, "completion_tokens_details": null, "prompt_tokens_details": {"audio_tokens": null, "cached_tokens": 512}, "prompt_cache_hit_tokens": 512, "prompt_cache_miss_tokens": 22}</x:v>
      </x:c>
      <x:c r="N734" s="30" t="str">
        <x:v>omission</x:v>
      </x:c>
      <x:c r="O734"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gold answer.</x:v>
      </x:c>
      <x:c r="P734" s="30" t="str">
        <x:v>LongCat-2.0</x:v>
      </x:c>
      <x:c r="Q734" s="30" t="str">
        <x:v>LongCat-2.0</x:v>
      </x:c>
      <x:c r="R734" s="30" t="n">
        <x:v>3206.52</x:v>
      </x:c>
      <x:c r="S734" s="30" t="str">
        <x:v>{"completion_tokens": 77, "prompt_tokens": 150,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35">
      <x:c r="A735" s="30" t="str">
        <x:v>memos_medium:1815</x:v>
      </x:c>
      <x:c r="B735" s="30" t="str">
        <x:v>medium</x:v>
      </x:c>
      <x:c r="C735" s="30" t="str">
        <x:v>Basic Fact Recall</x:v>
      </x:c>
      <x:c r="D735" s="30" t="n">
        <x:v>2</x:v>
      </x:c>
      <x:c r="E735" s="30" t="str">
        <x:v>What travel preference did Michelle Hernandez modify on Apr 14, 2029?</x:v>
      </x:c>
      <x:c r="F735" s="30" t="str">
        <x:v>To include crowded tourist spots for data collection.</x:v>
      </x:c>
      <x:c r="G735" s="30" t="str">
        <x:v>Crowded tourist spots</x:v>
      </x:c>
      <x:c r="H735" s="30" t="str">
        <x:v>deepseek-v4-flash</x:v>
      </x:c>
      <x:c r="I735" s="30" t="str">
        <x:v>deepseek-v4-flash</x:v>
      </x:c>
      <x:c r="J735" s="30" t="str">
        <x:v>1cee1290d147bca778a8b81a54ef2784d5d5f5592f9c0cfce5251e4653cc7477</x:v>
      </x:c>
      <x:c r="K735" s="30" t="str">
        <x:v>e88e63623105143e9c48afe7b6facd7ac6af930053686e15e4fe65d7161bf39c</x:v>
      </x:c>
      <x:c r="L735" s="30" t="n">
        <x:v>798.4</x:v>
      </x:c>
      <x:c r="M735" s="30" t="str">
        <x:v>{"completion_tokens": 5, "prompt_tokens": 534, "total_tokens": 539, "completion_tokens_details": null, "prompt_tokens_details": {"audio_tokens": null, "cached_tokens": 512}, "prompt_cache_hit_tokens": 512, "prompt_cache_miss_tokens": 22}</x:v>
      </x:c>
      <x:c r="N735" s="30" t="str">
        <x:v>omission</x:v>
      </x:c>
      <x:c r="O735"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x:v>
      </x:c>
      <x:c r="P735" s="30" t="str">
        <x:v>LongCat-2.0</x:v>
      </x:c>
      <x:c r="Q735" s="30" t="str">
        <x:v>LongCat-2.0</x:v>
      </x:c>
      <x:c r="R735" s="30" t="n">
        <x:v>3652.83</x:v>
      </x:c>
      <x:c r="S735" s="30" t="str">
        <x:v>{"completion_tokens": 77, "prompt_tokens": 150,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6">
      <x:c r="A736" s="30" t="str">
        <x:v>memos_medium:1815</x:v>
      </x:c>
      <x:c r="B736" s="30" t="str">
        <x:v>medium</x:v>
      </x:c>
      <x:c r="C736" s="30" t="str">
        <x:v>Basic Fact Recall</x:v>
      </x:c>
      <x:c r="D736" s="30" t="n">
        <x:v>3</x:v>
      </x:c>
      <x:c r="E736" s="30" t="str">
        <x:v>What travel preference did Michelle Hernandez modify on Apr 14, 2029?</x:v>
      </x:c>
      <x:c r="F736" s="30" t="str">
        <x:v>To include crowded tourist spots for data collection.</x:v>
      </x:c>
      <x:c r="G736" s="30" t="str">
        <x:v>Crowded tourist spots</x:v>
      </x:c>
      <x:c r="H736" s="30" t="str">
        <x:v>deepseek-v4-flash</x:v>
      </x:c>
      <x:c r="I736" s="30" t="str">
        <x:v>deepseek-v4-flash</x:v>
      </x:c>
      <x:c r="J736" s="30" t="str">
        <x:v>1cee1290d147bca778a8b81a54ef2784d5d5f5592f9c0cfce5251e4653cc7477</x:v>
      </x:c>
      <x:c r="K736" s="30" t="str">
        <x:v>e88e63623105143e9c48afe7b6facd7ac6af930053686e15e4fe65d7161bf39c</x:v>
      </x:c>
      <x:c r="L736" s="30" t="n">
        <x:v>575.64</x:v>
      </x:c>
      <x:c r="M736" s="30" t="str">
        <x:v>{"completion_tokens": 5, "prompt_tokens": 534, "total_tokens": 539, "completion_tokens_details": null, "prompt_tokens_details": {"audio_tokens": null, "cached_tokens": 512}, "prompt_cache_hit_tokens": 512, "prompt_cache_miss_tokens": 22}</x:v>
      </x:c>
      <x:c r="N736" s="30" t="str">
        <x:v>omission</x:v>
      </x:c>
      <x:c r="O736" s="30" t="str">
        <x:v>The model answer 'Crowded tourist spots' captures only part of the gold answer. The gold answer specifies that the travel preference was modified 'to include crowded tourist spots for data collection,' which includes the purpose 'for data collection.' The model answer omits this key detail, making it an incomplete subset of the full answer.</x:v>
      </x:c>
      <x:c r="P736" s="30" t="str">
        <x:v>LongCat-2.0</x:v>
      </x:c>
      <x:c r="Q736" s="30" t="str">
        <x:v>LongCat-2.0</x:v>
      </x:c>
      <x:c r="R736" s="30" t="n">
        <x:v>3487.2</x:v>
      </x:c>
      <x:c r="S736" s="30" t="str">
        <x:v>{"completion_tokens": 77, "prompt_tokens": 150,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7">
      <x:c r="A737" s="30" t="str">
        <x:v>memos_medium:1829</x:v>
      </x:c>
      <x:c r="B737" s="30" t="str">
        <x:v>medium</x:v>
      </x:c>
      <x:c r="C737" s="30" t="str">
        <x:v>Generalization &amp; Application</x:v>
      </x:c>
      <x:c r="D737" s="30" t="n">
        <x:v>1</x:v>
      </x:c>
      <x:c r="E737" s="30" t="str">
        <x:v>What type of AI-driven strategy games would be suitable for Michelle Hernandez after June 18, 2030?</x:v>
      </x:c>
      <x:c r="F737" s="30" t="str">
        <x:v>Games that challenge analytical skills and offer emotional engagement.</x:v>
      </x:c>
      <x:c r="G737" s="30" t="str">
        <x:v>Games challenging analytical skills.</x:v>
      </x:c>
      <x:c r="H737" s="30" t="str">
        <x:v>deepseek-v4-flash</x:v>
      </x:c>
      <x:c r="I737" s="30" t="str">
        <x:v>deepseek-v4-flash</x:v>
      </x:c>
      <x:c r="J737" s="30" t="str">
        <x:v>77142ad6c24e55c3a26c8a5456b2e7f8839878480b2865ef6ba04e86bb847044</x:v>
      </x:c>
      <x:c r="K737" s="30" t="str">
        <x:v>22b869471796a1997295c6ac92c6e6533d17659a9eefaf790264c8f60a317ec9</x:v>
      </x:c>
      <x:c r="L737" s="30" t="n">
        <x:v>617.97</x:v>
      </x:c>
      <x:c r="M737" s="30" t="str">
        <x:v>{"completion_tokens": 5, "prompt_tokens": 577, "total_tokens": 582, "completion_tokens_details": null, "prompt_tokens_details": {"audio_tokens": null, "cached_tokens": 512}, "prompt_cache_hit_tokens": 512, "prompt_cache_miss_tokens": 65}</x:v>
      </x:c>
      <x:c r="N737" s="30" t="str">
        <x:v>omission</x:v>
      </x:c>
      <x:c r="O737" s="30" t="str">
        <x:v>The model answer only mentions 'analytical skills' but omits the 'emotional engagement' component present in the gold answer, making it an incomplete subset without adding a concrete false claim.</x:v>
      </x:c>
      <x:c r="P737" s="30" t="str">
        <x:v>LongCat-2.0</x:v>
      </x:c>
      <x:c r="Q737" s="30" t="str">
        <x:v>LongCat-2.0</x:v>
      </x:c>
      <x:c r="R737" s="30" t="n">
        <x:v>2277.04</x:v>
      </x:c>
      <x:c r="S737" s="30" t="str">
        <x:v>{"completion_tokens": 50, "prompt_tokens": 157,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8">
      <x:c r="A738" s="30" t="str">
        <x:v>memos_medium:1829</x:v>
      </x:c>
      <x:c r="B738" s="30" t="str">
        <x:v>medium</x:v>
      </x:c>
      <x:c r="C738" s="30" t="str">
        <x:v>Generalization &amp; Application</x:v>
      </x:c>
      <x:c r="D738" s="30" t="n">
        <x:v>2</x:v>
      </x:c>
      <x:c r="E738" s="30" t="str">
        <x:v>What type of AI-driven strategy games would be suitable for Michelle Hernandez after June 18, 2030?</x:v>
      </x:c>
      <x:c r="F738" s="30" t="str">
        <x:v>Games that challenge analytical skills and offer emotional engagement.</x:v>
      </x:c>
      <x:c r="G738" s="30" t="str">
        <x:v>Games challenging analytical skills.</x:v>
      </x:c>
      <x:c r="H738" s="30" t="str">
        <x:v>deepseek-v4-flash</x:v>
      </x:c>
      <x:c r="I738" s="30" t="str">
        <x:v>deepseek-v4-flash</x:v>
      </x:c>
      <x:c r="J738" s="30" t="str">
        <x:v>77142ad6c24e55c3a26c8a5456b2e7f8839878480b2865ef6ba04e86bb847044</x:v>
      </x:c>
      <x:c r="K738" s="30" t="str">
        <x:v>22b869471796a1997295c6ac92c6e6533d17659a9eefaf790264c8f60a317ec9</x:v>
      </x:c>
      <x:c r="L738" s="30" t="n">
        <x:v>627.99</x:v>
      </x:c>
      <x:c r="M738" s="30" t="str">
        <x:v>{"completion_tokens": 5, "prompt_tokens": 577, "total_tokens": 582, "completion_tokens_details": null, "prompt_tokens_details": {"audio_tokens": null, "cached_tokens": 512}, "prompt_cache_hit_tokens": 512, "prompt_cache_miss_tokens": 65}</x:v>
      </x:c>
      <x:c r="N738" s="30" t="str">
        <x:v>omission</x:v>
      </x:c>
      <x:c r="O738" s="30" t="str">
        <x:v>The model answer only mentions 'analytical skills' but omits the 'emotional engagement' component present in the gold answer, making it an incomplete subset without adding a concrete false claim.</x:v>
      </x:c>
      <x:c r="P738" s="30" t="str">
        <x:v>LongCat-2.0</x:v>
      </x:c>
      <x:c r="Q738" s="30" t="str">
        <x:v>LongCat-2.0</x:v>
      </x:c>
      <x:c r="R738" s="30" t="n">
        <x:v>3477.21</x:v>
      </x:c>
      <x:c r="S738" s="30" t="str">
        <x:v>{"completion_tokens": 50, "prompt_tokens": 157,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39">
      <x:c r="A739" s="30" t="str">
        <x:v>memos_medium:1829</x:v>
      </x:c>
      <x:c r="B739" s="30" t="str">
        <x:v>medium</x:v>
      </x:c>
      <x:c r="C739" s="30" t="str">
        <x:v>Generalization &amp; Application</x:v>
      </x:c>
      <x:c r="D739" s="30" t="n">
        <x:v>3</x:v>
      </x:c>
      <x:c r="E739" s="30" t="str">
        <x:v>What type of AI-driven strategy games would be suitable for Michelle Hernandez after June 18, 2030?</x:v>
      </x:c>
      <x:c r="F739" s="30" t="str">
        <x:v>Games that challenge analytical skills and offer emotional engagement.</x:v>
      </x:c>
      <x:c r="G739" s="30" t="str">
        <x:v>Games challenging analytical skills.</x:v>
      </x:c>
      <x:c r="H739" s="30" t="str">
        <x:v>deepseek-v4-flash</x:v>
      </x:c>
      <x:c r="I739" s="30" t="str">
        <x:v>deepseek-v4-flash</x:v>
      </x:c>
      <x:c r="J739" s="30" t="str">
        <x:v>77142ad6c24e55c3a26c8a5456b2e7f8839878480b2865ef6ba04e86bb847044</x:v>
      </x:c>
      <x:c r="K739" s="30" t="str">
        <x:v>22b869471796a1997295c6ac92c6e6533d17659a9eefaf790264c8f60a317ec9</x:v>
      </x:c>
      <x:c r="L739" s="30" t="n">
        <x:v>603.89</x:v>
      </x:c>
      <x:c r="M739" s="30" t="str">
        <x:v>{"completion_tokens": 5, "prompt_tokens": 577, "total_tokens": 582, "completion_tokens_details": null, "prompt_tokens_details": {"audio_tokens": null, "cached_tokens": 512}, "prompt_cache_hit_tokens": 512, "prompt_cache_miss_tokens": 65}</x:v>
      </x:c>
      <x:c r="N739" s="30" t="str">
        <x:v>omission</x:v>
      </x:c>
      <x:c r="O739" s="30" t="str">
        <x:v>The model answer only mentions 'analytical skills' but omits the 'emotional engagement' component present in the gold answer, making it an incomplete subset without adding a concrete false claim.</x:v>
      </x:c>
      <x:c r="P739" s="30" t="str">
        <x:v>LongCat-2.0</x:v>
      </x:c>
      <x:c r="Q739" s="30" t="str">
        <x:v>LongCat-2.0</x:v>
      </x:c>
      <x:c r="R739" s="30" t="n">
        <x:v>2081.87</x:v>
      </x:c>
      <x:c r="S739" s="30" t="str">
        <x:v>{"completion_tokens": 50, "prompt_tokens": 157,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0">
      <x:c r="A740" s="30" t="str">
        <x:v>memos_medium:1853</x:v>
      </x:c>
      <x:c r="B740" s="30" t="str">
        <x:v>medium</x:v>
      </x:c>
      <x:c r="C740" s="30" t="str">
        <x:v>Generalization &amp; Application</x:v>
      </x:c>
      <x:c r="D740" s="30" t="n">
        <x:v>1</x:v>
      </x:c>
      <x:c r="E740" s="30" t="str">
        <x:v>What other health-conscious lifestyle choices might Michelle Hernandez explore based on her preferences as of 2033-03-16?</x:v>
      </x:c>
      <x:c r="F740" s="30" t="str">
        <x:v>Michelle might explore organic foods or yoga.</x:v>
      </x:c>
      <x:c r="G740" s="30" t="str">
        <x:v>Natural flavored sparkling water.</x:v>
      </x:c>
      <x:c r="H740" s="30" t="str">
        <x:v>deepseek-v4-flash</x:v>
      </x:c>
      <x:c r="I740" s="30" t="str">
        <x:v>deepseek-v4-flash</x:v>
      </x:c>
      <x:c r="J740" s="30" t="str">
        <x:v>dba8bc33bae7a6964adc2126f07f71aedf29e6dce11f621cc889345eee7a0183</x:v>
      </x:c>
      <x:c r="K740" s="30" t="str">
        <x:v>abc82c64bb8db0b11dc341e7fb2594ca60a4d20b36ca6cb63c9b73aa5b41b5f9</x:v>
      </x:c>
      <x:c r="L740" s="30" t="n">
        <x:v>715.81</x:v>
      </x:c>
      <x:c r="M740" s="30" t="str">
        <x:v>{"completion_tokens": 6, "prompt_tokens": 603, "total_tokens": 609, "completion_tokens_details": null, "prompt_tokens_details": {"audio_tokens": null, "cached_tokens": 512}, "prompt_cache_hit_tokens": 512, "prompt_cache_miss_tokens": 91}</x:v>
      </x:c>
      <x:c r="N740" s="30" t="str">
        <x:v>omission</x:v>
      </x:c>
      <x:c r="O740" s="30" t="str">
        <x:v>The model answer 'Natural flavored sparkling water' does not include any part of the gold answer (organic foods or yoga), nor does it contradict it. It provides a different concrete suggestion that is not supported by the gold answer, making it an incomplete subset without matching the required content.</x:v>
      </x:c>
      <x:c r="P740" s="30" t="str">
        <x:v>LongCat-2.0</x:v>
      </x:c>
      <x:c r="Q740" s="30" t="str">
        <x:v>LongCat-2.0</x:v>
      </x:c>
      <x:c r="R740" s="30" t="n">
        <x:v>3402.49</x:v>
      </x:c>
      <x:c r="S740" s="30" t="str">
        <x:v>{"completion_tokens": 69, "prompt_tokens": 159,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1">
      <x:c r="A741" s="30" t="str">
        <x:v>memos_medium:1853</x:v>
      </x:c>
      <x:c r="B741" s="30" t="str">
        <x:v>medium</x:v>
      </x:c>
      <x:c r="C741" s="30" t="str">
        <x:v>Generalization &amp; Application</x:v>
      </x:c>
      <x:c r="D741" s="30" t="n">
        <x:v>2</x:v>
      </x:c>
      <x:c r="E741" s="30" t="str">
        <x:v>What other health-conscious lifestyle choices might Michelle Hernandez explore based on her preferences as of 2033-03-16?</x:v>
      </x:c>
      <x:c r="F741" s="30" t="str">
        <x:v>Michelle might explore organic foods or yoga.</x:v>
      </x:c>
      <x:c r="G741" s="30" t="str">
        <x:v>Natural flavored sparkling water.</x:v>
      </x:c>
      <x:c r="H741" s="30" t="str">
        <x:v>deepseek-v4-flash</x:v>
      </x:c>
      <x:c r="I741" s="30" t="str">
        <x:v>deepseek-v4-flash</x:v>
      </x:c>
      <x:c r="J741" s="30" t="str">
        <x:v>dba8bc33bae7a6964adc2126f07f71aedf29e6dce11f621cc889345eee7a0183</x:v>
      </x:c>
      <x:c r="K741" s="30" t="str">
        <x:v>abc82c64bb8db0b11dc341e7fb2594ca60a4d20b36ca6cb63c9b73aa5b41b5f9</x:v>
      </x:c>
      <x:c r="L741" s="30" t="n">
        <x:v>486.71</x:v>
      </x:c>
      <x:c r="M741" s="30" t="str">
        <x:v>{"completion_tokens": 6, "prompt_tokens": 603, "total_tokens": 609, "completion_tokens_details": null, "prompt_tokens_details": {"audio_tokens": null, "cached_tokens": 512}, "prompt_cache_hit_tokens": 512, "prompt_cache_miss_tokens": 91}</x:v>
      </x:c>
      <x:c r="N741" s="30" t="str">
        <x:v>hallucination</x:v>
      </x:c>
      <x:c r="O741" s="30" t="str">
        <x:v>The gold answer suggests Michelle might explore organic foods or yoga. The model answer 'Natural flavored sparkling water' is a concrete health-related suggestion that is not mentioned or supported by the gold answer, making it a hallucination.</x:v>
      </x:c>
      <x:c r="P741" s="30" t="str">
        <x:v>LongCat-2.0</x:v>
      </x:c>
      <x:c r="Q741" s="30" t="str">
        <x:v>LongCat-2.0</x:v>
      </x:c>
      <x:c r="R741" s="30" t="n">
        <x:v>2657.26</x:v>
      </x:c>
      <x:c r="S741" s="30" t="str">
        <x:v>{"completion_tokens": 58, "prompt_tokens": 159,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2">
      <x:c r="A742" s="30" t="str">
        <x:v>memos_medium:1853</x:v>
      </x:c>
      <x:c r="B742" s="30" t="str">
        <x:v>medium</x:v>
      </x:c>
      <x:c r="C742" s="30" t="str">
        <x:v>Generalization &amp; Application</x:v>
      </x:c>
      <x:c r="D742" s="30" t="n">
        <x:v>3</x:v>
      </x:c>
      <x:c r="E742" s="30" t="str">
        <x:v>What other health-conscious lifestyle choices might Michelle Hernandez explore based on her preferences as of 2033-03-16?</x:v>
      </x:c>
      <x:c r="F742" s="30" t="str">
        <x:v>Michelle might explore organic foods or yoga.</x:v>
      </x:c>
      <x:c r="G742" s="30" t="str">
        <x:v>Natural flavored sparkling water.</x:v>
      </x:c>
      <x:c r="H742" s="30" t="str">
        <x:v>deepseek-v4-flash</x:v>
      </x:c>
      <x:c r="I742" s="30" t="str">
        <x:v>deepseek-v4-flash</x:v>
      </x:c>
      <x:c r="J742" s="30" t="str">
        <x:v>dba8bc33bae7a6964adc2126f07f71aedf29e6dce11f621cc889345eee7a0183</x:v>
      </x:c>
      <x:c r="K742" s="30" t="str">
        <x:v>abc82c64bb8db0b11dc341e7fb2594ca60a4d20b36ca6cb63c9b73aa5b41b5f9</x:v>
      </x:c>
      <x:c r="L742" s="30" t="n">
        <x:v>577.2</x:v>
      </x:c>
      <x:c r="M742" s="30" t="str">
        <x:v>{"completion_tokens": 6, "prompt_tokens": 603, "total_tokens": 609, "completion_tokens_details": null, "prompt_tokens_details": {"audio_tokens": null, "cached_tokens": 512}, "prompt_cache_hit_tokens": 512, "prompt_cache_miss_tokens": 91}</x:v>
      </x:c>
      <x:c r="N742" s="30" t="str">
        <x:v>omission</x:v>
      </x:c>
      <x:c r="O742" s="30" t="str">
        <x:v>The model answer 'Natural flavored sparkling water' is a concrete health-related choice, but it does not match or semantically cover the gold answer's suggestions of 'organic foods or yoga.' It introduces a different, unsupported suggestion rather than providing the gold answer's content, making it an omission of the expected answer.</x:v>
      </x:c>
      <x:c r="P742" s="30" t="str">
        <x:v>LongCat-2.0</x:v>
      </x:c>
      <x:c r="Q742" s="30" t="str">
        <x:v>LongCat-2.0</x:v>
      </x:c>
      <x:c r="R742" s="30" t="n">
        <x:v>3939.48</x:v>
      </x:c>
      <x:c r="S742" s="30" t="str">
        <x:v>{"completion_tokens": 75, "prompt_tokens": 159,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3">
      <x:c r="A743" s="30" t="str">
        <x:v>memos_medium:1866</x:v>
      </x:c>
      <x:c r="B743" s="30" t="str">
        <x:v>medium</x:v>
      </x:c>
      <x:c r="C743" s="30" t="str">
        <x:v>Generalization &amp; Application</x:v>
      </x:c>
      <x:c r="D743" s="30" t="n">
        <x:v>1</x:v>
      </x:c>
      <x:c r="E743" s="30" t="str">
        <x:v>How can Michelle's belief in AI's potential impact her leadership style in 2034?</x:v>
      </x:c>
      <x:c r="F743" s="30" t="str">
        <x:v>It drives optimism and visionary planning.</x:v>
      </x:c>
      <x:c r="G743" s="30" t="str">
        <x:v>Optimistic and transformative.</x:v>
      </x:c>
      <x:c r="H743" s="30" t="str">
        <x:v>deepseek-v4-flash</x:v>
      </x:c>
      <x:c r="I743" s="30" t="str">
        <x:v>deepseek-v4-flash</x:v>
      </x:c>
      <x:c r="J743" s="30" t="str">
        <x:v>e7c1ea309f6945ff389f14d2394809554123709a6c20735cfe3697a59ed2fc84</x:v>
      </x:c>
      <x:c r="K743" s="30" t="str">
        <x:v>0956e91632b0fb1b887af61ff7217b4d0ffd79227ec0c7fcb5b916970625adcb</x:v>
      </x:c>
      <x:c r="L743" s="30" t="n">
        <x:v>478.62</x:v>
      </x:c>
      <x:c r="M743" s="30" t="str">
        <x:v>{"completion_tokens": 5, "prompt_tokens": 584, "total_tokens": 589, "completion_tokens_details": null, "prompt_tokens_details": {"audio_tokens": null, "cached_tokens": 512}, "prompt_cache_hit_tokens": 512, "prompt_cache_miss_tokens": 72}</x:v>
      </x:c>
      <x:c r="N743" s="30" t="str">
        <x:v>correct</x:v>
      </x:c>
      <x:c r="O743"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P743" s="30" t="str">
        <x:v>LongCat-2.0</x:v>
      </x:c>
      <x:c r="Q743" s="30" t="str">
        <x:v>LongCat-2.0</x:v>
      </x:c>
      <x:c r="R743" s="30" t="n">
        <x:v>3255.05</x:v>
      </x:c>
      <x:c r="S743" s="30" t="str">
        <x:v>{"completion_tokens": 83, "prompt_tokens": 151,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4">
      <x:c r="A744" s="30" t="str">
        <x:v>memos_medium:1866</x:v>
      </x:c>
      <x:c r="B744" s="30" t="str">
        <x:v>medium</x:v>
      </x:c>
      <x:c r="C744" s="30" t="str">
        <x:v>Generalization &amp; Application</x:v>
      </x:c>
      <x:c r="D744" s="30" t="n">
        <x:v>2</x:v>
      </x:c>
      <x:c r="E744" s="30" t="str">
        <x:v>How can Michelle's belief in AI's potential impact her leadership style in 2034?</x:v>
      </x:c>
      <x:c r="F744" s="30" t="str">
        <x:v>It drives optimism and visionary planning.</x:v>
      </x:c>
      <x:c r="G744" s="30" t="str">
        <x:v>Optimistic and transformative.</x:v>
      </x:c>
      <x:c r="H744" s="30" t="str">
        <x:v>deepseek-v4-flash</x:v>
      </x:c>
      <x:c r="I744" s="30" t="str">
        <x:v>deepseek-v4-flash</x:v>
      </x:c>
      <x:c r="J744" s="30" t="str">
        <x:v>e7c1ea309f6945ff389f14d2394809554123709a6c20735cfe3697a59ed2fc84</x:v>
      </x:c>
      <x:c r="K744" s="30" t="str">
        <x:v>0956e91632b0fb1b887af61ff7217b4d0ffd79227ec0c7fcb5b916970625adcb</x:v>
      </x:c>
      <x:c r="L744" s="30" t="n">
        <x:v>869.58</x:v>
      </x:c>
      <x:c r="M744" s="30" t="str">
        <x:v>{"completion_tokens": 5, "prompt_tokens": 584, "total_tokens": 589, "completion_tokens_details": null, "prompt_tokens_details": {"audio_tokens": null, "cached_tokens": 512}, "prompt_cache_hit_tokens": 512, "prompt_cache_miss_tokens": 72}</x:v>
      </x:c>
      <x:c r="N744" s="30" t="str">
        <x:v>correct</x:v>
      </x:c>
      <x:c r="O744" s="30" t="str">
        <x:v>The model answer 'Optimistic and transformative' captures the core meaning of the gold answer 'It drives optimism and visionary planning.' 'Optimistic' directly corresponds to 'optimism,' and 'transformative' is a reasonable paraphrase of 'visionary planning,' which implies transformative change. The wording differs but the semantics are complete and aligned.</x:v>
      </x:c>
      <x:c r="P744" s="30" t="str">
        <x:v>LongCat-2.0</x:v>
      </x:c>
      <x:c r="Q744" s="30" t="str">
        <x:v>LongCat-2.0</x:v>
      </x:c>
      <x:c r="R744" s="30" t="n">
        <x:v>4127.09</x:v>
      </x:c>
      <x:c r="S744" s="30" t="str">
        <x:v>{"completion_tokens": 83, "prompt_tokens": 151,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5">
      <x:c r="A745" s="30" t="str">
        <x:v>memos_medium:1866</x:v>
      </x:c>
      <x:c r="B745" s="30" t="str">
        <x:v>medium</x:v>
      </x:c>
      <x:c r="C745" s="30" t="str">
        <x:v>Generalization &amp; Application</x:v>
      </x:c>
      <x:c r="D745" s="30" t="n">
        <x:v>3</x:v>
      </x:c>
      <x:c r="E745" s="30" t="str">
        <x:v>How can Michelle's belief in AI's potential impact her leadership style in 2034?</x:v>
      </x:c>
      <x:c r="F745" s="30" t="str">
        <x:v>It drives optimism and visionary planning.</x:v>
      </x:c>
      <x:c r="G745" s="30" t="str">
        <x:v>Optimistic and transformative.</x:v>
      </x:c>
      <x:c r="H745" s="30" t="str">
        <x:v>deepseek-v4-flash</x:v>
      </x:c>
      <x:c r="I745" s="30" t="str">
        <x:v>deepseek-v4-flash</x:v>
      </x:c>
      <x:c r="J745" s="30" t="str">
        <x:v>e7c1ea309f6945ff389f14d2394809554123709a6c20735cfe3697a59ed2fc84</x:v>
      </x:c>
      <x:c r="K745" s="30" t="str">
        <x:v>0956e91632b0fb1b887af61ff7217b4d0ffd79227ec0c7fcb5b916970625adcb</x:v>
      </x:c>
      <x:c r="L745" s="30" t="n">
        <x:v>586.69</x:v>
      </x:c>
      <x:c r="M745" s="30" t="str">
        <x:v>{"completion_tokens": 5, "prompt_tokens": 584, "total_tokens": 589, "completion_tokens_details": null, "prompt_tokens_details": {"audio_tokens": null, "cached_tokens": 512}, "prompt_cache_hit_tokens": 512, "prompt_cache_miss_tokens": 72}</x:v>
      </x:c>
      <x:c r="N745" s="30" t="str">
        <x:v>correct</x:v>
      </x:c>
      <x:c r="O745" s="30" t="str">
        <x:v>The model answer 'Optimistic and transformative' captures the core meaning of the gold answer 'It drives optimism and visionary planning.' 'Optimistic' directly corresponds to 'optimism,' and 'transformative' is a reasonable paraphrase of 'visionary planning,' conveying the idea of forward-looking, change-oriented leadership. The wording differs but the semantics are complete and aligned.</x:v>
      </x:c>
      <x:c r="P745" s="30" t="str">
        <x:v>LongCat-2.0</x:v>
      </x:c>
      <x:c r="Q745" s="30" t="str">
        <x:v>LongCat-2.0</x:v>
      </x:c>
      <x:c r="R745" s="30" t="n">
        <x:v>3509.1</x:v>
      </x:c>
      <x:c r="S745" s="30" t="str">
        <x:v>{"completion_tokens": 88, "prompt_tokens": 151,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6">
      <x:c r="A746" s="30" t="str">
        <x:v>memos_medium:1881</x:v>
      </x:c>
      <x:c r="B746" s="30" t="str">
        <x:v>medium</x:v>
      </x:c>
      <x:c r="C746" s="30" t="str">
        <x:v>Multi-hop Inference</x:v>
      </x:c>
      <x:c r="D746" s="30" t="n">
        <x:v>1</x:v>
      </x:c>
      <x:c r="E746" s="30" t="str">
        <x:v>What role did AI tools play in Michelle's workflow from Feb 23, 2035 to Jan 23, 2036?</x:v>
      </x:c>
      <x:c r="F746" s="30" t="str">
        <x:v>Streamlined workflow and supported stress management.</x:v>
      </x:c>
      <x:c r="G746" s="30" t="str">
        <x:v>Streamlined workflow and support.</x:v>
      </x:c>
      <x:c r="H746" s="30" t="str">
        <x:v>deepseek-v4-flash</x:v>
      </x:c>
      <x:c r="I746" s="30" t="str">
        <x:v>deepseek-v4-flash</x:v>
      </x:c>
      <x:c r="J746" s="30" t="str">
        <x:v>86215967f6946678ea8b8504bb255a50fb6518919eb8bb9d85195e555f33e9ba</x:v>
      </x:c>
      <x:c r="K746" s="30" t="str">
        <x:v>039138b1655eb30b7563a0bff089882a43447fada47d85915282fe1ed4c2c8fe</x:v>
      </x:c>
      <x:c r="L746" s="30" t="n">
        <x:v>868.33</x:v>
      </x:c>
      <x:c r="M746" s="30" t="str">
        <x:v>{"completion_tokens": 6, "prompt_tokens": 620, "total_tokens": 626, "completion_tokens_details": null, "prompt_tokens_details": {"audio_tokens": null, "cached_tokens": 512}, "prompt_cache_hit_tokens": 512, "prompt_cache_miss_tokens": 108}</x:v>
      </x:c>
      <x:c r="N746" s="30" t="str">
        <x:v>omission</x:v>
      </x:c>
      <x:c r="O746" s="30" t="str">
        <x:v>The model answer 'Streamlined workflow and support' captures part of the gold answer but omits the specific detail 'stress management,' making it an incomplete subset of the full gold answer.</x:v>
      </x:c>
      <x:c r="P746" s="30" t="str">
        <x:v>LongCat-2.0</x:v>
      </x:c>
      <x:c r="Q746" s="30" t="str">
        <x:v>LongCat-2.0</x:v>
      </x:c>
      <x:c r="R746" s="30" t="n">
        <x:v>2579.55</x:v>
      </x:c>
      <x:c r="S746" s="30" t="str">
        <x:v>{"completion_tokens": 49, "prompt_tokens": 164,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7">
      <x:c r="A747" s="30" t="str">
        <x:v>memos_medium:1881</x:v>
      </x:c>
      <x:c r="B747" s="30" t="str">
        <x:v>medium</x:v>
      </x:c>
      <x:c r="C747" s="30" t="str">
        <x:v>Multi-hop Inference</x:v>
      </x:c>
      <x:c r="D747" s="30" t="n">
        <x:v>2</x:v>
      </x:c>
      <x:c r="E747" s="30" t="str">
        <x:v>What role did AI tools play in Michelle's workflow from Feb 23, 2035 to Jan 23, 2036?</x:v>
      </x:c>
      <x:c r="F747" s="30" t="str">
        <x:v>Streamlined workflow and supported stress management.</x:v>
      </x:c>
      <x:c r="G747" s="30" t="str">
        <x:v>Streamlined workflow and support.</x:v>
      </x:c>
      <x:c r="H747" s="30" t="str">
        <x:v>deepseek-v4-flash</x:v>
      </x:c>
      <x:c r="I747" s="30" t="str">
        <x:v>deepseek-v4-flash</x:v>
      </x:c>
      <x:c r="J747" s="30" t="str">
        <x:v>86215967f6946678ea8b8504bb255a50fb6518919eb8bb9d85195e555f33e9ba</x:v>
      </x:c>
      <x:c r="K747" s="30" t="str">
        <x:v>039138b1655eb30b7563a0bff089882a43447fada47d85915282fe1ed4c2c8fe</x:v>
      </x:c>
      <x:c r="L747" s="30" t="n">
        <x:v>770.22</x:v>
      </x:c>
      <x:c r="M747" s="30" t="str">
        <x:v>{"completion_tokens": 6, "prompt_tokens": 620, "total_tokens": 626, "completion_tokens_details": null, "prompt_tokens_details": {"audio_tokens": null, "cached_tokens": 512}, "prompt_cache_hit_tokens": 512, "prompt_cache_miss_tokens": 108}</x:v>
      </x:c>
      <x:c r="N747" s="30" t="str">
        <x:v>omission</x:v>
      </x:c>
      <x:c r="O747" s="30" t="str">
        <x:v>The model answer 'Streamlined workflow and support' captures part of the gold answer but omits the specific detail 'stress management,' making it an incomplete subset of the full gold answer.</x:v>
      </x:c>
      <x:c r="P747" s="30" t="str">
        <x:v>LongCat-2.0</x:v>
      </x:c>
      <x:c r="Q747" s="30" t="str">
        <x:v>LongCat-2.0</x:v>
      </x:c>
      <x:c r="R747" s="30" t="n">
        <x:v>2335.63</x:v>
      </x:c>
      <x:c r="S747" s="30" t="str">
        <x:v>{"completion_tokens": 49, "prompt_tokens": 164,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48">
      <x:c r="A748" s="30" t="str">
        <x:v>memos_medium:1881</x:v>
      </x:c>
      <x:c r="B748" s="30" t="str">
        <x:v>medium</x:v>
      </x:c>
      <x:c r="C748" s="30" t="str">
        <x:v>Multi-hop Inference</x:v>
      </x:c>
      <x:c r="D748" s="30" t="n">
        <x:v>3</x:v>
      </x:c>
      <x:c r="E748" s="30" t="str">
        <x:v>What role did AI tools play in Michelle's workflow from Feb 23, 2035 to Jan 23, 2036?</x:v>
      </x:c>
      <x:c r="F748" s="30" t="str">
        <x:v>Streamlined workflow and supported stress management.</x:v>
      </x:c>
      <x:c r="G748" s="30" t="str">
        <x:v>Streamlined workflow and support.</x:v>
      </x:c>
      <x:c r="H748" s="30" t="str">
        <x:v>deepseek-v4-flash</x:v>
      </x:c>
      <x:c r="I748" s="30" t="str">
        <x:v>deepseek-v4-flash</x:v>
      </x:c>
      <x:c r="J748" s="30" t="str">
        <x:v>86215967f6946678ea8b8504bb255a50fb6518919eb8bb9d85195e555f33e9ba</x:v>
      </x:c>
      <x:c r="K748" s="30" t="str">
        <x:v>039138b1655eb30b7563a0bff089882a43447fada47d85915282fe1ed4c2c8fe</x:v>
      </x:c>
      <x:c r="L748" s="30" t="n">
        <x:v>570.67</x:v>
      </x:c>
      <x:c r="M748" s="30" t="str">
        <x:v>{"completion_tokens": 6, "prompt_tokens": 620, "total_tokens": 626, "completion_tokens_details": null, "prompt_tokens_details": {"audio_tokens": null, "cached_tokens": 512}, "prompt_cache_hit_tokens": 512, "prompt_cache_miss_tokens": 108}</x:v>
      </x:c>
      <x:c r="N748" s="30" t="str">
        <x:v>omission</x:v>
      </x:c>
      <x:c r="O748" s="30" t="str">
        <x:v>The model answer 'Streamlined workflow and support' captures part of the gold answer but omits the specific detail 'stress management,' making it an incomplete subset of the full gold answer.</x:v>
      </x:c>
      <x:c r="P748" s="30" t="str">
        <x:v>LongCat-2.0</x:v>
      </x:c>
      <x:c r="Q748" s="30" t="str">
        <x:v>LongCat-2.0</x:v>
      </x:c>
      <x:c r="R748" s="30" t="n">
        <x:v>2357.61</x:v>
      </x:c>
      <x:c r="S748" s="30" t="str">
        <x:v>{"completion_tokens": 49, "prompt_tokens": 164,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49">
      <x:c r="A749" s="30" t="str">
        <x:v>memos_medium:1890</x:v>
      </x:c>
      <x:c r="B749" s="30" t="str">
        <x:v>medium</x:v>
      </x:c>
      <x:c r="C749" s="30" t="str">
        <x:v>Basic Fact Recall</x:v>
      </x:c>
      <x:c r="D749" s="30" t="n">
        <x:v>1</x:v>
      </x:c>
      <x:c r="E749" s="30" t="str">
        <x:v>What type of literature does Michelle Hernandez prefer to read as of Sep 24, 2036?</x:v>
      </x:c>
      <x:c r="F749" s="30" t="str">
        <x:v>AI and machine learning literature</x:v>
      </x:c>
      <x:c r="G749" s="30" t="str">
        <x:v>AI and machine learning</x:v>
      </x:c>
      <x:c r="H749" s="30" t="str">
        <x:v>deepseek-v4-flash</x:v>
      </x:c>
      <x:c r="I749" s="30" t="str">
        <x:v>deepseek-v4-flash</x:v>
      </x:c>
      <x:c r="J749" s="30" t="str">
        <x:v>fda69377fa336aafb37903c4c3a840a48dc488636436acbf98e8f6f3645f2ef5</x:v>
      </x:c>
      <x:c r="K749" s="30" t="str">
        <x:v>b2b8aa3db8f64c8868f67e61915192c2510a7909a68ec516c358c7b489e8a768</x:v>
      </x:c>
      <x:c r="L749" s="30" t="n">
        <x:v>565.34</x:v>
      </x:c>
      <x:c r="M749" s="30" t="str">
        <x:v>{"completion_tokens": 4, "prompt_tokens": 542, "total_tokens": 546, "completion_tokens_details": null, "prompt_tokens_details": {"audio_tokens": null, "cached_tokens": 512}, "prompt_cache_hit_tokens": 512, "prompt_cache_miss_tokens": 30}</x:v>
      </x:c>
      <x:c r="N749" s="30" t="str">
        <x:v>correct</x:v>
      </x:c>
      <x:c r="O749" s="30" t="str">
        <x:v>The model answer 'AI and machine learning' is a semantically complete match to the gold answer 'AI and machine learning literature', with only the word 'literature' omitted, which does not change the meaning or add any false information.</x:v>
      </x:c>
      <x:c r="P749" s="30" t="str">
        <x:v>LongCat-2.0</x:v>
      </x:c>
      <x:c r="Q749" s="30" t="str">
        <x:v>LongCat-2.0</x:v>
      </x:c>
      <x:c r="R749" s="30" t="n">
        <x:v>7143.27</x:v>
      </x:c>
      <x:c r="S749" s="30" t="str">
        <x:v>{"completion_tokens": 59, "prompt_tokens": 151,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50">
      <x:c r="A750" s="30" t="str">
        <x:v>memos_medium:1890</x:v>
      </x:c>
      <x:c r="B750" s="30" t="str">
        <x:v>medium</x:v>
      </x:c>
      <x:c r="C750" s="30" t="str">
        <x:v>Basic Fact Recall</x:v>
      </x:c>
      <x:c r="D750" s="30" t="n">
        <x:v>2</x:v>
      </x:c>
      <x:c r="E750" s="30" t="str">
        <x:v>What type of literature does Michelle Hernandez prefer to read as of Sep 24, 2036?</x:v>
      </x:c>
      <x:c r="F750" s="30" t="str">
        <x:v>AI and machine learning literature</x:v>
      </x:c>
      <x:c r="G750" s="30" t="str">
        <x:v>AI and machine learning</x:v>
      </x:c>
      <x:c r="H750" s="30" t="str">
        <x:v>deepseek-v4-flash</x:v>
      </x:c>
      <x:c r="I750" s="30" t="str">
        <x:v>deepseek-v4-flash</x:v>
      </x:c>
      <x:c r="J750" s="30" t="str">
        <x:v>fda69377fa336aafb37903c4c3a840a48dc488636436acbf98e8f6f3645f2ef5</x:v>
      </x:c>
      <x:c r="K750" s="30" t="str">
        <x:v>b2b8aa3db8f64c8868f67e61915192c2510a7909a68ec516c358c7b489e8a768</x:v>
      </x:c>
      <x:c r="L750" s="30" t="n">
        <x:v>579.8</x:v>
      </x:c>
      <x:c r="M750" s="30" t="str">
        <x:v>{"completion_tokens": 4, "prompt_tokens": 542, "total_tokens": 546, "completion_tokens_details": null, "prompt_tokens_details": {"audio_tokens": null, "cached_tokens": 512}, "prompt_cache_hit_tokens": 512, "prompt_cache_miss_tokens": 30}</x:v>
      </x:c>
      <x:c r="N750" s="30" t="str">
        <x:v>correct</x:v>
      </x:c>
      <x:c r="O750" s="30" t="str">
        <x:v>The model answer 'AI and machine learning' is a semantically complete match to the gold answer 'AI and machine learning literature', with only the word 'literature' omitted, which does not change the meaning or add any false information.</x:v>
      </x:c>
      <x:c r="P750" s="30" t="str">
        <x:v>LongCat-2.0</x:v>
      </x:c>
      <x:c r="Q750" s="30" t="str">
        <x:v>LongCat-2.0</x:v>
      </x:c>
      <x:c r="R750" s="30" t="n">
        <x:v>7878.28</x:v>
      </x:c>
      <x:c r="S750" s="30" t="str">
        <x:v>{"completion_tokens": 59, "prompt_tokens": 151,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1">
      <x:c r="A751" s="30" t="str">
        <x:v>memos_medium:1890</x:v>
      </x:c>
      <x:c r="B751" s="30" t="str">
        <x:v>medium</x:v>
      </x:c>
      <x:c r="C751" s="30" t="str">
        <x:v>Basic Fact Recall</x:v>
      </x:c>
      <x:c r="D751" s="30" t="n">
        <x:v>3</x:v>
      </x:c>
      <x:c r="E751" s="30" t="str">
        <x:v>What type of literature does Michelle Hernandez prefer to read as of Sep 24, 2036?</x:v>
      </x:c>
      <x:c r="F751" s="30" t="str">
        <x:v>AI and machine learning literature</x:v>
      </x:c>
      <x:c r="G751" s="30" t="str">
        <x:v>AI and machine learning</x:v>
      </x:c>
      <x:c r="H751" s="30" t="str">
        <x:v>deepseek-v4-flash</x:v>
      </x:c>
      <x:c r="I751" s="30" t="str">
        <x:v>deepseek-v4-flash</x:v>
      </x:c>
      <x:c r="J751" s="30" t="str">
        <x:v>fda69377fa336aafb37903c4c3a840a48dc488636436acbf98e8f6f3645f2ef5</x:v>
      </x:c>
      <x:c r="K751" s="30" t="str">
        <x:v>b2b8aa3db8f64c8868f67e61915192c2510a7909a68ec516c358c7b489e8a768</x:v>
      </x:c>
      <x:c r="L751" s="30" t="n">
        <x:v>670.18</x:v>
      </x:c>
      <x:c r="M751" s="30" t="str">
        <x:v>{"completion_tokens": 4, "prompt_tokens": 542, "total_tokens": 546, "completion_tokens_details": null, "prompt_tokens_details": {"audio_tokens": null, "cached_tokens": 512}, "prompt_cache_hit_tokens": 512, "prompt_cache_miss_tokens": 30}</x:v>
      </x:c>
      <x:c r="N751" s="30" t="str">
        <x:v>correct</x:v>
      </x:c>
      <x:c r="O751" s="30" t="str">
        <x:v>The model answer 'AI and machine learning' is a semantically complete match to the gold answer 'AI and machine learning literature', with only the word 'literature' omitted, which does not change the meaning or add any false information.</x:v>
      </x:c>
      <x:c r="P751" s="30" t="str">
        <x:v>LongCat-2.0</x:v>
      </x:c>
      <x:c r="Q751" s="30" t="str">
        <x:v>LongCat-2.0</x:v>
      </x:c>
      <x:c r="R751" s="30" t="n">
        <x:v>7271.81</x:v>
      </x:c>
      <x:c r="S751" s="30" t="str">
        <x:v>{"completion_tokens": 59, "prompt_tokens": 151,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2">
      <x:c r="A752" s="30" t="str">
        <x:v>memos_medium:1897</x:v>
      </x:c>
      <x:c r="B752" s="30" t="str">
        <x:v>medium</x:v>
      </x:c>
      <x:c r="C752" s="30" t="str">
        <x:v>Multi-hop Inference</x:v>
      </x:c>
      <x:c r="D752" s="30" t="n">
        <x:v>1</x:v>
      </x:c>
      <x:c r="E752" s="30" t="str">
        <x:v>How did Michelle's monthly income change after joining Innovative AI Corp on Mar 16, 2037?</x:v>
      </x:c>
      <x:c r="F752" s="30" t="str">
        <x:v>Increased from 12,000 to 15,000.</x:v>
      </x:c>
      <x:c r="G752" s="30" t="str">
        <x:v>Increased from 12,000 to 15,000.</x:v>
      </x:c>
      <x:c r="H752" s="30" t="str">
        <x:v>deepseek-v4-flash</x:v>
      </x:c>
      <x:c r="I752" s="30" t="str">
        <x:v>deepseek-v4-flash</x:v>
      </x:c>
      <x:c r="J752" s="30" t="str">
        <x:v>12fe1da270440ab084b8250be03a0b3e28a7c7a363beb09eb5704eed50a4f405</x:v>
      </x:c>
      <x:c r="K752" s="30" t="str">
        <x:v>6c796100b730582c9506e73909da69f0bcc70e5620cb7dda000d98ac6200f0c4</x:v>
      </x:c>
      <x:c r="L752" s="30" t="n">
        <x:v>564.06</x:v>
      </x:c>
      <x:c r="M752" s="30" t="str">
        <x:v>{"completion_tokens": 12, "prompt_tokens": 564, "total_tokens": 576, "completion_tokens_details": null, "prompt_tokens_details": {"audio_tokens": null, "cached_tokens": 512}, "prompt_cache_hit_tokens": 512, "prompt_cache_miss_tokens": 52}</x:v>
      </x:c>
      <x:c r="N752" s="30" t="str">
        <x:v>correct</x:v>
      </x:c>
      <x:c r="O752" s="30" t="str">
        <x:v>The model answer matches the gold answer exactly, stating that Michelle's monthly income increased from 12,000 to 15,000 after joining Innovative AI Corp on Mar 16, 2037.</x:v>
      </x:c>
      <x:c r="P752" s="30" t="str">
        <x:v>LongCat-2.0</x:v>
      </x:c>
      <x:c r="Q752" s="30" t="str">
        <x:v>LongCat-2.0</x:v>
      </x:c>
      <x:c r="R752" s="30" t="n">
        <x:v>2586.87</x:v>
      </x:c>
      <x:c r="S752" s="30" t="str">
        <x:v>{"completion_tokens": 61, "prompt_tokens": 180,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3">
      <x:c r="A753" s="30" t="str">
        <x:v>memos_medium:1897</x:v>
      </x:c>
      <x:c r="B753" s="30" t="str">
        <x:v>medium</x:v>
      </x:c>
      <x:c r="C753" s="30" t="str">
        <x:v>Multi-hop Inference</x:v>
      </x:c>
      <x:c r="D753" s="30" t="n">
        <x:v>2</x:v>
      </x:c>
      <x:c r="E753" s="30" t="str">
        <x:v>How did Michelle's monthly income change after joining Innovative AI Corp on Mar 16, 2037?</x:v>
      </x:c>
      <x:c r="F753" s="30" t="str">
        <x:v>Increased from 12,000 to 15,000.</x:v>
      </x:c>
      <x:c r="G753" s="30" t="str">
        <x:v>Increased from 12,000 to 15,000.</x:v>
      </x:c>
      <x:c r="H753" s="30" t="str">
        <x:v>deepseek-v4-flash</x:v>
      </x:c>
      <x:c r="I753" s="30" t="str">
        <x:v>deepseek-v4-flash</x:v>
      </x:c>
      <x:c r="J753" s="30" t="str">
        <x:v>12fe1da270440ab084b8250be03a0b3e28a7c7a363beb09eb5704eed50a4f405</x:v>
      </x:c>
      <x:c r="K753" s="30" t="str">
        <x:v>6c796100b730582c9506e73909da69f0bcc70e5620cb7dda000d98ac6200f0c4</x:v>
      </x:c>
      <x:c r="L753" s="30" t="n">
        <x:v>662.17</x:v>
      </x:c>
      <x:c r="M753" s="30" t="str">
        <x:v>{"completion_tokens": 12, "prompt_tokens": 564, "total_tokens": 576, "completion_tokens_details": null, "prompt_tokens_details": {"audio_tokens": null, "cached_tokens": 512}, "prompt_cache_hit_tokens": 512, "prompt_cache_miss_tokens": 52}</x:v>
      </x:c>
      <x:c r="N753" s="30" t="str">
        <x:v>correct</x:v>
      </x:c>
      <x:c r="O753" s="30" t="str">
        <x:v>The model answer matches the gold answer exactly, stating that Michelle's monthly income increased from 12,000 to 15,000 after joining Innovative AI Corp on Mar 16, 2037.</x:v>
      </x:c>
      <x:c r="P753" s="30" t="str">
        <x:v>LongCat-2.0</x:v>
      </x:c>
      <x:c r="Q753" s="30" t="str">
        <x:v>LongCat-2.0</x:v>
      </x:c>
      <x:c r="R753" s="30" t="n">
        <x:v>2323.39</x:v>
      </x:c>
      <x:c r="S753" s="30" t="str">
        <x:v>{"completion_tokens": 61, "prompt_tokens": 180,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4">
      <x:c r="A754" s="30" t="str">
        <x:v>memos_medium:1897</x:v>
      </x:c>
      <x:c r="B754" s="30" t="str">
        <x:v>medium</x:v>
      </x:c>
      <x:c r="C754" s="30" t="str">
        <x:v>Multi-hop Inference</x:v>
      </x:c>
      <x:c r="D754" s="30" t="n">
        <x:v>3</x:v>
      </x:c>
      <x:c r="E754" s="30" t="str">
        <x:v>How did Michelle's monthly income change after joining Innovative AI Corp on Mar 16, 2037?</x:v>
      </x:c>
      <x:c r="F754" s="30" t="str">
        <x:v>Increased from 12,000 to 15,000.</x:v>
      </x:c>
      <x:c r="G754" s="30" t="str">
        <x:v>Increased from 12,000 to 15,000.</x:v>
      </x:c>
      <x:c r="H754" s="30" t="str">
        <x:v>deepseek-v4-flash</x:v>
      </x:c>
      <x:c r="I754" s="30" t="str">
        <x:v>deepseek-v4-flash</x:v>
      </x:c>
      <x:c r="J754" s="30" t="str">
        <x:v>12fe1da270440ab084b8250be03a0b3e28a7c7a363beb09eb5704eed50a4f405</x:v>
      </x:c>
      <x:c r="K754" s="30" t="str">
        <x:v>6c796100b730582c9506e73909da69f0bcc70e5620cb7dda000d98ac6200f0c4</x:v>
      </x:c>
      <x:c r="L754" s="30" t="n">
        <x:v>906.97</x:v>
      </x:c>
      <x:c r="M754" s="30" t="str">
        <x:v>{"completion_tokens": 12, "prompt_tokens": 564, "total_tokens": 576, "completion_tokens_details": null, "prompt_tokens_details": {"audio_tokens": null, "cached_tokens": 512}, "prompt_cache_hit_tokens": 512, "prompt_cache_miss_tokens": 52}</x:v>
      </x:c>
      <x:c r="N754" s="30" t="str">
        <x:v>correct</x:v>
      </x:c>
      <x:c r="O754" s="30" t="str">
        <x:v>The model answer matches the gold answer exactly, stating that Michelle's monthly income increased from 12,000 to 15,000 after joining Innovative AI Corp on Mar 16, 2037.</x:v>
      </x:c>
      <x:c r="P754" s="30" t="str">
        <x:v>LongCat-2.0</x:v>
      </x:c>
      <x:c r="Q754" s="30" t="str">
        <x:v>LongCat-2.0</x:v>
      </x:c>
      <x:c r="R754" s="30" t="n">
        <x:v>2542.85</x:v>
      </x:c>
      <x:c r="S754" s="30" t="str">
        <x:v>{"completion_tokens": 61, "prompt_tokens": 180, "total_tokens": 241,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5">
      <x:c r="A755" s="30" t="str">
        <x:v>memos_medium:1906</x:v>
      </x:c>
      <x:c r="B755" s="30" t="str">
        <x:v>medium</x:v>
      </x:c>
      <x:c r="C755" s="30" t="str">
        <x:v>Basic Fact Recall</x:v>
      </x:c>
      <x:c r="D755" s="30" t="n">
        <x:v>1</x:v>
      </x:c>
      <x:c r="E755" s="30" t="str">
        <x:v>What is the name of Joseph Garcia's friend who shares his love for classic Hollywood?</x:v>
      </x:c>
      <x:c r="F755" s="30" t="str">
        <x:v>David Jones</x:v>
      </x:c>
      <x:c r="G755" s="30" t="str">
        <x:v>JonesDavid</x:v>
      </x:c>
      <x:c r="H755" s="30" t="str">
        <x:v>deepseek-v4-flash</x:v>
      </x:c>
      <x:c r="I755" s="30" t="str">
        <x:v>deepseek-v4-flash</x:v>
      </x:c>
      <x:c r="J755" s="30" t="str">
        <x:v>2bcfa51ff09e662d80b1f9c24fee5a70ecf95d85a25e84f4cce7976c45601066</x:v>
      </x:c>
      <x:c r="K755" s="30" t="str">
        <x:v>9016376e32124c445a368593115c3d5bedafa40c7ee3b245162dd1fb4a31036d</x:v>
      </x:c>
      <x:c r="L755" s="30" t="n">
        <x:v>643.07</x:v>
      </x:c>
      <x:c r="M755" s="30" t="str">
        <x:v>{"completion_tokens": 2, "prompt_tokens": 539, "total_tokens": 541, "completion_tokens_details": null, "prompt_tokens_details": {"audio_tokens": null, "cached_tokens": 512}, "prompt_cache_hit_tokens": 512, "prompt_cache_miss_tokens": 27}</x:v>
      </x:c>
      <x:c r="N755" s="30" t="str">
        <x:v>correct</x:v>
      </x:c>
      <x:c r="O755" s="30" t="str">
        <x:v>The model answer 'JonesDavid' contains the same two name components as the gold answer 'David Jones' (David and Jones), just in a different order. The semantic content is identical - both refer to the same person named David Jones. The reversed order does not change the meaning or introduce any false information, so this is semantically equivalent to the complete gold answer.</x:v>
      </x:c>
      <x:c r="P755" s="30" t="str">
        <x:v>LongCat-2.0</x:v>
      </x:c>
      <x:c r="Q755" s="30" t="str">
        <x:v>LongCat-2.0</x:v>
      </x:c>
      <x:c r="R755" s="30" t="n">
        <x:v>3577.63</x:v>
      </x:c>
      <x:c r="S755" s="30" t="str">
        <x:v>{"completion_tokens": 85, "prompt_tokens": 140,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6">
      <x:c r="A756" s="30" t="str">
        <x:v>memos_medium:1906</x:v>
      </x:c>
      <x:c r="B756" s="30" t="str">
        <x:v>medium</x:v>
      </x:c>
      <x:c r="C756" s="30" t="str">
        <x:v>Basic Fact Recall</x:v>
      </x:c>
      <x:c r="D756" s="30" t="n">
        <x:v>2</x:v>
      </x:c>
      <x:c r="E756" s="30" t="str">
        <x:v>What is the name of Joseph Garcia's friend who shares his love for classic Hollywood?</x:v>
      </x:c>
      <x:c r="F756" s="30" t="str">
        <x:v>David Jones</x:v>
      </x:c>
      <x:c r="G756" s="30" t="str">
        <x:v>JonesDavid</x:v>
      </x:c>
      <x:c r="H756" s="30" t="str">
        <x:v>deepseek-v4-flash</x:v>
      </x:c>
      <x:c r="I756" s="30" t="str">
        <x:v>deepseek-v4-flash</x:v>
      </x:c>
      <x:c r="J756" s="30" t="str">
        <x:v>2bcfa51ff09e662d80b1f9c24fee5a70ecf95d85a25e84f4cce7976c45601066</x:v>
      </x:c>
      <x:c r="K756" s="30" t="str">
        <x:v>9016376e32124c445a368593115c3d5bedafa40c7ee3b245162dd1fb4a31036d</x:v>
      </x:c>
      <x:c r="L756" s="30" t="n">
        <x:v>520.45</x:v>
      </x:c>
      <x:c r="M756" s="30" t="str">
        <x:v>{"completion_tokens": 2, "prompt_tokens": 539, "total_tokens": 541, "completion_tokens_details": null, "prompt_tokens_details": {"audio_tokens": null, "cached_tokens": 512}, "prompt_cache_hit_tokens": 512, "prompt_cache_miss_tokens": 27}</x:v>
      </x:c>
      <x:c r="N756" s="30" t="str">
        <x:v>correct</x:v>
      </x:c>
      <x:c r="O756" s="30" t="str">
        <x:v>The model answer 'JonesDavid' contains both parts of the gold answer 'David Jones' (the first name 'David' and the last name 'Jones'), just concatenated without a space. This is a minor formatting difference that does not change the semantic meaning, so it is considered correct.</x:v>
      </x:c>
      <x:c r="P756" s="30" t="str">
        <x:v>LongCat-2.0</x:v>
      </x:c>
      <x:c r="Q756" s="30" t="str">
        <x:v>LongCat-2.0</x:v>
      </x:c>
      <x:c r="R756" s="30" t="n">
        <x:v>3138.51</x:v>
      </x:c>
      <x:c r="S756" s="30" t="str">
        <x:v>{"completion_tokens": 69, "prompt_tokens": 140,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7">
      <x:c r="A757" s="30" t="str">
        <x:v>memos_medium:1906</x:v>
      </x:c>
      <x:c r="B757" s="30" t="str">
        <x:v>medium</x:v>
      </x:c>
      <x:c r="C757" s="30" t="str">
        <x:v>Basic Fact Recall</x:v>
      </x:c>
      <x:c r="D757" s="30" t="n">
        <x:v>3</x:v>
      </x:c>
      <x:c r="E757" s="30" t="str">
        <x:v>What is the name of Joseph Garcia's friend who shares his love for classic Hollywood?</x:v>
      </x:c>
      <x:c r="F757" s="30" t="str">
        <x:v>David Jones</x:v>
      </x:c>
      <x:c r="G757" s="30" t="str">
        <x:v>JonesDavid</x:v>
      </x:c>
      <x:c r="H757" s="30" t="str">
        <x:v>deepseek-v4-flash</x:v>
      </x:c>
      <x:c r="I757" s="30" t="str">
        <x:v>deepseek-v4-flash</x:v>
      </x:c>
      <x:c r="J757" s="30" t="str">
        <x:v>2bcfa51ff09e662d80b1f9c24fee5a70ecf95d85a25e84f4cce7976c45601066</x:v>
      </x:c>
      <x:c r="K757" s="30" t="str">
        <x:v>9016376e32124c445a368593115c3d5bedafa40c7ee3b245162dd1fb4a31036d</x:v>
      </x:c>
      <x:c r="L757" s="30" t="n">
        <x:v>615.92</x:v>
      </x:c>
      <x:c r="M757" s="30" t="str">
        <x:v>{"completion_tokens": 2, "prompt_tokens": 539, "total_tokens": 541, "completion_tokens_details": null, "prompt_tokens_details": {"audio_tokens": null, "cached_tokens": 512}, "prompt_cache_hit_tokens": 512, "prompt_cache_miss_tokens": 27}</x:v>
      </x:c>
      <x:c r="N757" s="30" t="str">
        <x:v>correct</x:v>
      </x:c>
      <x:c r="O757" s="30" t="str">
        <x:v>The model answer 'JonesDavid' contains the same two name components as the gold answer 'David Jones' (David and Jones), just in a different order. Since the question asks for a name and both components are present, this semantically gives the complete gold answer despite the reversed word order.</x:v>
      </x:c>
      <x:c r="P757" s="30" t="str">
        <x:v>LongCat-2.0</x:v>
      </x:c>
      <x:c r="Q757" s="30" t="str">
        <x:v>LongCat-2.0</x:v>
      </x:c>
      <x:c r="R757" s="30" t="n">
        <x:v>3935.9</x:v>
      </x:c>
      <x:c r="S757" s="30" t="str">
        <x:v>{"completion_tokens": 70, "prompt_tokens": 140,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8">
      <x:c r="A758" s="30" t="str">
        <x:v>memos_medium:1923</x:v>
      </x:c>
      <x:c r="B758" s="30" t="str">
        <x:v>medium</x:v>
      </x:c>
      <x:c r="C758" s="30" t="str">
        <x:v>Memory Conflict</x:v>
      </x:c>
      <x:c r="D758" s="30" t="n">
        <x:v>1</x:v>
      </x:c>
      <x:c r="E758" s="30" t="str">
        <x:v>Did Joseph Garcia's friend recommend a mobile game that made him dislike ads on May 13, 2026?</x:v>
      </x:c>
      <x:c r="F758" s="30" t="str">
        <x:v>Joseph's friend recommended a game that made him appreciate ads for rewards.</x:v>
      </x:c>
      <x:c r="G758" s="30" t="str">
        <x:v>No</x:v>
      </x:c>
      <x:c r="H758" s="30" t="str">
        <x:v>deepseek-v4-flash</x:v>
      </x:c>
      <x:c r="I758" s="30" t="str">
        <x:v>deepseek-v4-flash</x:v>
      </x:c>
      <x:c r="J758" s="30" t="str">
        <x:v>2c1977a9b33920c42403a711a9e5cd9f7a226747a6106dc8759090673bc951ec</x:v>
      </x:c>
      <x:c r="K758" s="30" t="str">
        <x:v>6b2d2e8da645147d4832baf26524cdefb9823f247968e7186d40e3458854c5da</x:v>
      </x:c>
      <x:c r="L758" s="30" t="n">
        <x:v>699.06</x:v>
      </x:c>
      <x:c r="M758" s="30" t="str">
        <x:v>{"completion_tokens": 1, "prompt_tokens": 571, "total_tokens": 572, "completion_tokens_details": null, "prompt_tokens_details": {"audio_tokens": null, "cached_tokens": 512}, "prompt_cache_hit_tokens": 512, "prompt_cache_miss_tokens": 59}</x:v>
      </x:c>
      <x:c r="N758" s="30" t="str">
        <x:v>hallucination</x:v>
      </x:c>
      <x:c r="O758" s="30" t="str">
        <x:v>The gold answer states that Joseph's friend recommended a game that made him appreciate ads for rewards, while the model answer says 'No', which contradicts the gold answer by denying the event occurred. This is a concrete false claim, making it a hallucination.</x:v>
      </x:c>
      <x:c r="P758" s="30" t="str">
        <x:v>LongCat-2.0</x:v>
      </x:c>
      <x:c r="Q758" s="30" t="str">
        <x:v>LongCat-2.0</x:v>
      </x:c>
      <x:c r="R758" s="30" t="n">
        <x:v>3196.91</x:v>
      </x:c>
      <x:c r="S758"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59">
      <x:c r="A759" s="30" t="str">
        <x:v>memos_medium:1923</x:v>
      </x:c>
      <x:c r="B759" s="30" t="str">
        <x:v>medium</x:v>
      </x:c>
      <x:c r="C759" s="30" t="str">
        <x:v>Memory Conflict</x:v>
      </x:c>
      <x:c r="D759" s="30" t="n">
        <x:v>2</x:v>
      </x:c>
      <x:c r="E759" s="30" t="str">
        <x:v>Did Joseph Garcia's friend recommend a mobile game that made him dislike ads on May 13, 2026?</x:v>
      </x:c>
      <x:c r="F759" s="30" t="str">
        <x:v>Joseph's friend recommended a game that made him appreciate ads for rewards.</x:v>
      </x:c>
      <x:c r="G759" s="30" t="str">
        <x:v>No</x:v>
      </x:c>
      <x:c r="H759" s="30" t="str">
        <x:v>deepseek-v4-flash</x:v>
      </x:c>
      <x:c r="I759" s="30" t="str">
        <x:v>deepseek-v4-flash</x:v>
      </x:c>
      <x:c r="J759" s="30" t="str">
        <x:v>2c1977a9b33920c42403a711a9e5cd9f7a226747a6106dc8759090673bc951ec</x:v>
      </x:c>
      <x:c r="K759" s="30" t="str">
        <x:v>6b2d2e8da645147d4832baf26524cdefb9823f247968e7186d40e3458854c5da</x:v>
      </x:c>
      <x:c r="L759" s="30" t="n">
        <x:v>470.68</x:v>
      </x:c>
      <x:c r="M759" s="30" t="str">
        <x:v>{"completion_tokens": 1, "prompt_tokens": 571, "total_tokens": 572, "completion_tokens_details": null, "prompt_tokens_details": {"audio_tokens": null, "cached_tokens": 512}, "prompt_cache_hit_tokens": 512, "prompt_cache_miss_tokens": 59}</x:v>
      </x:c>
      <x:c r="N759" s="30" t="str">
        <x:v>hallucination</x:v>
      </x:c>
      <x:c r="O759" s="30" t="str">
        <x:v>The gold answer states that Joseph's friend recommended a game that made him appreciate ads for rewards, while the model answer says 'No', which contradicts the gold answer by denying the event occurred. This is a concrete false claim, making it a hallucination.</x:v>
      </x:c>
      <x:c r="P759" s="30" t="str">
        <x:v>LongCat-2.0</x:v>
      </x:c>
      <x:c r="Q759" s="30" t="str">
        <x:v>LongCat-2.0</x:v>
      </x:c>
      <x:c r="R759" s="30" t="n">
        <x:v>5660.65</x:v>
      </x:c>
      <x:c r="S759"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0">
      <x:c r="A760" s="30" t="str">
        <x:v>memos_medium:1923</x:v>
      </x:c>
      <x:c r="B760" s="30" t="str">
        <x:v>medium</x:v>
      </x:c>
      <x:c r="C760" s="30" t="str">
        <x:v>Memory Conflict</x:v>
      </x:c>
      <x:c r="D760" s="30" t="n">
        <x:v>3</x:v>
      </x:c>
      <x:c r="E760" s="30" t="str">
        <x:v>Did Joseph Garcia's friend recommend a mobile game that made him dislike ads on May 13, 2026?</x:v>
      </x:c>
      <x:c r="F760" s="30" t="str">
        <x:v>Joseph's friend recommended a game that made him appreciate ads for rewards.</x:v>
      </x:c>
      <x:c r="G760" s="30" t="str">
        <x:v>No</x:v>
      </x:c>
      <x:c r="H760" s="30" t="str">
        <x:v>deepseek-v4-flash</x:v>
      </x:c>
      <x:c r="I760" s="30" t="str">
        <x:v>deepseek-v4-flash</x:v>
      </x:c>
      <x:c r="J760" s="30" t="str">
        <x:v>2c1977a9b33920c42403a711a9e5cd9f7a226747a6106dc8759090673bc951ec</x:v>
      </x:c>
      <x:c r="K760" s="30" t="str">
        <x:v>6b2d2e8da645147d4832baf26524cdefb9823f247968e7186d40e3458854c5da</x:v>
      </x:c>
      <x:c r="L760" s="30" t="n">
        <x:v>504.72</x:v>
      </x:c>
      <x:c r="M760" s="30" t="str">
        <x:v>{"completion_tokens": 1, "prompt_tokens": 571, "total_tokens": 572, "completion_tokens_details": null, "prompt_tokens_details": {"audio_tokens": null, "cached_tokens": 512}, "prompt_cache_hit_tokens": 512, "prompt_cache_miss_tokens": 59}</x:v>
      </x:c>
      <x:c r="N760" s="30" t="str">
        <x:v>hallucination</x:v>
      </x:c>
      <x:c r="O760" s="30" t="str">
        <x:v>The gold answer states that Joseph's friend recommended a game that made him appreciate ads for rewards, while the model answer says 'No', which contradicts the gold answer by denying the event occurred. This is a concrete false claim, making it a hallucination.</x:v>
      </x:c>
      <x:c r="P760" s="30" t="str">
        <x:v>LongCat-2.0</x:v>
      </x:c>
      <x:c r="Q760" s="30" t="str">
        <x:v>LongCat-2.0</x:v>
      </x:c>
      <x:c r="R760" s="30" t="n">
        <x:v>5218.63</x:v>
      </x:c>
      <x:c r="S760" s="30" t="str">
        <x:v>{"completion_tokens": 64, "prompt_tokens": 159,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1">
      <x:c r="A761" s="30" t="str">
        <x:v>memos_medium:1949</x:v>
      </x:c>
      <x:c r="B761" s="30" t="str">
        <x:v>medium</x:v>
      </x:c>
      <x:c r="C761" s="30" t="str">
        <x:v>Basic Fact Recall</x:v>
      </x:c>
      <x:c r="D761" s="30" t="n">
        <x:v>1</x:v>
      </x:c>
      <x:c r="E761" s="30" t="str">
        <x:v>What is Joseph Garcia's employment status as of May 01, 2029?</x:v>
      </x:c>
      <x:c r="F761" s="30" t="str">
        <x:v>Self-employed</x:v>
      </x:c>
      <x:c r="G761" s="30" t="str">
        <x:v>Self-employed</x:v>
      </x:c>
      <x:c r="H761" s="30" t="str">
        <x:v>deepseek-v4-flash</x:v>
      </x:c>
      <x:c r="I761" s="30" t="str">
        <x:v>deepseek-v4-flash</x:v>
      </x:c>
      <x:c r="J761" s="30" t="str">
        <x:v>712fb866b10784591fef40167d7164591720e70fabd5bcda524820b5d28926ac</x:v>
      </x:c>
      <x:c r="K761" s="30" t="str">
        <x:v>2a678f781de61dfdd8ac13ecd6c787ff662bdc1846bf25dec7a6e86a91c53d53</x:v>
      </x:c>
      <x:c r="L761" s="30" t="n">
        <x:v>648.1</x:v>
      </x:c>
      <x:c r="M761" s="30" t="str">
        <x:v>{"completion_tokens": 2, "prompt_tokens": 536, "total_tokens": 538, "completion_tokens_details": null, "prompt_tokens_details": {"audio_tokens": null, "cached_tokens": 512}, "prompt_cache_hit_tokens": 512, "prompt_cache_miss_tokens": 24}</x:v>
      </x:c>
      <x:c r="N761" s="30" t="str">
        <x:v>correct</x:v>
      </x:c>
      <x:c r="O761" s="30" t="str">
        <x:v>The model answer 'Self-employed' matches the benchmark gold answer exactly, providing the complete and correct employment status.</x:v>
      </x:c>
      <x:c r="P761" s="30" t="str">
        <x:v>LongCat-2.0</x:v>
      </x:c>
      <x:c r="Q761" s="30" t="str">
        <x:v>LongCat-2.0</x:v>
      </x:c>
      <x:c r="R761" s="30" t="n">
        <x:v>2328.57</x:v>
      </x:c>
      <x:c r="S761" s="30" t="str">
        <x:v>{"completion_tokens": 34, "prompt_tokens": 145, "total_tokens": 179,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62">
      <x:c r="A762" s="30" t="str">
        <x:v>memos_medium:1949</x:v>
      </x:c>
      <x:c r="B762" s="30" t="str">
        <x:v>medium</x:v>
      </x:c>
      <x:c r="C762" s="30" t="str">
        <x:v>Basic Fact Recall</x:v>
      </x:c>
      <x:c r="D762" s="30" t="n">
        <x:v>2</x:v>
      </x:c>
      <x:c r="E762" s="30" t="str">
        <x:v>What is Joseph Garcia's employment status as of May 01, 2029?</x:v>
      </x:c>
      <x:c r="F762" s="30" t="str">
        <x:v>Self-employed</x:v>
      </x:c>
      <x:c r="G762" s="30" t="str">
        <x:v>Self-employed</x:v>
      </x:c>
      <x:c r="H762" s="30" t="str">
        <x:v>deepseek-v4-flash</x:v>
      </x:c>
      <x:c r="I762" s="30" t="str">
        <x:v>deepseek-v4-flash</x:v>
      </x:c>
      <x:c r="J762" s="30" t="str">
        <x:v>712fb866b10784591fef40167d7164591720e70fabd5bcda524820b5d28926ac</x:v>
      </x:c>
      <x:c r="K762" s="30" t="str">
        <x:v>2a678f781de61dfdd8ac13ecd6c787ff662bdc1846bf25dec7a6e86a91c53d53</x:v>
      </x:c>
      <x:c r="L762" s="30" t="n">
        <x:v>692.86</x:v>
      </x:c>
      <x:c r="M762" s="30" t="str">
        <x:v>{"completion_tokens": 2, "prompt_tokens": 536, "total_tokens": 538, "completion_tokens_details": null, "prompt_tokens_details": {"audio_tokens": null, "cached_tokens": 512}, "prompt_cache_hit_tokens": 512, "prompt_cache_miss_tokens": 24}</x:v>
      </x:c>
      <x:c r="N762" s="30" t="str">
        <x:v>correct</x:v>
      </x:c>
      <x:c r="O762" s="30" t="str">
        <x:v>The model answer 'Self-employed' matches the benchmark gold answer exactly, providing the complete and correct employment status.</x:v>
      </x:c>
      <x:c r="P762" s="30" t="str">
        <x:v>LongCat-2.0</x:v>
      </x:c>
      <x:c r="Q762" s="30" t="str">
        <x:v>LongCat-2.0</x:v>
      </x:c>
      <x:c r="R762" s="30" t="n">
        <x:v>2187.61</x:v>
      </x:c>
      <x:c r="S762" s="30" t="str">
        <x:v>{"completion_tokens": 34, "prompt_tokens": 145,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3">
      <x:c r="A763" s="30" t="str">
        <x:v>memos_medium:1949</x:v>
      </x:c>
      <x:c r="B763" s="30" t="str">
        <x:v>medium</x:v>
      </x:c>
      <x:c r="C763" s="30" t="str">
        <x:v>Basic Fact Recall</x:v>
      </x:c>
      <x:c r="D763" s="30" t="n">
        <x:v>3</x:v>
      </x:c>
      <x:c r="E763" s="30" t="str">
        <x:v>What is Joseph Garcia's employment status as of May 01, 2029?</x:v>
      </x:c>
      <x:c r="F763" s="30" t="str">
        <x:v>Self-employed</x:v>
      </x:c>
      <x:c r="G763" s="30" t="str">
        <x:v>Self-employed</x:v>
      </x:c>
      <x:c r="H763" s="30" t="str">
        <x:v>deepseek-v4-flash</x:v>
      </x:c>
      <x:c r="I763" s="30" t="str">
        <x:v>deepseek-v4-flash</x:v>
      </x:c>
      <x:c r="J763" s="30" t="str">
        <x:v>712fb866b10784591fef40167d7164591720e70fabd5bcda524820b5d28926ac</x:v>
      </x:c>
      <x:c r="K763" s="30" t="str">
        <x:v>2a678f781de61dfdd8ac13ecd6c787ff662bdc1846bf25dec7a6e86a91c53d53</x:v>
      </x:c>
      <x:c r="L763" s="30" t="n">
        <x:v>547.33</x:v>
      </x:c>
      <x:c r="M763" s="30" t="str">
        <x:v>{"completion_tokens": 2, "prompt_tokens": 536, "total_tokens": 538, "completion_tokens_details": null, "prompt_tokens_details": {"audio_tokens": null, "cached_tokens": 512}, "prompt_cache_hit_tokens": 512, "prompt_cache_miss_tokens": 24}</x:v>
      </x:c>
      <x:c r="N763" s="30" t="str">
        <x:v>correct</x:v>
      </x:c>
      <x:c r="O763" s="30" t="str">
        <x:v>The model answer 'Self-employed' matches the benchmark gold answer exactly, providing the complete and correct employment status.</x:v>
      </x:c>
      <x:c r="P763" s="30" t="str">
        <x:v>LongCat-2.0</x:v>
      </x:c>
      <x:c r="Q763" s="30" t="str">
        <x:v>LongCat-2.0</x:v>
      </x:c>
      <x:c r="R763" s="30" t="n">
        <x:v>3166.45</x:v>
      </x:c>
      <x:c r="S763" s="30" t="str">
        <x:v>{"completion_tokens": 34, "prompt_tokens": 145,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4">
      <x:c r="A764" s="30" t="str">
        <x:v>memos_medium:1986</x:v>
      </x:c>
      <x:c r="B764" s="30" t="str">
        <x:v>medium</x:v>
      </x:c>
      <x:c r="C764" s="30" t="str">
        <x:v>Generalization &amp; Application</x:v>
      </x:c>
      <x:c r="D764" s="30" t="n">
        <x:v>1</x:v>
      </x:c>
      <x:c r="E764" s="30" t="str">
        <x:v>What methods might Joseph Garcia use to maintain program quality despite increased workload as of Jan 11, 2034?</x:v>
      </x:c>
      <x:c r="F764" s="30" t="str">
        <x:v>Seeking advice and maintaining emotional fulfillment.</x:v>
      </x:c>
      <x:c r="G764" s="30" t="str">
        <x:v>Dedication and passion for cinema.</x:v>
      </x:c>
      <x:c r="H764" s="30" t="str">
        <x:v>deepseek-v4-flash</x:v>
      </x:c>
      <x:c r="I764" s="30" t="str">
        <x:v>deepseek-v4-flash</x:v>
      </x:c>
      <x:c r="J764" s="30" t="str">
        <x:v>914472dd61cc203775ef55b31b52b4ae21270efec0eae2fd5780bd6a84b969e2</x:v>
      </x:c>
      <x:c r="K764" s="30" t="str">
        <x:v>047c516998ea96cce7f955786be3e630362cce280496df1fa11a445354c08969</x:v>
      </x:c>
      <x:c r="L764" s="30" t="n">
        <x:v>773.23</x:v>
      </x:c>
      <x:c r="M764" s="30" t="str">
        <x:v>{"completion_tokens": 8, "prompt_tokens": 563, "total_tokens": 571, "completion_tokens_details": null, "prompt_tokens_details": {"audio_tokens": null, "cached_tokens": 512}, "prompt_cache_hit_tokens": 512, "prompt_cache_miss_tokens": 51}</x:v>
      </x:c>
      <x:c r="N764" s="30" t="str">
        <x:v>hallucination</x:v>
      </x:c>
      <x:c r="O764" s="30" t="str">
        <x:v>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x:v>
      </x:c>
      <x:c r="P764" s="30" t="str">
        <x:v>LongCat-2.0</x:v>
      </x:c>
      <x:c r="Q764" s="30" t="str">
        <x:v>LongCat-2.0</x:v>
      </x:c>
      <x:c r="R764" s="30" t="n">
        <x:v>3042.05</x:v>
      </x:c>
      <x:c r="S764"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5">
      <x:c r="A765" s="30" t="str">
        <x:v>memos_medium:1986</x:v>
      </x:c>
      <x:c r="B765" s="30" t="str">
        <x:v>medium</x:v>
      </x:c>
      <x:c r="C765" s="30" t="str">
        <x:v>Generalization &amp; Application</x:v>
      </x:c>
      <x:c r="D765" s="30" t="n">
        <x:v>2</x:v>
      </x:c>
      <x:c r="E765" s="30" t="str">
        <x:v>What methods might Joseph Garcia use to maintain program quality despite increased workload as of Jan 11, 2034?</x:v>
      </x:c>
      <x:c r="F765" s="30" t="str">
        <x:v>Seeking advice and maintaining emotional fulfillment.</x:v>
      </x:c>
      <x:c r="G765" s="30" t="str">
        <x:v>Dedication and passion for cinema.</x:v>
      </x:c>
      <x:c r="H765" s="30" t="str">
        <x:v>deepseek-v4-flash</x:v>
      </x:c>
      <x:c r="I765" s="30" t="str">
        <x:v>deepseek-v4-flash</x:v>
      </x:c>
      <x:c r="J765" s="30" t="str">
        <x:v>914472dd61cc203775ef55b31b52b4ae21270efec0eae2fd5780bd6a84b969e2</x:v>
      </x:c>
      <x:c r="K765" s="30" t="str">
        <x:v>047c516998ea96cce7f955786be3e630362cce280496df1fa11a445354c08969</x:v>
      </x:c>
      <x:c r="L765" s="30" t="n">
        <x:v>766.28</x:v>
      </x:c>
      <x:c r="M765" s="30" t="str">
        <x:v>{"completion_tokens": 8, "prompt_tokens": 563, "total_tokens": 571, "completion_tokens_details": null, "prompt_tokens_details": {"audio_tokens": null, "cached_tokens": 512}, "prompt_cache_hit_tokens": 512, "prompt_cache_miss_tokens": 51}</x:v>
      </x:c>
      <x:c r="N765" s="30" t="str">
        <x:v>hallucination</x:v>
      </x:c>
      <x:c r="O765" s="30" t="str">
        <x:v>The model answer 'Dedication and passion for cinema' introduces concrete claims that are not supported by the gold answer. The gold answer specifies 'Seeking advice and maintaining emotional fulfillment' as the methods, while the model provides an unrelated and unsupported response, making it a hallucination.</x:v>
      </x:c>
      <x:c r="P765" s="30" t="str">
        <x:v>LongCat-2.0</x:v>
      </x:c>
      <x:c r="Q765" s="30" t="str">
        <x:v>LongCat-2.0</x:v>
      </x:c>
      <x:c r="R765" s="30" t="n">
        <x:v>2910.01</x:v>
      </x:c>
      <x:c r="S765" s="30" t="str">
        <x:v>{"completion_tokens": 69, "prompt_tokens": 158,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66">
      <x:c r="A766" s="30" t="str">
        <x:v>memos_medium:1986</x:v>
      </x:c>
      <x:c r="B766" s="30" t="str">
        <x:v>medium</x:v>
      </x:c>
      <x:c r="C766" s="30" t="str">
        <x:v>Generalization &amp; Application</x:v>
      </x:c>
      <x:c r="D766" s="30" t="n">
        <x:v>3</x:v>
      </x:c>
      <x:c r="E766" s="30" t="str">
        <x:v>What methods might Joseph Garcia use to maintain program quality despite increased workload as of Jan 11, 2034?</x:v>
      </x:c>
      <x:c r="F766" s="30" t="str">
        <x:v>Seeking advice and maintaining emotional fulfillment.</x:v>
      </x:c>
      <x:c r="G766" s="30" t="str">
        <x:v>Dedication and passion for cinema.</x:v>
      </x:c>
      <x:c r="H766" s="30" t="str">
        <x:v>deepseek-v4-flash</x:v>
      </x:c>
      <x:c r="I766" s="30" t="str">
        <x:v>deepseek-v4-flash</x:v>
      </x:c>
      <x:c r="J766" s="30" t="str">
        <x:v>914472dd61cc203775ef55b31b52b4ae21270efec0eae2fd5780bd6a84b969e2</x:v>
      </x:c>
      <x:c r="K766" s="30" t="str">
        <x:v>047c516998ea96cce7f955786be3e630362cce280496df1fa11a445354c08969</x:v>
      </x:c>
      <x:c r="L766" s="30" t="n">
        <x:v>712.3</x:v>
      </x:c>
      <x:c r="M766" s="30" t="str">
        <x:v>{"completion_tokens": 8, "prompt_tokens": 563, "total_tokens": 571, "completion_tokens_details": null, "prompt_tokens_details": {"audio_tokens": null, "cached_tokens": 512}, "prompt_cache_hit_tokens": 512, "prompt_cache_miss_tokens": 51}</x:v>
      </x:c>
      <x:c r="N766" s="30" t="str">
        <x:v>hallucination</x:v>
      </x:c>
      <x:c r="O766" s="30" t="str">
        <x:v>The model answer 'Dedication and passion for cinema' introduces concrete claims that are not supported by the gold answer. The gold answer specifies 'Seeking advice and maintaining emotional fulfillment' as the methods, while the model provides an entirely different and unsupported response, making it a hallucination.</x:v>
      </x:c>
      <x:c r="P766" s="30" t="str">
        <x:v>LongCat-2.0</x:v>
      </x:c>
      <x:c r="Q766" s="30" t="str">
        <x:v>LongCat-2.0</x:v>
      </x:c>
      <x:c r="R766" s="30" t="n">
        <x:v>2697.74</x:v>
      </x:c>
      <x:c r="S766" s="30" t="str">
        <x:v>{"completion_tokens": 70, "prompt_tokens": 158,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7">
      <x:c r="A767" s="30" t="str">
        <x:v>memos_medium:1998</x:v>
      </x:c>
      <x:c r="B767" s="30" t="str">
        <x:v>medium</x:v>
      </x:c>
      <x:c r="C767" s="30" t="str">
        <x:v>Generalization &amp; Application</x:v>
      </x:c>
      <x:c r="D767" s="30" t="n">
        <x:v>1</x:v>
      </x:c>
      <x:c r="E767" s="30" t="str">
        <x:v>How might Joseph's shift to cinema history books influence his creative projects after June 20, 2035?</x:v>
      </x:c>
      <x:c r="F767" s="30" t="str">
        <x:v>It may integrate film insights into his projects.</x:v>
      </x:c>
      <x:c r="G767" s="30" t="str">
        <x:v>Influence his educational programs.</x:v>
      </x:c>
      <x:c r="H767" s="30" t="str">
        <x:v>deepseek-v4-flash</x:v>
      </x:c>
      <x:c r="I767" s="30" t="str">
        <x:v>deepseek-v4-flash</x:v>
      </x:c>
      <x:c r="J767" s="30" t="str">
        <x:v>755914687522d6bab1a339706995e83905b0be12e478e5fd169fb69e10047538</x:v>
      </x:c>
      <x:c r="K767" s="30" t="str">
        <x:v>272c1fed341fa2fd338fed28ff6ee0f8b078213df7c298b65f7fa443a0066871</x:v>
      </x:c>
      <x:c r="L767" s="30" t="n">
        <x:v>616.05</x:v>
      </x:c>
      <x:c r="M767" s="30" t="str">
        <x:v>{"completion_tokens": 6, "prompt_tokens": 602, "total_tokens": 608, "completion_tokens_details": null, "prompt_tokens_details": {"audio_tokens": null, "cached_tokens": 512}, "prompt_cache_hit_tokens": 512, "prompt_cache_miss_tokens": 90}</x:v>
      </x:c>
      <x:c r="N767" s="30" t="str">
        <x:v>hallucination</x:v>
      </x:c>
      <x:c r="O767"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P767" s="30" t="str">
        <x:v>LongCat-2.0</x:v>
      </x:c>
      <x:c r="Q767" s="30" t="str">
        <x:v>LongCat-2.0</x:v>
      </x:c>
      <x:c r="R767" s="30" t="n">
        <x:v>3734.85</x:v>
      </x:c>
      <x:c r="S767" s="30" t="str">
        <x:v>{"completion_tokens": 79, "prompt_tokens": 156,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8">
      <x:c r="A768" s="30" t="str">
        <x:v>memos_medium:1998</x:v>
      </x:c>
      <x:c r="B768" s="30" t="str">
        <x:v>medium</x:v>
      </x:c>
      <x:c r="C768" s="30" t="str">
        <x:v>Generalization &amp; Application</x:v>
      </x:c>
      <x:c r="D768" s="30" t="n">
        <x:v>2</x:v>
      </x:c>
      <x:c r="E768" s="30" t="str">
        <x:v>How might Joseph's shift to cinema history books influence his creative projects after June 20, 2035?</x:v>
      </x:c>
      <x:c r="F768" s="30" t="str">
        <x:v>It may integrate film insights into his projects.</x:v>
      </x:c>
      <x:c r="G768" s="30" t="str">
        <x:v>Influence his educational programs.</x:v>
      </x:c>
      <x:c r="H768" s="30" t="str">
        <x:v>deepseek-v4-flash</x:v>
      </x:c>
      <x:c r="I768" s="30" t="str">
        <x:v>deepseek-v4-flash</x:v>
      </x:c>
      <x:c r="J768" s="30" t="str">
        <x:v>755914687522d6bab1a339706995e83905b0be12e478e5fd169fb69e10047538</x:v>
      </x:c>
      <x:c r="K768" s="30" t="str">
        <x:v>272c1fed341fa2fd338fed28ff6ee0f8b078213df7c298b65f7fa443a0066871</x:v>
      </x:c>
      <x:c r="L768" s="30" t="n">
        <x:v>783.37</x:v>
      </x:c>
      <x:c r="M768" s="30" t="str">
        <x:v>{"completion_tokens": 6, "prompt_tokens": 602, "total_tokens": 608, "completion_tokens_details": null, "prompt_tokens_details": {"audio_tokens": null, "cached_tokens": 512}, "prompt_cache_hit_tokens": 512, "prompt_cache_miss_tokens": 90}</x:v>
      </x:c>
      <x:c r="N768" s="30" t="str">
        <x:v>hallucination</x:v>
      </x:c>
      <x:c r="O768"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unsupported/incorrect material.</x:v>
      </x:c>
      <x:c r="P768" s="30" t="str">
        <x:v>LongCat-2.0</x:v>
      </x:c>
      <x:c r="Q768" s="30" t="str">
        <x:v>LongCat-2.0</x:v>
      </x:c>
      <x:c r="R768" s="30" t="n">
        <x:v>3091.16</x:v>
      </x:c>
      <x:c r="S768" s="30" t="str">
        <x:v>{"completion_tokens": 79, "prompt_tokens": 156,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69">
      <x:c r="A769" s="30" t="str">
        <x:v>memos_medium:1998</x:v>
      </x:c>
      <x:c r="B769" s="30" t="str">
        <x:v>medium</x:v>
      </x:c>
      <x:c r="C769" s="30" t="str">
        <x:v>Generalization &amp; Application</x:v>
      </x:c>
      <x:c r="D769" s="30" t="n">
        <x:v>3</x:v>
      </x:c>
      <x:c r="E769" s="30" t="str">
        <x:v>How might Joseph's shift to cinema history books influence his creative projects after June 20, 2035?</x:v>
      </x:c>
      <x:c r="F769" s="30" t="str">
        <x:v>It may integrate film insights into his projects.</x:v>
      </x:c>
      <x:c r="G769" s="30" t="str">
        <x:v>Influence his educational programs.</x:v>
      </x:c>
      <x:c r="H769" s="30" t="str">
        <x:v>deepseek-v4-flash</x:v>
      </x:c>
      <x:c r="I769" s="30" t="str">
        <x:v>deepseek-v4-flash</x:v>
      </x:c>
      <x:c r="J769" s="30" t="str">
        <x:v>755914687522d6bab1a339706995e83905b0be12e478e5fd169fb69e10047538</x:v>
      </x:c>
      <x:c r="K769" s="30" t="str">
        <x:v>272c1fed341fa2fd338fed28ff6ee0f8b078213df7c298b65f7fa443a0066871</x:v>
      </x:c>
      <x:c r="L769" s="30" t="n">
        <x:v>582.91</x:v>
      </x:c>
      <x:c r="M769" s="30" t="str">
        <x:v>{"completion_tokens": 6, "prompt_tokens": 602, "total_tokens": 608, "completion_tokens_details": null, "prompt_tokens_details": {"audio_tokens": null, "cached_tokens": 512}, "prompt_cache_hit_tokens": 512, "prompt_cache_miss_tokens": 90}</x:v>
      </x:c>
      <x:c r="N769" s="30" t="str">
        <x:v>hallucination</x:v>
      </x:c>
      <x:c r="O769" s="30" t="str">
        <x:v>The gold answer states that Joseph's shift to cinema history books may integrate film insights into his projects. The model answer claims it would 'influence his educational programs,' which introduces a specific, unsupported claim about educational programs that is not mentioned or implied in the gold answer. This constitutes a concrete answer that includes unsupported material, making it a hallucination.</x:v>
      </x:c>
      <x:c r="P769" s="30" t="str">
        <x:v>LongCat-2.0</x:v>
      </x:c>
      <x:c r="Q769" s="30" t="str">
        <x:v>LongCat-2.0</x:v>
      </x:c>
      <x:c r="R769" s="30" t="n">
        <x:v>3913.76</x:v>
      </x:c>
      <x:c r="S769" s="30" t="str">
        <x:v>{"completion_tokens": 83, "prompt_tokens": 156,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0">
      <x:c r="A770" s="30" t="str">
        <x:v>memos_medium:1999</x:v>
      </x:c>
      <x:c r="B770" s="30" t="str">
        <x:v>medium</x:v>
      </x:c>
      <x:c r="C770" s="30" t="str">
        <x:v>Basic Fact Recall</x:v>
      </x:c>
      <x:c r="D770" s="30" t="n">
        <x:v>1</x:v>
      </x:c>
      <x:c r="E770" s="30" t="str">
        <x:v>What reading preference did Joseph Garcia express on Jun 20, 2035?</x:v>
      </x:c>
      <x:c r="F770" s="30" t="str">
        <x:v>Cinema history books.</x:v>
      </x:c>
      <x:c r="G770" s="30" t="str">
        <x:v>Cinema history books</x:v>
      </x:c>
      <x:c r="H770" s="30" t="str">
        <x:v>deepseek-v4-flash</x:v>
      </x:c>
      <x:c r="I770" s="30" t="str">
        <x:v>deepseek-v4-flash</x:v>
      </x:c>
      <x:c r="J770" s="30" t="str">
        <x:v>c6d522906ff382b2df5bdd69ce8ca3b3c89da9ebe3d220424da44e251d5070bb</x:v>
      </x:c>
      <x:c r="K770" s="30" t="str">
        <x:v>acc1f7b916f4bfffcd10c157762c6f9ea7be26cbb3961a0fd668cda9066e5dec</x:v>
      </x:c>
      <x:c r="L770" s="30" t="n">
        <x:v>539.29</x:v>
      </x:c>
      <x:c r="M770" s="30" t="str">
        <x:v>{"completion_tokens": 4, "prompt_tokens": 537, "total_tokens": 541, "completion_tokens_details": null, "prompt_tokens_details": {"audio_tokens": null, "cached_tokens": 512}, "prompt_cache_hit_tokens": 512, "prompt_cache_miss_tokens": 25}</x:v>
      </x:c>
      <x:c r="N770" s="30" t="str">
        <x:v>correct</x:v>
      </x:c>
      <x:c r="O770" s="30" t="str">
        <x:v>The model answer 'Cinema history books' is semantically identical to the benchmark gold answer 'Cinema history books.' and provides the complete answer without any contradiction or unsupported material.</x:v>
      </x:c>
      <x:c r="P770" s="30" t="str">
        <x:v>LongCat-2.0</x:v>
      </x:c>
      <x:c r="Q770" s="30" t="str">
        <x:v>LongCat-2.0</x:v>
      </x:c>
      <x:c r="R770" s="30" t="n">
        <x:v>2373.87</x:v>
      </x:c>
      <x:c r="S770" s="30" t="str">
        <x:v>{"completion_tokens": 47, "prompt_tokens": 146, "total_tokens": 193,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71">
      <x:c r="A771" s="30" t="str">
        <x:v>memos_medium:1999</x:v>
      </x:c>
      <x:c r="B771" s="30" t="str">
        <x:v>medium</x:v>
      </x:c>
      <x:c r="C771" s="30" t="str">
        <x:v>Basic Fact Recall</x:v>
      </x:c>
      <x:c r="D771" s="30" t="n">
        <x:v>2</x:v>
      </x:c>
      <x:c r="E771" s="30" t="str">
        <x:v>What reading preference did Joseph Garcia express on Jun 20, 2035?</x:v>
      </x:c>
      <x:c r="F771" s="30" t="str">
        <x:v>Cinema history books.</x:v>
      </x:c>
      <x:c r="G771" s="30" t="str">
        <x:v>Cinema history books</x:v>
      </x:c>
      <x:c r="H771" s="30" t="str">
        <x:v>deepseek-v4-flash</x:v>
      </x:c>
      <x:c r="I771" s="30" t="str">
        <x:v>deepseek-v4-flash</x:v>
      </x:c>
      <x:c r="J771" s="30" t="str">
        <x:v>c6d522906ff382b2df5bdd69ce8ca3b3c89da9ebe3d220424da44e251d5070bb</x:v>
      </x:c>
      <x:c r="K771" s="30" t="str">
        <x:v>acc1f7b916f4bfffcd10c157762c6f9ea7be26cbb3961a0fd668cda9066e5dec</x:v>
      </x:c>
      <x:c r="L771" s="30" t="n">
        <x:v>610.26</x:v>
      </x:c>
      <x:c r="M771" s="30" t="str">
        <x:v>{"completion_tokens": 4, "prompt_tokens": 537, "total_tokens": 541, "completion_tokens_details": null, "prompt_tokens_details": {"audio_tokens": null, "cached_tokens": 512}, "prompt_cache_hit_tokens": 512, "prompt_cache_miss_tokens": 25}</x:v>
      </x:c>
      <x:c r="N771" s="30" t="str">
        <x:v>correct</x:v>
      </x:c>
      <x:c r="O771" s="30" t="str">
        <x:v>The model answer 'Cinema history books' is semantically identical to the benchmark gold answer 'Cinema history books.' and provides the complete answer without any contradiction or unsupported material.</x:v>
      </x:c>
      <x:c r="P771" s="30" t="str">
        <x:v>LongCat-2.0</x:v>
      </x:c>
      <x:c r="Q771" s="30" t="str">
        <x:v>LongCat-2.0</x:v>
      </x:c>
      <x:c r="R771" s="30" t="n">
        <x:v>2502.6</x:v>
      </x:c>
      <x:c r="S771" s="30" t="str">
        <x:v>{"completion_tokens": 47, "prompt_tokens": 146, "total_tokens": 193,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2">
      <x:c r="A772" s="30" t="str">
        <x:v>memos_medium:1999</x:v>
      </x:c>
      <x:c r="B772" s="30" t="str">
        <x:v>medium</x:v>
      </x:c>
      <x:c r="C772" s="30" t="str">
        <x:v>Basic Fact Recall</x:v>
      </x:c>
      <x:c r="D772" s="30" t="n">
        <x:v>3</x:v>
      </x:c>
      <x:c r="E772" s="30" t="str">
        <x:v>What reading preference did Joseph Garcia express on Jun 20, 2035?</x:v>
      </x:c>
      <x:c r="F772" s="30" t="str">
        <x:v>Cinema history books.</x:v>
      </x:c>
      <x:c r="G772" s="30" t="str">
        <x:v>Cinema history books</x:v>
      </x:c>
      <x:c r="H772" s="30" t="str">
        <x:v>deepseek-v4-flash</x:v>
      </x:c>
      <x:c r="I772" s="30" t="str">
        <x:v>deepseek-v4-flash</x:v>
      </x:c>
      <x:c r="J772" s="30" t="str">
        <x:v>c6d522906ff382b2df5bdd69ce8ca3b3c89da9ebe3d220424da44e251d5070bb</x:v>
      </x:c>
      <x:c r="K772" s="30" t="str">
        <x:v>acc1f7b916f4bfffcd10c157762c6f9ea7be26cbb3961a0fd668cda9066e5dec</x:v>
      </x:c>
      <x:c r="L772" s="30" t="n">
        <x:v>725.6</x:v>
      </x:c>
      <x:c r="M772" s="30" t="str">
        <x:v>{"completion_tokens": 4, "prompt_tokens": 537, "total_tokens": 541, "completion_tokens_details": null, "prompt_tokens_details": {"audio_tokens": null, "cached_tokens": 512}, "prompt_cache_hit_tokens": 512, "prompt_cache_miss_tokens": 25}</x:v>
      </x:c>
      <x:c r="N772" s="30" t="str">
        <x:v>correct</x:v>
      </x:c>
      <x:c r="O772" s="30" t="str">
        <x:v>The model answer 'Cinema history books' is semantically identical to the benchmark gold answer 'Cinema history books.' and provides the complete answer without any contradiction or unsupported material.</x:v>
      </x:c>
      <x:c r="P772" s="30" t="str">
        <x:v>LongCat-2.0</x:v>
      </x:c>
      <x:c r="Q772" s="30" t="str">
        <x:v>LongCat-2.0</x:v>
      </x:c>
      <x:c r="R772" s="30" t="n">
        <x:v>2366.79</x:v>
      </x:c>
      <x:c r="S772" s="30" t="str">
        <x:v>{"completion_tokens": 47, "prompt_tokens": 146, "total_tokens": 193,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3">
      <x:c r="A773" s="30" t="str">
        <x:v>memos_medium:20</x:v>
      </x:c>
      <x:c r="B773" s="30" t="str">
        <x:v>medium</x:v>
      </x:c>
      <x:c r="C773" s="30" t="str">
        <x:v>Multi-hop Inference</x:v>
      </x:c>
      <x:c r="D773" s="30" t="n">
        <x:v>1</x:v>
      </x:c>
      <x:c r="E773" s="30" t="str">
        <x:v>How did Martin's colleagues influence his career transition as discussed on February 05, 2026?</x:v>
      </x:c>
      <x:c r="F773" s="30" t="str">
        <x:v>Through insights and a collaborative approach.</x:v>
      </x:c>
      <x:c r="G773" s="30" t="str">
        <x:v>Daniel offered insights; Joshua influenced leadership.</x:v>
      </x:c>
      <x:c r="H773" s="30" t="str">
        <x:v>deepseek-v4-flash</x:v>
      </x:c>
      <x:c r="I773" s="30" t="str">
        <x:v>deepseek-v4-flash</x:v>
      </x:c>
      <x:c r="J773" s="30" t="str">
        <x:v>808606e2888fb5a2f1dea259a17486e6840b438867aef88117ae9a0ae351d71e</x:v>
      </x:c>
      <x:c r="K773" s="30" t="str">
        <x:v>647dbe5398c2a543c71849814b477a8e3b0be5ec4cc182d55ccf3b9c1a1ed529</x:v>
      </x:c>
      <x:c r="L773" s="30" t="n">
        <x:v>576.02</x:v>
      </x:c>
      <x:c r="M773" s="30" t="str">
        <x:v>{"completion_tokens": 8, "prompt_tokens": 564, "total_tokens": 572, "completion_tokens_details": null, "prompt_tokens_details": {"audio_tokens": null, "cached_tokens": 512}, "prompt_cache_hit_tokens": 512, "prompt_cache_miss_tokens": 52}</x:v>
      </x:c>
      <x:c r="N773" s="30" t="str">
        <x:v>omission</x:v>
      </x:c>
      <x:c r="O773" s="30" t="str">
        <x:v>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collaborative approach, which is a key component of the complete answer.</x:v>
      </x:c>
      <x:c r="P773" s="30" t="str">
        <x:v>LongCat-2.0</x:v>
      </x:c>
      <x:c r="Q773" s="30" t="str">
        <x:v>LongCat-2.0</x:v>
      </x:c>
      <x:c r="R773" s="30" t="n">
        <x:v>17595.57</x:v>
      </x:c>
      <x:c r="S773" s="30" t="str">
        <x:v>{"completion_tokens": 78, "prompt_tokens": 155, "total_tokens": 233,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74">
      <x:c r="A774" s="30" t="str">
        <x:v>memos_medium:20</x:v>
      </x:c>
      <x:c r="B774" s="30" t="str">
        <x:v>medium</x:v>
      </x:c>
      <x:c r="C774" s="30" t="str">
        <x:v>Multi-hop Inference</x:v>
      </x:c>
      <x:c r="D774" s="30" t="n">
        <x:v>2</x:v>
      </x:c>
      <x:c r="E774" s="30" t="str">
        <x:v>How did Martin's colleagues influence his career transition as discussed on February 05, 2026?</x:v>
      </x:c>
      <x:c r="F774" s="30" t="str">
        <x:v>Through insights and a collaborative approach.</x:v>
      </x:c>
      <x:c r="G774" s="30" t="str">
        <x:v>Daniel offered insights; Joshua influenced leadership.</x:v>
      </x:c>
      <x:c r="H774" s="30" t="str">
        <x:v>deepseek-v4-flash</x:v>
      </x:c>
      <x:c r="I774" s="30" t="str">
        <x:v>deepseek-v4-flash</x:v>
      </x:c>
      <x:c r="J774" s="30" t="str">
        <x:v>808606e2888fb5a2f1dea259a17486e6840b438867aef88117ae9a0ae351d71e</x:v>
      </x:c>
      <x:c r="K774" s="30" t="str">
        <x:v>647dbe5398c2a543c71849814b477a8e3b0be5ec4cc182d55ccf3b9c1a1ed529</x:v>
      </x:c>
      <x:c r="L774" s="30" t="n">
        <x:v>658.59</x:v>
      </x:c>
      <x:c r="M774" s="30" t="str">
        <x:v>{"completion_tokens": 8, "prompt_tokens": 564, "total_tokens": 572, "completion_tokens_details": null, "prompt_tokens_details": {"audio_tokens": null, "cached_tokens": 512}, "prompt_cache_hit_tokens": 512, "prompt_cache_miss_tokens": 52}</x:v>
      </x:c>
      <x:c r="N774" s="30" t="str">
        <x:v>omission</x:v>
      </x:c>
      <x:c r="O774" s="30" t="str">
        <x:v>The gold answer states that Martin's colleagues influenced his career transition through 'insights and a collaborative approach.' The model answer mentions that 'Daniel offered insights' (which partially covers 'insights') and 'Joshua influenced leadership' (which is not mentioned in the gold answer and does not capture the 'collaborative approach'). While the model provides some relevant information, it fails to convey the complete gold answer—specifically omitting the 'collaborative approach' aspect—and adds unsupported details about Joshua and leadership. Since it gives only an incomplete subset of the gold answer, it qualifies as an omission.</x:v>
      </x:c>
      <x:c r="P774" s="30" t="str">
        <x:v>LongCat-2.0</x:v>
      </x:c>
      <x:c r="Q774" s="30" t="str">
        <x:v>LongCat-2.0</x:v>
      </x:c>
      <x:c r="R774" s="30" t="n">
        <x:v>19974.51</x:v>
      </x:c>
      <x:c r="S774" s="30" t="str">
        <x:v>{"completion_tokens": 131, "prompt_tokens": 155, "total_tokens": 286,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5">
      <x:c r="A775" s="30" t="str">
        <x:v>memos_medium:20</x:v>
      </x:c>
      <x:c r="B775" s="30" t="str">
        <x:v>medium</x:v>
      </x:c>
      <x:c r="C775" s="30" t="str">
        <x:v>Multi-hop Inference</x:v>
      </x:c>
      <x:c r="D775" s="30" t="n">
        <x:v>3</x:v>
      </x:c>
      <x:c r="E775" s="30" t="str">
        <x:v>How did Martin's colleagues influence his career transition as discussed on February 05, 2026?</x:v>
      </x:c>
      <x:c r="F775" s="30" t="str">
        <x:v>Through insights and a collaborative approach.</x:v>
      </x:c>
      <x:c r="G775" s="30" t="str">
        <x:v>Daniel offered insights; Joshua influenced leadership.</x:v>
      </x:c>
      <x:c r="H775" s="30" t="str">
        <x:v>deepseek-v4-flash</x:v>
      </x:c>
      <x:c r="I775" s="30" t="str">
        <x:v>deepseek-v4-flash</x:v>
      </x:c>
      <x:c r="J775" s="30" t="str">
        <x:v>808606e2888fb5a2f1dea259a17486e6840b438867aef88117ae9a0ae351d71e</x:v>
      </x:c>
      <x:c r="K775" s="30" t="str">
        <x:v>647dbe5398c2a543c71849814b477a8e3b0be5ec4cc182d55ccf3b9c1a1ed529</x:v>
      </x:c>
      <x:c r="L775" s="30" t="n">
        <x:v>569.21</x:v>
      </x:c>
      <x:c r="M775" s="30" t="str">
        <x:v>{"completion_tokens": 8, "prompt_tokens": 564, "total_tokens": 572, "completion_tokens_details": null, "prompt_tokens_details": {"audio_tokens": null, "cached_tokens": 512}, "prompt_cache_hit_tokens": 512, "prompt_cache_miss_tokens": 52}</x:v>
      </x:c>
      <x:c r="N775" s="30" t="str">
        <x:v>omission</x:v>
      </x:c>
      <x:c r="O775" s="30" t="str">
        <x:v>The model answer mentions specific individuals (Daniel and Joshua) and their contributions, but it does not capture the collaborative approach aspect of the gold answer. While the model answer is not factually incorrect, it provides only an incomplete subset of the gold answer by omitting the key element of collaboration, making it an omission rather than a complete semantic match.</x:v>
      </x:c>
      <x:c r="P775" s="30" t="str">
        <x:v>LongCat-2.0</x:v>
      </x:c>
      <x:c r="Q775" s="30" t="str">
        <x:v>LongCat-2.0</x:v>
      </x:c>
      <x:c r="R775" s="30" t="n">
        <x:v>17932.62</x:v>
      </x:c>
      <x:c r="S775" s="30" t="str">
        <x:v>{"completion_tokens": 81, "prompt_tokens": 155,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6">
      <x:c r="A776" s="30" t="str">
        <x:v>memos_medium:2008</x:v>
      </x:c>
      <x:c r="B776" s="30" t="str">
        <x:v>medium</x:v>
      </x:c>
      <x:c r="C776" s="30" t="str">
        <x:v>Multi-hop Inference</x:v>
      </x:c>
      <x:c r="D776" s="30" t="n">
        <x:v>1</x:v>
      </x:c>
      <x:c r="E776" s="30" t="str">
        <x:v>What strategies did Joseph use to manage his health while expanding his film archive?</x:v>
      </x:c>
      <x:c r="F776" s="30" t="str">
        <x:v>Regular breaks and mindfulness practices.</x:v>
      </x:c>
      <x:c r="G776" s="30" t="str">
        <x:v>Regular breaks and mindfulness.</x:v>
      </x:c>
      <x:c r="H776" s="30" t="str">
        <x:v>deepseek-v4-flash</x:v>
      </x:c>
      <x:c r="I776" s="30" t="str">
        <x:v>deepseek-v4-flash</x:v>
      </x:c>
      <x:c r="J776" s="30" t="str">
        <x:v>43c6f12d5a38348eb59b70f29549d990f7f55151d047c8a23d0980a2e6728536</x:v>
      </x:c>
      <x:c r="K776" s="30" t="str">
        <x:v>26ec1bf9a133692b126b622172ec8f37aa87895171f6ecab74a702255a5ad53c</x:v>
      </x:c>
      <x:c r="L776" s="30" t="n">
        <x:v>497.97</x:v>
      </x:c>
      <x:c r="M776" s="30" t="str">
        <x:v>{"completion_tokens": 5, "prompt_tokens": 573, "total_tokens": 578, "completion_tokens_details": null, "prompt_tokens_details": {"audio_tokens": null, "cached_tokens": 512}, "prompt_cache_hit_tokens": 512, "prompt_cache_miss_tokens": 61}</x:v>
      </x:c>
      <x:c r="N776" s="30" t="str">
        <x:v>correct</x:v>
      </x:c>
      <x:c r="O776" s="30" t="str">
        <x:v>The model answer 'Regular breaks and mindfulness' is a semantically complete match to the gold answer 'Regular breaks and mindfulness practices.' The omission of the word 'practices' does not change the meaning or introduce any false claim; it is a minor wording difference that preserves the full semantic content of the gold answer.</x:v>
      </x:c>
      <x:c r="P776" s="30" t="str">
        <x:v>LongCat-2.0</x:v>
      </x:c>
      <x:c r="Q776" s="30" t="str">
        <x:v>LongCat-2.0</x:v>
      </x:c>
      <x:c r="R776" s="30" t="n">
        <x:v>3478.85</x:v>
      </x:c>
      <x:c r="S776" s="30" t="str">
        <x:v>{"completion_tokens": 74, "prompt_tokens": 143,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77">
      <x:c r="A777" s="30" t="str">
        <x:v>memos_medium:2008</x:v>
      </x:c>
      <x:c r="B777" s="30" t="str">
        <x:v>medium</x:v>
      </x:c>
      <x:c r="C777" s="30" t="str">
        <x:v>Multi-hop Inference</x:v>
      </x:c>
      <x:c r="D777" s="30" t="n">
        <x:v>2</x:v>
      </x:c>
      <x:c r="E777" s="30" t="str">
        <x:v>What strategies did Joseph use to manage his health while expanding his film archive?</x:v>
      </x:c>
      <x:c r="F777" s="30" t="str">
        <x:v>Regular breaks and mindfulness practices.</x:v>
      </x:c>
      <x:c r="G777" s="30" t="str">
        <x:v>Regular breaks and mindfulness.</x:v>
      </x:c>
      <x:c r="H777" s="30" t="str">
        <x:v>deepseek-v4-flash</x:v>
      </x:c>
      <x:c r="I777" s="30" t="str">
        <x:v>deepseek-v4-flash</x:v>
      </x:c>
      <x:c r="J777" s="30" t="str">
        <x:v>43c6f12d5a38348eb59b70f29549d990f7f55151d047c8a23d0980a2e6728536</x:v>
      </x:c>
      <x:c r="K777" s="30" t="str">
        <x:v>26ec1bf9a133692b126b622172ec8f37aa87895171f6ecab74a702255a5ad53c</x:v>
      </x:c>
      <x:c r="L777" s="30" t="n">
        <x:v>580.36</x:v>
      </x:c>
      <x:c r="M777" s="30" t="str">
        <x:v>{"completion_tokens": 5, "prompt_tokens": 573, "total_tokens": 578, "completion_tokens_details": null, "prompt_tokens_details": {"audio_tokens": null, "cached_tokens": 512}, "prompt_cache_hit_tokens": 512, "prompt_cache_miss_tokens": 61}</x:v>
      </x:c>
      <x:c r="N777" s="30" t="str">
        <x:v>correct</x:v>
      </x:c>
      <x:c r="O777" s="30" t="str">
        <x:v>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x:v>
      </x:c>
      <x:c r="P777" s="30" t="str">
        <x:v>LongCat-2.0</x:v>
      </x:c>
      <x:c r="Q777" s="30" t="str">
        <x:v>LongCat-2.0</x:v>
      </x:c>
      <x:c r="R777" s="30" t="n">
        <x:v>3019.86</x:v>
      </x:c>
      <x:c r="S777" s="30" t="str">
        <x:v>{"completion_tokens": 74, "prompt_tokens": 143,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8">
      <x:c r="A778" s="30" t="str">
        <x:v>memos_medium:2008</x:v>
      </x:c>
      <x:c r="B778" s="30" t="str">
        <x:v>medium</x:v>
      </x:c>
      <x:c r="C778" s="30" t="str">
        <x:v>Multi-hop Inference</x:v>
      </x:c>
      <x:c r="D778" s="30" t="n">
        <x:v>3</x:v>
      </x:c>
      <x:c r="E778" s="30" t="str">
        <x:v>What strategies did Joseph use to manage his health while expanding his film archive?</x:v>
      </x:c>
      <x:c r="F778" s="30" t="str">
        <x:v>Regular breaks and mindfulness practices.</x:v>
      </x:c>
      <x:c r="G778" s="30" t="str">
        <x:v>Regular breaks and mindfulness.</x:v>
      </x:c>
      <x:c r="H778" s="30" t="str">
        <x:v>deepseek-v4-flash</x:v>
      </x:c>
      <x:c r="I778" s="30" t="str">
        <x:v>deepseek-v4-flash</x:v>
      </x:c>
      <x:c r="J778" s="30" t="str">
        <x:v>43c6f12d5a38348eb59b70f29549d990f7f55151d047c8a23d0980a2e6728536</x:v>
      </x:c>
      <x:c r="K778" s="30" t="str">
        <x:v>26ec1bf9a133692b126b622172ec8f37aa87895171f6ecab74a702255a5ad53c</x:v>
      </x:c>
      <x:c r="L778" s="30" t="n">
        <x:v>570.64</x:v>
      </x:c>
      <x:c r="M778" s="30" t="str">
        <x:v>{"completion_tokens": 5, "prompt_tokens": 573, "total_tokens": 578, "completion_tokens_details": null, "prompt_tokens_details": {"audio_tokens": null, "cached_tokens": 512}, "prompt_cache_hit_tokens": 512, "prompt_cache_miss_tokens": 61}</x:v>
      </x:c>
      <x:c r="N778" s="30" t="str">
        <x:v>correct</x:v>
      </x:c>
      <x:c r="O778" s="30" t="str">
        <x:v>The model answer 'Regular breaks and mindfulness' is a semantically complete match to the gold answer 'Regular breaks and mindfulness practices.' The omission of the word 'practices' does not change the meaning or introduce any false information; it is a minor wording difference that preserves the full semantic content of the gold answer.</x:v>
      </x:c>
      <x:c r="P778" s="30" t="str">
        <x:v>LongCat-2.0</x:v>
      </x:c>
      <x:c r="Q778" s="30" t="str">
        <x:v>LongCat-2.0</x:v>
      </x:c>
      <x:c r="R778" s="30" t="n">
        <x:v>3091.07</x:v>
      </x:c>
      <x:c r="S778" s="30" t="str">
        <x:v>{"completion_tokens": 74, "prompt_tokens": 143,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79">
      <x:c r="A779" s="30" t="str">
        <x:v>memos_medium:2016</x:v>
      </x:c>
      <x:c r="B779" s="30" t="str">
        <x:v>medium</x:v>
      </x:c>
      <x:c r="C779" s="30" t="str">
        <x:v>Generalization &amp; Application</x:v>
      </x:c>
      <x:c r="D779" s="30" t="n">
        <x:v>1</x:v>
      </x:c>
      <x:c r="E779" s="30" t="str">
        <x:v>How might Joseph Garcia incorporate symphonic metal into his educational programs as of 2036-09-05?</x:v>
      </x:c>
      <x:c r="F779" s="30" t="str">
        <x:v>Use symphonic metal to inspire new ideas for film archive programs.</x:v>
      </x:c>
      <x:c r="G779" s="30" t="str">
        <x:v>Inspire new educational ideas.</x:v>
      </x:c>
      <x:c r="H779" s="30" t="str">
        <x:v>deepseek-v4-flash</x:v>
      </x:c>
      <x:c r="I779" s="30" t="str">
        <x:v>deepseek-v4-flash</x:v>
      </x:c>
      <x:c r="J779" s="30" t="str">
        <x:v>818e5263581fff2c10a466dc969ed013766a58406508f800db9b91be38aaa6aa</x:v>
      </x:c>
      <x:c r="K779" s="30" t="str">
        <x:v>4fa154f6c4419cea51bba12b87f64f9be642b3cb02e292abda400c9c3d1b8d3e</x:v>
      </x:c>
      <x:c r="L779" s="30" t="n">
        <x:v>867.72</x:v>
      </x:c>
      <x:c r="M779" s="30" t="str">
        <x:v>{"completion_tokens": 6, "prompt_tokens": 608, "total_tokens": 614, "completion_tokens_details": null, "prompt_tokens_details": {"audio_tokens": null, "cached_tokens": 512}, "prompt_cache_hit_tokens": 512, "prompt_cache_miss_tokens": 96}</x:v>
      </x:c>
      <x:c r="N779" s="30" t="str">
        <x:v>omission</x:v>
      </x:c>
      <x:c r="O779" s="30" t="str">
        <x:v>The model answer 'Inspire new educational ideas' captures only a vague subset of the gold answer and omits the specific context of 'film archive programs' and the use of 'symphonic metal' as the method. It does not add a false claim, but it fails to provide the complete semantic content of the gold answer.</x:v>
      </x:c>
      <x:c r="P779" s="30" t="str">
        <x:v>LongCat-2.0</x:v>
      </x:c>
      <x:c r="Q779" s="30" t="str">
        <x:v>LongCat-2.0</x:v>
      </x:c>
      <x:c r="R779" s="30" t="n">
        <x:v>4505.48</x:v>
      </x:c>
      <x:c r="S779" s="30" t="str">
        <x:v>{"completion_tokens": 80, "prompt_tokens": 163,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0">
      <x:c r="A780" s="30" t="str">
        <x:v>memos_medium:2016</x:v>
      </x:c>
      <x:c r="B780" s="30" t="str">
        <x:v>medium</x:v>
      </x:c>
      <x:c r="C780" s="30" t="str">
        <x:v>Generalization &amp; Application</x:v>
      </x:c>
      <x:c r="D780" s="30" t="n">
        <x:v>2</x:v>
      </x:c>
      <x:c r="E780" s="30" t="str">
        <x:v>How might Joseph Garcia incorporate symphonic metal into his educational programs as of 2036-09-05?</x:v>
      </x:c>
      <x:c r="F780" s="30" t="str">
        <x:v>Use symphonic metal to inspire new ideas for film archive programs.</x:v>
      </x:c>
      <x:c r="G780" s="30" t="str">
        <x:v>Inspire new educational ideas.</x:v>
      </x:c>
      <x:c r="H780" s="30" t="str">
        <x:v>deepseek-v4-flash</x:v>
      </x:c>
      <x:c r="I780" s="30" t="str">
        <x:v>deepseek-v4-flash</x:v>
      </x:c>
      <x:c r="J780" s="30" t="str">
        <x:v>818e5263581fff2c10a466dc969ed013766a58406508f800db9b91be38aaa6aa</x:v>
      </x:c>
      <x:c r="K780" s="30" t="str">
        <x:v>4fa154f6c4419cea51bba12b87f64f9be642b3cb02e292abda400c9c3d1b8d3e</x:v>
      </x:c>
      <x:c r="L780" s="30" t="n">
        <x:v>585.51</x:v>
      </x:c>
      <x:c r="M780" s="30" t="str">
        <x:v>{"completion_tokens": 6, "prompt_tokens": 608, "total_tokens": 614, "completion_tokens_details": null, "prompt_tokens_details": {"audio_tokens": null, "cached_tokens": 512}, "prompt_cache_hit_tokens": 512, "prompt_cache_miss_tokens": 96}</x:v>
      </x:c>
      <x:c r="N780" s="30" t="str">
        <x:v>omission</x:v>
      </x:c>
      <x:c r="O780" s="30" t="str">
        <x:v>The model answer 'Inspire new educational ideas' captures a vague portion of the gold answer but omits the specific context of 'film archive programs' and the specific use of 'symphonic metal' as the medium. It provides only an incomplete subset without adding a false claim, fitting the definition of omission.</x:v>
      </x:c>
      <x:c r="P780" s="30" t="str">
        <x:v>LongCat-2.0</x:v>
      </x:c>
      <x:c r="Q780" s="30" t="str">
        <x:v>LongCat-2.0</x:v>
      </x:c>
      <x:c r="R780" s="30" t="n">
        <x:v>3033.97</x:v>
      </x:c>
      <x:c r="S780" s="30" t="str">
        <x:v>{"completion_tokens": 76, "prompt_tokens": 163,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1">
      <x:c r="A781" s="30" t="str">
        <x:v>memos_medium:2016</x:v>
      </x:c>
      <x:c r="B781" s="30" t="str">
        <x:v>medium</x:v>
      </x:c>
      <x:c r="C781" s="30" t="str">
        <x:v>Generalization &amp; Application</x:v>
      </x:c>
      <x:c r="D781" s="30" t="n">
        <x:v>3</x:v>
      </x:c>
      <x:c r="E781" s="30" t="str">
        <x:v>How might Joseph Garcia incorporate symphonic metal into his educational programs as of 2036-09-05?</x:v>
      </x:c>
      <x:c r="F781" s="30" t="str">
        <x:v>Use symphonic metal to inspire new ideas for film archive programs.</x:v>
      </x:c>
      <x:c r="G781" s="30" t="str">
        <x:v>Inspire new educational ideas.</x:v>
      </x:c>
      <x:c r="H781" s="30" t="str">
        <x:v>deepseek-v4-flash</x:v>
      </x:c>
      <x:c r="I781" s="30" t="str">
        <x:v>deepseek-v4-flash</x:v>
      </x:c>
      <x:c r="J781" s="30" t="str">
        <x:v>818e5263581fff2c10a466dc969ed013766a58406508f800db9b91be38aaa6aa</x:v>
      </x:c>
      <x:c r="K781" s="30" t="str">
        <x:v>4fa154f6c4419cea51bba12b87f64f9be642b3cb02e292abda400c9c3d1b8d3e</x:v>
      </x:c>
      <x:c r="L781" s="30" t="n">
        <x:v>583.59</x:v>
      </x:c>
      <x:c r="M781" s="30" t="str">
        <x:v>{"completion_tokens": 6, "prompt_tokens": 608, "total_tokens": 614, "completion_tokens_details": null, "prompt_tokens_details": {"audio_tokens": null, "cached_tokens": 512}, "prompt_cache_hit_tokens": 512, "prompt_cache_miss_tokens": 96}</x:v>
      </x:c>
      <x:c r="N781" s="30" t="str">
        <x:v>omission</x:v>
      </x:c>
      <x:c r="O781" s="30" t="str">
        <x:v>The model answer 'Inspire new educational ideas' captures a vague portion of the gold answer but omits the specific context of 'film archive programs' and the specific use of 'symphonic metal' as the medium. It provides only an incomplete subset without adding a concrete false claim, fitting the definition of omission.</x:v>
      </x:c>
      <x:c r="P781" s="30" t="str">
        <x:v>LongCat-2.0</x:v>
      </x:c>
      <x:c r="Q781" s="30" t="str">
        <x:v>LongCat-2.0</x:v>
      </x:c>
      <x:c r="R781" s="30" t="n">
        <x:v>3469.24</x:v>
      </x:c>
      <x:c r="S781" s="30" t="str">
        <x:v>{"completion_tokens": 77, "prompt_tokens": 163, "total_tokens": 240,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82">
      <x:c r="A782" s="30" t="str">
        <x:v>memos_medium:2055</x:v>
      </x:c>
      <x:c r="B782" s="30" t="str">
        <x:v>medium</x:v>
      </x:c>
      <x:c r="C782" s="30" t="str">
        <x:v>Dynamic Update</x:v>
      </x:c>
      <x:c r="D782" s="30" t="n">
        <x:v>1</x:v>
      </x:c>
      <x:c r="E782" s="30" t="str">
        <x:v>What feedback did Joseph Garcia receive about his VR educational programs on Dec 20, 2041?</x:v>
      </x:c>
      <x:c r="F782" s="30" t="str">
        <x:v>Revitalized interest in classic films</x:v>
      </x:c>
      <x:c r="G782" s="30" t="str">
        <x:v>Revitalized interest in classic films.</x:v>
      </x:c>
      <x:c r="H782" s="30" t="str">
        <x:v>deepseek-v4-flash</x:v>
      </x:c>
      <x:c r="I782" s="30" t="str">
        <x:v>deepseek-v4-flash</x:v>
      </x:c>
      <x:c r="J782" s="30" t="str">
        <x:v>9c23a9b7e98f1f9a4bf87d6024866c686f34c240c55bb3a4b403f38b5a456b77</x:v>
      </x:c>
      <x:c r="K782" s="30" t="str">
        <x:v>1f75d63c6caaa8b3f9b3d11ecf5a8da01509b4355623bcceb33f556e6f19ea6c</x:v>
      </x:c>
      <x:c r="L782" s="30" t="n">
        <x:v>876.13</x:v>
      </x:c>
      <x:c r="M782" s="30" t="str">
        <x:v>{"completion_tokens": 8, "prompt_tokens": 568, "total_tokens": 576, "completion_tokens_details": null, "prompt_tokens_details": {"audio_tokens": null, "cached_tokens": 512}, "prompt_cache_hit_tokens": 512, "prompt_cache_miss_tokens": 56}</x:v>
      </x:c>
      <x:c r="N782" s="30" t="str">
        <x:v>correct</x:v>
      </x:c>
      <x:c r="O782" s="30" t="str">
        <x:v>The model answer 'Revitalized interest in classic films.' is semantically identical to the gold answer 'Revitalized interest in classic films', with only a minor punctuation difference (a period at the end). This constitutes a complete and accurate answer.</x:v>
      </x:c>
      <x:c r="P782" s="30" t="str">
        <x:v>LongCat-2.0</x:v>
      </x:c>
      <x:c r="Q782" s="30" t="str">
        <x:v>LongCat-2.0</x:v>
      </x:c>
      <x:c r="R782" s="30" t="n">
        <x:v>11601.07</x:v>
      </x:c>
      <x:c r="S782" s="30" t="str">
        <x:v>{"completion_tokens": 61, "prompt_tokens": 156,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3">
      <x:c r="A783" s="30" t="str">
        <x:v>memos_medium:2055</x:v>
      </x:c>
      <x:c r="B783" s="30" t="str">
        <x:v>medium</x:v>
      </x:c>
      <x:c r="C783" s="30" t="str">
        <x:v>Dynamic Update</x:v>
      </x:c>
      <x:c r="D783" s="30" t="n">
        <x:v>2</x:v>
      </x:c>
      <x:c r="E783" s="30" t="str">
        <x:v>What feedback did Joseph Garcia receive about his VR educational programs on Dec 20, 2041?</x:v>
      </x:c>
      <x:c r="F783" s="30" t="str">
        <x:v>Revitalized interest in classic films</x:v>
      </x:c>
      <x:c r="G783" s="30" t="str">
        <x:v>Revitalized interest in classic films.</x:v>
      </x:c>
      <x:c r="H783" s="30" t="str">
        <x:v>deepseek-v4-flash</x:v>
      </x:c>
      <x:c r="I783" s="30" t="str">
        <x:v>deepseek-v4-flash</x:v>
      </x:c>
      <x:c r="J783" s="30" t="str">
        <x:v>9c23a9b7e98f1f9a4bf87d6024866c686f34c240c55bb3a4b403f38b5a456b77</x:v>
      </x:c>
      <x:c r="K783" s="30" t="str">
        <x:v>1f75d63c6caaa8b3f9b3d11ecf5a8da01509b4355623bcceb33f556e6f19ea6c</x:v>
      </x:c>
      <x:c r="L783" s="30" t="n">
        <x:v>648.55</x:v>
      </x:c>
      <x:c r="M783" s="30" t="str">
        <x:v>{"completion_tokens": 8, "prompt_tokens": 568, "total_tokens": 576, "completion_tokens_details": null, "prompt_tokens_details": {"audio_tokens": null, "cached_tokens": 512}, "prompt_cache_hit_tokens": 512, "prompt_cache_miss_tokens": 56}</x:v>
      </x:c>
      <x:c r="N783" s="30" t="str">
        <x:v>correct</x:v>
      </x:c>
      <x:c r="O783" s="30" t="str">
        <x:v>The model answer 'Revitalized interest in classic films.' is semantically identical to the gold answer 'Revitalized interest in classic films', differing only by a trailing punctuation mark, which does not change the meaning.</x:v>
      </x:c>
      <x:c r="P783" s="30" t="str">
        <x:v>LongCat-2.0</x:v>
      </x:c>
      <x:c r="Q783" s="30" t="str">
        <x:v>LongCat-2.0</x:v>
      </x:c>
      <x:c r="R783" s="30" t="n">
        <x:v>2600.22</x:v>
      </x:c>
      <x:c r="S783" s="30" t="str">
        <x:v>{"completion_tokens": 55, "prompt_tokens": 156,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4">
      <x:c r="A784" s="30" t="str">
        <x:v>memos_medium:2055</x:v>
      </x:c>
      <x:c r="B784" s="30" t="str">
        <x:v>medium</x:v>
      </x:c>
      <x:c r="C784" s="30" t="str">
        <x:v>Dynamic Update</x:v>
      </x:c>
      <x:c r="D784" s="30" t="n">
        <x:v>3</x:v>
      </x:c>
      <x:c r="E784" s="30" t="str">
        <x:v>What feedback did Joseph Garcia receive about his VR educational programs on Dec 20, 2041?</x:v>
      </x:c>
      <x:c r="F784" s="30" t="str">
        <x:v>Revitalized interest in classic films</x:v>
      </x:c>
      <x:c r="G784" s="30" t="str">
        <x:v>Revitalized interest in classic films.</x:v>
      </x:c>
      <x:c r="H784" s="30" t="str">
        <x:v>deepseek-v4-flash</x:v>
      </x:c>
      <x:c r="I784" s="30" t="str">
        <x:v>deepseek-v4-flash</x:v>
      </x:c>
      <x:c r="J784" s="30" t="str">
        <x:v>9c23a9b7e98f1f9a4bf87d6024866c686f34c240c55bb3a4b403f38b5a456b77</x:v>
      </x:c>
      <x:c r="K784" s="30" t="str">
        <x:v>1f75d63c6caaa8b3f9b3d11ecf5a8da01509b4355623bcceb33f556e6f19ea6c</x:v>
      </x:c>
      <x:c r="L784" s="30" t="n">
        <x:v>818.14</x:v>
      </x:c>
      <x:c r="M784" s="30" t="str">
        <x:v>{"completion_tokens": 8, "prompt_tokens": 568, "total_tokens": 576, "completion_tokens_details": null, "prompt_tokens_details": {"audio_tokens": null, "cached_tokens": 512}, "prompt_cache_hit_tokens": 512, "prompt_cache_miss_tokens": 56}</x:v>
      </x:c>
      <x:c r="N784" s="30" t="str">
        <x:v>correct</x:v>
      </x:c>
      <x:c r="O784" s="30" t="str">
        <x:v>The model answer 'Revitalized interest in classic films.' is semantically identical to the gold answer 'Revitalized interest in classic films', with only a minor punctuation difference (a period at the end). This constitutes a complete and accurate answer.</x:v>
      </x:c>
      <x:c r="P784" s="30" t="str">
        <x:v>LongCat-2.0</x:v>
      </x:c>
      <x:c r="Q784" s="30" t="str">
        <x:v>LongCat-2.0</x:v>
      </x:c>
      <x:c r="R784" s="30" t="n">
        <x:v>9935.22</x:v>
      </x:c>
      <x:c r="S784" s="30" t="str">
        <x:v>{"completion_tokens": 61, "prompt_tokens": 156,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5">
      <x:c r="A785" s="30" t="str">
        <x:v>memos_medium:208</x:v>
      </x:c>
      <x:c r="B785" s="30" t="str">
        <x:v>medium</x:v>
      </x:c>
      <x:c r="C785" s="30" t="str">
        <x:v>Multi-hop Inference</x:v>
      </x:c>
      <x:c r="D785" s="30" t="n">
        <x:v>1</x:v>
      </x:c>
      <x:c r="E785" s="30" t="str">
        <x:v>How did Johnson's exploratory motivation influence his stress management strategies between Feb 15, 2029, and May 10, 2029?</x:v>
      </x:c>
      <x:c r="F785" s="30" t="str">
        <x:v>Testing new approaches and ideas for balance.</x:v>
      </x:c>
      <x:c r="G785" s="30" t="str">
        <x:v>Tested new approaches and ideas.</x:v>
      </x:c>
      <x:c r="H785" s="30" t="str">
        <x:v>deepseek-v4-flash</x:v>
      </x:c>
      <x:c r="I785" s="30" t="str">
        <x:v>deepseek-v4-flash</x:v>
      </x:c>
      <x:c r="J785" s="30" t="str">
        <x:v>967bb09f3bd10719dfda97ed4cafccf9e28e61d94712f3981c8b639b8f17d0a0</x:v>
      </x:c>
      <x:c r="K785" s="30" t="str">
        <x:v>cdedcb96ca3006ae0006c10c8df134dc4238d1a4e65d4665e75198a7044a25e6</x:v>
      </x:c>
      <x:c r="L785" s="30" t="n">
        <x:v>510.53</x:v>
      </x:c>
      <x:c r="M785" s="30" t="str">
        <x:v>{"completion_tokens": 7, "prompt_tokens": 612, "total_tokens": 619, "completion_tokens_details": null, "prompt_tokens_details": {"audio_tokens": null, "cached_tokens": 512}, "prompt_cache_hit_tokens": 512, "prompt_cache_miss_tokens": 100}</x:v>
      </x:c>
      <x:c r="N785" s="30" t="str">
        <x:v>correct</x:v>
      </x:c>
      <x:c r="O785" s="30" t="str">
        <x:v>The model answer 'Tested new approaches and ideas' captures the complete semantic content of the gold answer 'Testing new approaches and ideas for balance.' The only difference is the omission of 'for balance,' which is a minor detail that does not change the core meaning. The model answer does not add any false claims or contradict the gold answer, and it is not incomplete to the point of being an omission.</x:v>
      </x:c>
      <x:c r="P785" s="30" t="str">
        <x:v>LongCat-2.0</x:v>
      </x:c>
      <x:c r="Q785" s="30" t="str">
        <x:v>LongCat-2.0</x:v>
      </x:c>
      <x:c r="R785" s="30" t="n">
        <x:v>3545.41</x:v>
      </x:c>
      <x:c r="S785" s="30" t="str">
        <x:v>{"completion_tokens": 92, "prompt_tokens": 167, "total_tokens": 259,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6">
      <x:c r="A786" s="30" t="str">
        <x:v>memos_medium:208</x:v>
      </x:c>
      <x:c r="B786" s="30" t="str">
        <x:v>medium</x:v>
      </x:c>
      <x:c r="C786" s="30" t="str">
        <x:v>Multi-hop Inference</x:v>
      </x:c>
      <x:c r="D786" s="30" t="n">
        <x:v>2</x:v>
      </x:c>
      <x:c r="E786" s="30" t="str">
        <x:v>How did Johnson's exploratory motivation influence his stress management strategies between Feb 15, 2029, and May 10, 2029?</x:v>
      </x:c>
      <x:c r="F786" s="30" t="str">
        <x:v>Testing new approaches and ideas for balance.</x:v>
      </x:c>
      <x:c r="G786" s="30" t="str">
        <x:v>Tested new approaches and ideas.</x:v>
      </x:c>
      <x:c r="H786" s="30" t="str">
        <x:v>deepseek-v4-flash</x:v>
      </x:c>
      <x:c r="I786" s="30" t="str">
        <x:v>deepseek-v4-flash</x:v>
      </x:c>
      <x:c r="J786" s="30" t="str">
        <x:v>967bb09f3bd10719dfda97ed4cafccf9e28e61d94712f3981c8b639b8f17d0a0</x:v>
      </x:c>
      <x:c r="K786" s="30" t="str">
        <x:v>cdedcb96ca3006ae0006c10c8df134dc4238d1a4e65d4665e75198a7044a25e6</x:v>
      </x:c>
      <x:c r="L786" s="30" t="n">
        <x:v>742.31</x:v>
      </x:c>
      <x:c r="M786" s="30" t="str">
        <x:v>{"completion_tokens": 7, "prompt_tokens": 612, "total_tokens": 619, "completion_tokens_details": null, "prompt_tokens_details": {"audio_tokens": null, "cached_tokens": 512}, "prompt_cache_hit_tokens": 512, "prompt_cache_miss_tokens": 100}</x:v>
      </x:c>
      <x:c r="N786" s="30" t="str">
        <x:v>correct</x:v>
      </x:c>
      <x:c r="O786" s="30" t="str">
        <x:v>The model answer 'Tested new approaches and ideas' captures the complete semantic content of the gold answer 'Testing new approaches and ideas for balance.' The only difference is the omission of 'for balance,' which is a minor contextual detail that does not change the core meaning. The model conveys the same key actions (testing new approaches and ideas) without adding any false or unsupported claims.</x:v>
      </x:c>
      <x:c r="P786" s="30" t="str">
        <x:v>LongCat-2.0</x:v>
      </x:c>
      <x:c r="Q786" s="30" t="str">
        <x:v>LongCat-2.0</x:v>
      </x:c>
      <x:c r="R786" s="30" t="n">
        <x:v>5158.32</x:v>
      </x:c>
      <x:c r="S786" s="30" t="str">
        <x:v>{"completion_tokens": 87, "prompt_tokens": 167, "total_tokens": 254,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7">
      <x:c r="A787" s="30" t="str">
        <x:v>memos_medium:208</x:v>
      </x:c>
      <x:c r="B787" s="30" t="str">
        <x:v>medium</x:v>
      </x:c>
      <x:c r="C787" s="30" t="str">
        <x:v>Multi-hop Inference</x:v>
      </x:c>
      <x:c r="D787" s="30" t="n">
        <x:v>3</x:v>
      </x:c>
      <x:c r="E787" s="30" t="str">
        <x:v>How did Johnson's exploratory motivation influence his stress management strategies between Feb 15, 2029, and May 10, 2029?</x:v>
      </x:c>
      <x:c r="F787" s="30" t="str">
        <x:v>Testing new approaches and ideas for balance.</x:v>
      </x:c>
      <x:c r="G787" s="30" t="str">
        <x:v>Tested new approaches and ideas.</x:v>
      </x:c>
      <x:c r="H787" s="30" t="str">
        <x:v>deepseek-v4-flash</x:v>
      </x:c>
      <x:c r="I787" s="30" t="str">
        <x:v>deepseek-v4-flash</x:v>
      </x:c>
      <x:c r="J787" s="30" t="str">
        <x:v>967bb09f3bd10719dfda97ed4cafccf9e28e61d94712f3981c8b639b8f17d0a0</x:v>
      </x:c>
      <x:c r="K787" s="30" t="str">
        <x:v>cdedcb96ca3006ae0006c10c8df134dc4238d1a4e65d4665e75198a7044a25e6</x:v>
      </x:c>
      <x:c r="L787" s="30" t="n">
        <x:v>600.75</x:v>
      </x:c>
      <x:c r="M787" s="30" t="str">
        <x:v>{"completion_tokens": 7, "prompt_tokens": 612, "total_tokens": 619, "completion_tokens_details": null, "prompt_tokens_details": {"audio_tokens": null, "cached_tokens": 512}, "prompt_cache_hit_tokens": 512, "prompt_cache_miss_tokens": 100}</x:v>
      </x:c>
      <x:c r="N787" s="30" t="str">
        <x:v>correct</x:v>
      </x:c>
      <x:c r="O787" s="30" t="str">
        <x:v>The model answer 'Tested new approaches and ideas' captures the complete semantic meaning of the gold answer 'Testing new approaches and ideas for balance.' The omission of 'for balance' is minor and does not change the core meaning, as the key concept of exploring new approaches and ideas is fully preserved.</x:v>
      </x:c>
      <x:c r="P787" s="30" t="str">
        <x:v>LongCat-2.0</x:v>
      </x:c>
      <x:c r="Q787" s="30" t="str">
        <x:v>LongCat-2.0</x:v>
      </x:c>
      <x:c r="R787" s="30" t="n">
        <x:v>2783.34</x:v>
      </x:c>
      <x:c r="S787" s="30" t="str">
        <x:v>{"completion_tokens": 71, "prompt_tokens": 167,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8">
      <x:c r="A788" s="30" t="str">
        <x:v>memos_medium:210</x:v>
      </x:c>
      <x:c r="B788" s="30" t="str">
        <x:v>medium</x:v>
      </x:c>
      <x:c r="C788" s="30" t="str">
        <x:v>Generalization &amp; Application</x:v>
      </x:c>
      <x:c r="D788" s="30" t="n">
        <x:v>1</x:v>
      </x:c>
      <x:c r="E788" s="30" t="str">
        <x:v>What stress management techniques might Johnson Joseph find effective based on his experiences by August 20, 2029?</x:v>
      </x:c>
      <x:c r="F788" s="30" t="str">
        <x:v>Mindfulness practices and scheduled downtime.</x:v>
      </x:c>
      <x:c r="G788" s="30" t="str">
        <x:v>Mindfulness and scheduled downtime.</x:v>
      </x:c>
      <x:c r="H788" s="30" t="str">
        <x:v>deepseek-v4-flash</x:v>
      </x:c>
      <x:c r="I788" s="30" t="str">
        <x:v>deepseek-v4-flash</x:v>
      </x:c>
      <x:c r="J788" s="30" t="str">
        <x:v>61f2c11d4c5b5e12e4f9a47fc0058b03d1cece8ae6c8ae1d71b7b4c9385cd098</x:v>
      </x:c>
      <x:c r="K788" s="30" t="str">
        <x:v>f118e787b154d767a42037c3bc9368b631e1d92596d78e94d8f0fb5e42dc98fc</x:v>
      </x:c>
      <x:c r="L788" s="30" t="n">
        <x:v>604.58</x:v>
      </x:c>
      <x:c r="M788" s="30" t="str">
        <x:v>{"completion_tokens": 6, "prompt_tokens": 569, "total_tokens": 575, "completion_tokens_details": null, "prompt_tokens_details": {"audio_tokens": null, "cached_tokens": 512}, "prompt_cache_hit_tokens": 512, "prompt_cache_miss_tokens": 57}</x:v>
      </x:c>
      <x:c r="N788" s="30" t="str">
        <x:v>correct</x:v>
      </x:c>
      <x:c r="O788" s="30" t="str">
        <x:v>The model answer 'Mindfulness and scheduled downtime' semantically captures the complete gold answer 'Mindfulness practices and scheduled downtime.' The omission of the word 'practices' does not change the meaning or introduce any false or unsupported content, and both key elements (mindfulness and scheduled downtime) are fully present.</x:v>
      </x:c>
      <x:c r="P788" s="30" t="str">
        <x:v>LongCat-2.0</x:v>
      </x:c>
      <x:c r="Q788" s="30" t="str">
        <x:v>LongCat-2.0</x:v>
      </x:c>
      <x:c r="R788" s="30" t="n">
        <x:v>4050.74</x:v>
      </x:c>
      <x:c r="S788" s="30" t="str">
        <x:v>{"completion_tokens": 76, "prompt_tokens": 157,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89">
      <x:c r="A789" s="30" t="str">
        <x:v>memos_medium:210</x:v>
      </x:c>
      <x:c r="B789" s="30" t="str">
        <x:v>medium</x:v>
      </x:c>
      <x:c r="C789" s="30" t="str">
        <x:v>Generalization &amp; Application</x:v>
      </x:c>
      <x:c r="D789" s="30" t="n">
        <x:v>2</x:v>
      </x:c>
      <x:c r="E789" s="30" t="str">
        <x:v>What stress management techniques might Johnson Joseph find effective based on his experiences by August 20, 2029?</x:v>
      </x:c>
      <x:c r="F789" s="30" t="str">
        <x:v>Mindfulness practices and scheduled downtime.</x:v>
      </x:c>
      <x:c r="G789" s="30" t="str">
        <x:v>Mindfulness and scheduled downtime.</x:v>
      </x:c>
      <x:c r="H789" s="30" t="str">
        <x:v>deepseek-v4-flash</x:v>
      </x:c>
      <x:c r="I789" s="30" t="str">
        <x:v>deepseek-v4-flash</x:v>
      </x:c>
      <x:c r="J789" s="30" t="str">
        <x:v>61f2c11d4c5b5e12e4f9a47fc0058b03d1cece8ae6c8ae1d71b7b4c9385cd098</x:v>
      </x:c>
      <x:c r="K789" s="30" t="str">
        <x:v>f118e787b154d767a42037c3bc9368b631e1d92596d78e94d8f0fb5e42dc98fc</x:v>
      </x:c>
      <x:c r="L789" s="30" t="n">
        <x:v>708.79</x:v>
      </x:c>
      <x:c r="M789" s="30" t="str">
        <x:v>{"completion_tokens": 6, "prompt_tokens": 569, "total_tokens": 575, "completion_tokens_details": null, "prompt_tokens_details": {"audio_tokens": null, "cached_tokens": 512}, "prompt_cache_hit_tokens": 512, "prompt_cache_miss_tokens": 57}</x:v>
      </x:c>
      <x:c r="N789" s="30" t="str">
        <x:v>correct</x:v>
      </x:c>
      <x:c r="O789" s="30" t="str">
        <x:v>The model answer 'Mindfulness and scheduled downtime' semantically captures the complete gold answer 'Mindfulness practices and scheduled downtime.' The omission of the word 'practices' does not change the meaning or introduce any false claim, and both key components (mindfulness and scheduled downtime) are fully present.</x:v>
      </x:c>
      <x:c r="P789" s="30" t="str">
        <x:v>LongCat-2.0</x:v>
      </x:c>
      <x:c r="Q789" s="30" t="str">
        <x:v>LongCat-2.0</x:v>
      </x:c>
      <x:c r="R789" s="30" t="n">
        <x:v>2143.86</x:v>
      </x:c>
      <x:c r="S789" s="30" t="str">
        <x:v>{"completion_tokens": 74, "prompt_tokens": 157,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0">
      <x:c r="A790" s="30" t="str">
        <x:v>memos_medium:210</x:v>
      </x:c>
      <x:c r="B790" s="30" t="str">
        <x:v>medium</x:v>
      </x:c>
      <x:c r="C790" s="30" t="str">
        <x:v>Generalization &amp; Application</x:v>
      </x:c>
      <x:c r="D790" s="30" t="n">
        <x:v>3</x:v>
      </x:c>
      <x:c r="E790" s="30" t="str">
        <x:v>What stress management techniques might Johnson Joseph find effective based on his experiences by August 20, 2029?</x:v>
      </x:c>
      <x:c r="F790" s="30" t="str">
        <x:v>Mindfulness practices and scheduled downtime.</x:v>
      </x:c>
      <x:c r="G790" s="30" t="str">
        <x:v>Mindfulness and scheduled downtime.</x:v>
      </x:c>
      <x:c r="H790" s="30" t="str">
        <x:v>deepseek-v4-flash</x:v>
      </x:c>
      <x:c r="I790" s="30" t="str">
        <x:v>deepseek-v4-flash</x:v>
      </x:c>
      <x:c r="J790" s="30" t="str">
        <x:v>61f2c11d4c5b5e12e4f9a47fc0058b03d1cece8ae6c8ae1d71b7b4c9385cd098</x:v>
      </x:c>
      <x:c r="K790" s="30" t="str">
        <x:v>f118e787b154d767a42037c3bc9368b631e1d92596d78e94d8f0fb5e42dc98fc</x:v>
      </x:c>
      <x:c r="L790" s="30" t="n">
        <x:v>654.41</x:v>
      </x:c>
      <x:c r="M790" s="30" t="str">
        <x:v>{"completion_tokens": 6, "prompt_tokens": 569, "total_tokens": 575, "completion_tokens_details": null, "prompt_tokens_details": {"audio_tokens": null, "cached_tokens": 512}, "prompt_cache_hit_tokens": 512, "prompt_cache_miss_tokens": 57}</x:v>
      </x:c>
      <x:c r="N790" s="30" t="str">
        <x:v>correct</x:v>
      </x:c>
      <x:c r="O790" s="30" t="str">
        <x:v>The model answer 'Mindfulness and scheduled downtime' semantically captures the complete gold answer 'Mindfulness practices and scheduled downtime.' The omission of the word 'practices' does not change the meaning, and both key elements (mindfulness and scheduled downtime) are fully present.</x:v>
      </x:c>
      <x:c r="P790" s="30" t="str">
        <x:v>LongCat-2.0</x:v>
      </x:c>
      <x:c r="Q790" s="30" t="str">
        <x:v>LongCat-2.0</x:v>
      </x:c>
      <x:c r="R790" s="30" t="n">
        <x:v>2817.8</x:v>
      </x:c>
      <x:c r="S790" s="30" t="str">
        <x:v>{"completion_tokens": 69, "prompt_tokens": 157,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1">
      <x:c r="A791" s="30" t="str">
        <x:v>memos_medium:2119</x:v>
      </x:c>
      <x:c r="B791" s="30" t="str">
        <x:v>medium</x:v>
      </x:c>
      <x:c r="C791" s="30" t="str">
        <x:v>Generalization &amp; Application</x:v>
      </x:c>
      <x:c r="D791" s="30" t="n">
        <x:v>1</x:v>
      </x:c>
      <x:c r="E791" s="30" t="str">
        <x:v>What new wellness strategies might Sharon explore to further improve her health as of 2027-09-20?</x:v>
      </x:c>
      <x:c r="F791" s="30" t="str">
        <x:v>Sharon might explore mindfulness and balanced diet strategies.</x:v>
      </x:c>
      <x:c r="G791" s="30" t="str">
        <x:v>New philosophical approaches.</x:v>
      </x:c>
      <x:c r="H791" s="30" t="str">
        <x:v>deepseek-v4-flash</x:v>
      </x:c>
      <x:c r="I791" s="30" t="str">
        <x:v>deepseek-v4-flash</x:v>
      </x:c>
      <x:c r="J791" s="30" t="str">
        <x:v>552820209deece0f3050e5c73896f48f23ebda6a1f629f762807b83106dddc79</x:v>
      </x:c>
      <x:c r="K791" s="30" t="str">
        <x:v>4344697d4d2d66f42feef3ab4766fdd968601f9ffbcc08147d38fbcff68c2524</x:v>
      </x:c>
      <x:c r="L791" s="30" t="n">
        <x:v>719.49</x:v>
      </x:c>
      <x:c r="M791" s="30" t="str">
        <x:v>{"completion_tokens": 4, "prompt_tokens": 574, "total_tokens": 578, "completion_tokens_details": null, "prompt_tokens_details": {"audio_tokens": null, "cached_tokens": 512}, "prompt_cache_hit_tokens": 512, "prompt_cache_miss_tokens": 62}</x:v>
      </x:c>
      <x:c r="N791" s="30" t="str">
        <x:v>hallucination</x:v>
      </x:c>
      <x:c r="O791" s="30" t="str">
        <x:v>The model answer 'New philosophical approaches' is a concrete claim that contradicts the gold answer, which specifies 'mindfulness and balanced diet strategies.' Philosophical approaches are not equivalent to or a paraphrase of mindfulness and diet strategies, and they are not supported by the gold answer.</x:v>
      </x:c>
      <x:c r="P791" s="30" t="str">
        <x:v>LongCat-2.0</x:v>
      </x:c>
      <x:c r="Q791" s="30" t="str">
        <x:v>LongCat-2.0</x:v>
      </x:c>
      <x:c r="R791" s="30" t="n">
        <x:v>2874.66</x:v>
      </x:c>
      <x:c r="S791" s="30" t="str">
        <x:v>{"completion_tokens": 68, "prompt_tokens": 157,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2">
      <x:c r="A792" s="30" t="str">
        <x:v>memos_medium:2119</x:v>
      </x:c>
      <x:c r="B792" s="30" t="str">
        <x:v>medium</x:v>
      </x:c>
      <x:c r="C792" s="30" t="str">
        <x:v>Generalization &amp; Application</x:v>
      </x:c>
      <x:c r="D792" s="30" t="n">
        <x:v>2</x:v>
      </x:c>
      <x:c r="E792" s="30" t="str">
        <x:v>What new wellness strategies might Sharon explore to further improve her health as of 2027-09-20?</x:v>
      </x:c>
      <x:c r="F792" s="30" t="str">
        <x:v>Sharon might explore mindfulness and balanced diet strategies.</x:v>
      </x:c>
      <x:c r="G792" s="30" t="str">
        <x:v>New philosophical approaches.</x:v>
      </x:c>
      <x:c r="H792" s="30" t="str">
        <x:v>deepseek-v4-flash</x:v>
      </x:c>
      <x:c r="I792" s="30" t="str">
        <x:v>deepseek-v4-flash</x:v>
      </x:c>
      <x:c r="J792" s="30" t="str">
        <x:v>552820209deece0f3050e5c73896f48f23ebda6a1f629f762807b83106dddc79</x:v>
      </x:c>
      <x:c r="K792" s="30" t="str">
        <x:v>4344697d4d2d66f42feef3ab4766fdd968601f9ffbcc08147d38fbcff68c2524</x:v>
      </x:c>
      <x:c r="L792" s="30" t="n">
        <x:v>720.68</x:v>
      </x:c>
      <x:c r="M792" s="30" t="str">
        <x:v>{"completion_tokens": 4, "prompt_tokens": 574, "total_tokens": 578, "completion_tokens_details": null, "prompt_tokens_details": {"audio_tokens": null, "cached_tokens": 512}, "prompt_cache_hit_tokens": 512, "prompt_cache_miss_tokens": 62}</x:v>
      </x:c>
      <x:c r="N792" s="30" t="str">
        <x:v>hallucination</x:v>
      </x:c>
      <x:c r="O792" s="30" t="str">
        <x:v>The model answer 'New philosophical approaches' is a concrete claim that contradicts the gold answer, which specifies 'mindfulness and balanced diet strategies.' Philosophical approaches are not equivalent to or a paraphrase of mindfulness and diet strategies, making this an unsupported/incorrect material.</x:v>
      </x:c>
      <x:c r="P792" s="30" t="str">
        <x:v>LongCat-2.0</x:v>
      </x:c>
      <x:c r="Q792" s="30" t="str">
        <x:v>LongCat-2.0</x:v>
      </x:c>
      <x:c r="R792" s="30" t="n">
        <x:v>2765.49</x:v>
      </x:c>
      <x:c r="S792" s="30" t="str">
        <x:v>{"completion_tokens": 66, "prompt_tokens": 157,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3">
      <x:c r="A793" s="30" t="str">
        <x:v>memos_medium:2119</x:v>
      </x:c>
      <x:c r="B793" s="30" t="str">
        <x:v>medium</x:v>
      </x:c>
      <x:c r="C793" s="30" t="str">
        <x:v>Generalization &amp; Application</x:v>
      </x:c>
      <x:c r="D793" s="30" t="n">
        <x:v>3</x:v>
      </x:c>
      <x:c r="E793" s="30" t="str">
        <x:v>What new wellness strategies might Sharon explore to further improve her health as of 2027-09-20?</x:v>
      </x:c>
      <x:c r="F793" s="30" t="str">
        <x:v>Sharon might explore mindfulness and balanced diet strategies.</x:v>
      </x:c>
      <x:c r="G793" s="30" t="str">
        <x:v>New philosophical approaches.</x:v>
      </x:c>
      <x:c r="H793" s="30" t="str">
        <x:v>deepseek-v4-flash</x:v>
      </x:c>
      <x:c r="I793" s="30" t="str">
        <x:v>deepseek-v4-flash</x:v>
      </x:c>
      <x:c r="J793" s="30" t="str">
        <x:v>552820209deece0f3050e5c73896f48f23ebda6a1f629f762807b83106dddc79</x:v>
      </x:c>
      <x:c r="K793" s="30" t="str">
        <x:v>4344697d4d2d66f42feef3ab4766fdd968601f9ffbcc08147d38fbcff68c2524</x:v>
      </x:c>
      <x:c r="L793" s="30" t="n">
        <x:v>735.89</x:v>
      </x:c>
      <x:c r="M793" s="30" t="str">
        <x:v>{"completion_tokens": 4, "prompt_tokens": 574, "total_tokens": 578, "completion_tokens_details": null, "prompt_tokens_details": {"audio_tokens": null, "cached_tokens": 512}, "prompt_cache_hit_tokens": 512, "prompt_cache_miss_tokens": 62}</x:v>
      </x:c>
      <x:c r="N793" s="30" t="str">
        <x:v>hallucination</x:v>
      </x:c>
      <x:c r="O793" s="30" t="str">
        <x:v>The model answer 'New philosophical approaches' is a concrete answer that does not match the gold answer's specific strategies of mindfulness and balanced diet, and introduces unsupported material not present in the gold answer.</x:v>
      </x:c>
      <x:c r="P793" s="30" t="str">
        <x:v>LongCat-2.0</x:v>
      </x:c>
      <x:c r="Q793" s="30" t="str">
        <x:v>LongCat-2.0</x:v>
      </x:c>
      <x:c r="R793" s="30" t="n">
        <x:v>2354.43</x:v>
      </x:c>
      <x:c r="S793" s="30" t="str">
        <x:v>{"completion_tokens": 52, "prompt_tokens": 157,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4">
      <x:c r="A794" s="30" t="str">
        <x:v>memos_medium:2134</x:v>
      </x:c>
      <x:c r="B794" s="30" t="str">
        <x:v>medium</x:v>
      </x:c>
      <x:c r="C794" s="30" t="str">
        <x:v>Generalization &amp; Application</x:v>
      </x:c>
      <x:c r="D794" s="30" t="n">
        <x:v>1</x:v>
      </x:c>
      <x:c r="E794" s="30" t="str">
        <x:v>What type of movies might Sharon prefer to explore after July 29, 2028, given her evolving preferences?</x:v>
      </x:c>
      <x:c r="F794" s="30" t="str">
        <x:v>Movies with strong narratives and engaging plots.</x:v>
      </x:c>
      <x:c r="G794" s="30" t="str">
        <x:v>Horror films</x:v>
      </x:c>
      <x:c r="H794" s="30" t="str">
        <x:v>deepseek-v4-flash</x:v>
      </x:c>
      <x:c r="I794" s="30" t="str">
        <x:v>deepseek-v4-flash</x:v>
      </x:c>
      <x:c r="J794" s="30" t="str">
        <x:v>1b1bf51eab797469fb9015cc0f27fb431446e7b24a00ce5ca4ac4aaac4cf1b51</x:v>
      </x:c>
      <x:c r="K794" s="30" t="str">
        <x:v>467c6571e2f0837c048a8dca074695fc94d23cf2c77f4d9a7c6a00823497d41e</x:v>
      </x:c>
      <x:c r="L794" s="30" t="n">
        <x:v>715.8</x:v>
      </x:c>
      <x:c r="M794" s="30" t="str">
        <x:v>{"completion_tokens": 3, "prompt_tokens": 575, "total_tokens": 578, "completion_tokens_details": null, "prompt_tokens_details": {"audio_tokens": null, "cached_tokens": 512}, "prompt_cache_hit_tokens": 512, "prompt_cache_miss_tokens": 63}</x:v>
      </x:c>
      <x:c r="N794" s="30" t="str">
        <x:v>hallucination</x:v>
      </x:c>
      <x:c r="O794"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P794" s="30" t="str">
        <x:v>LongCat-2.0</x:v>
      </x:c>
      <x:c r="Q794" s="30" t="str">
        <x:v>LongCat-2.0</x:v>
      </x:c>
      <x:c r="R794" s="30" t="n">
        <x:v>2992.93</x:v>
      </x:c>
      <x:c r="S794" s="30" t="str">
        <x:v>{"completion_tokens": 75, "prompt_tokens": 156,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5">
      <x:c r="A795" s="30" t="str">
        <x:v>memos_medium:2134</x:v>
      </x:c>
      <x:c r="B795" s="30" t="str">
        <x:v>medium</x:v>
      </x:c>
      <x:c r="C795" s="30" t="str">
        <x:v>Generalization &amp; Application</x:v>
      </x:c>
      <x:c r="D795" s="30" t="n">
        <x:v>2</x:v>
      </x:c>
      <x:c r="E795" s="30" t="str">
        <x:v>What type of movies might Sharon prefer to explore after July 29, 2028, given her evolving preferences?</x:v>
      </x:c>
      <x:c r="F795" s="30" t="str">
        <x:v>Movies with strong narratives and engaging plots.</x:v>
      </x:c>
      <x:c r="G795" s="30" t="str">
        <x:v>Horror films</x:v>
      </x:c>
      <x:c r="H795" s="30" t="str">
        <x:v>deepseek-v4-flash</x:v>
      </x:c>
      <x:c r="I795" s="30" t="str">
        <x:v>deepseek-v4-flash</x:v>
      </x:c>
      <x:c r="J795" s="30" t="str">
        <x:v>1b1bf51eab797469fb9015cc0f27fb431446e7b24a00ce5ca4ac4aaac4cf1b51</x:v>
      </x:c>
      <x:c r="K795" s="30" t="str">
        <x:v>467c6571e2f0837c048a8dca074695fc94d23cf2c77f4d9a7c6a00823497d41e</x:v>
      </x:c>
      <x:c r="L795" s="30" t="n">
        <x:v>922.68</x:v>
      </x:c>
      <x:c r="M795" s="30" t="str">
        <x:v>{"completion_tokens": 3, "prompt_tokens": 575, "total_tokens": 578, "completion_tokens_details": null, "prompt_tokens_details": {"audio_tokens": null, "cached_tokens": 512}, "prompt_cache_hit_tokens": 512, "prompt_cache_miss_tokens": 63}</x:v>
      </x:c>
      <x:c r="N795" s="30" t="str">
        <x:v>hallucination</x:v>
      </x:c>
      <x:c r="O795" s="30" t="str">
        <x:v>The gold answer states that Sharon would prefer movies with strong narratives and engaging plots, while the model answer claims she would prefer horror films. Horror films is a specific genre that contradicts the general preference for strong narratives and engaging plots described in the gold answer, making it an unsupported and incorrect claim.</x:v>
      </x:c>
      <x:c r="P795" s="30" t="str">
        <x:v>LongCat-2.0</x:v>
      </x:c>
      <x:c r="Q795" s="30" t="str">
        <x:v>LongCat-2.0</x:v>
      </x:c>
      <x:c r="R795" s="30" t="n">
        <x:v>2649.42</x:v>
      </x:c>
      <x:c r="S795" s="30" t="str">
        <x:v>{"completion_tokens": 71, "prompt_tokens": 156,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6">
      <x:c r="A796" s="30" t="str">
        <x:v>memos_medium:2134</x:v>
      </x:c>
      <x:c r="B796" s="30" t="str">
        <x:v>medium</x:v>
      </x:c>
      <x:c r="C796" s="30" t="str">
        <x:v>Generalization &amp; Application</x:v>
      </x:c>
      <x:c r="D796" s="30" t="n">
        <x:v>3</x:v>
      </x:c>
      <x:c r="E796" s="30" t="str">
        <x:v>What type of movies might Sharon prefer to explore after July 29, 2028, given her evolving preferences?</x:v>
      </x:c>
      <x:c r="F796" s="30" t="str">
        <x:v>Movies with strong narratives and engaging plots.</x:v>
      </x:c>
      <x:c r="G796" s="30" t="str">
        <x:v>Horror films</x:v>
      </x:c>
      <x:c r="H796" s="30" t="str">
        <x:v>deepseek-v4-flash</x:v>
      </x:c>
      <x:c r="I796" s="30" t="str">
        <x:v>deepseek-v4-flash</x:v>
      </x:c>
      <x:c r="J796" s="30" t="str">
        <x:v>1b1bf51eab797469fb9015cc0f27fb431446e7b24a00ce5ca4ac4aaac4cf1b51</x:v>
      </x:c>
      <x:c r="K796" s="30" t="str">
        <x:v>467c6571e2f0837c048a8dca074695fc94d23cf2c77f4d9a7c6a00823497d41e</x:v>
      </x:c>
      <x:c r="L796" s="30" t="n">
        <x:v>517.97</x:v>
      </x:c>
      <x:c r="M796" s="30" t="str">
        <x:v>{"completion_tokens": 3, "prompt_tokens": 575, "total_tokens": 578, "completion_tokens_details": null, "prompt_tokens_details": {"audio_tokens": null, "cached_tokens": 512}, "prompt_cache_hit_tokens": 512, "prompt_cache_miss_tokens": 63}</x:v>
      </x:c>
      <x:c r="N796" s="30" t="str">
        <x:v>hallucination</x:v>
      </x:c>
      <x:c r="O796" s="30" t="str">
        <x:v>The gold answer states that Sharon would prefer movies with strong narratives and engaging plots, while the model answer claims she would prefer horror films. Horror films is a specific genre that is not equivalent to or implied by the gold answer, and it contradicts the general nature of the gold answer by providing an unsupported concrete claim.</x:v>
      </x:c>
      <x:c r="P796" s="30" t="str">
        <x:v>LongCat-2.0</x:v>
      </x:c>
      <x:c r="Q796" s="30" t="str">
        <x:v>LongCat-2.0</x:v>
      </x:c>
      <x:c r="R796" s="30" t="n">
        <x:v>2729.91</x:v>
      </x:c>
      <x:c r="S796" s="30" t="str">
        <x:v>{"completion_tokens": 75, "prompt_tokens": 156,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7">
      <x:c r="A797" s="30" t="str">
        <x:v>memos_medium:2155</x:v>
      </x:c>
      <x:c r="B797" s="30" t="str">
        <x:v>medium</x:v>
      </x:c>
      <x:c r="C797" s="30" t="str">
        <x:v>Multi-hop Inference</x:v>
      </x:c>
      <x:c r="D797" s="30" t="n">
        <x:v>1</x:v>
      </x:c>
      <x:c r="E797" s="30" t="str">
        <x:v>How did Sharon Brown's monthly income change after her promotion on May 24, 2029?</x:v>
      </x:c>
      <x:c r="F797" s="30" t="str">
        <x:v>Increased to $15,000</x:v>
      </x:c>
      <x:c r="G797" s="30" t="str">
        <x:v>No change.</x:v>
      </x:c>
      <x:c r="H797" s="30" t="str">
        <x:v>deepseek-v4-flash</x:v>
      </x:c>
      <x:c r="I797" s="30" t="str">
        <x:v>deepseek-v4-flash</x:v>
      </x:c>
      <x:c r="J797" s="30" t="str">
        <x:v>afd72ecf5410f4cf97d2abc8bea9236e6f463ad277d9be61d26b17ebc78a33bf</x:v>
      </x:c>
      <x:c r="K797" s="30" t="str">
        <x:v>ee116ec61fa1d7c7202fe4da748e9908880704b4a26f3b1dab40c8d8615c2460</x:v>
      </x:c>
      <x:c r="L797" s="30" t="n">
        <x:v>612.35</x:v>
      </x:c>
      <x:c r="M797" s="30" t="str">
        <x:v>{"completion_tokens": 3, "prompt_tokens": 556, "total_tokens": 559, "completion_tokens_details": null, "prompt_tokens_details": {"audio_tokens": null, "cached_tokens": 512}, "prompt_cache_hit_tokens": 512, "prompt_cache_miss_tokens": 44}</x:v>
      </x:c>
      <x:c r="N797" s="30" t="str">
        <x:v>hallucination</x:v>
      </x:c>
      <x:c r="O797" s="30" t="str">
        <x:v>The gold answer states that Sharon Brown's monthly income increased to $15,000 after her promotion, while the model answer claims 'No change,' which directly contradicts the gold answer with a concrete false claim.</x:v>
      </x:c>
      <x:c r="P797" s="30" t="str">
        <x:v>LongCat-2.0</x:v>
      </x:c>
      <x:c r="Q797" s="30" t="str">
        <x:v>LongCat-2.0</x:v>
      </x:c>
      <x:c r="R797" s="30" t="n">
        <x:v>2295.26</x:v>
      </x:c>
      <x:c r="S797" s="30" t="str">
        <x:v>{"completion_tokens": 57, "prompt_tokens": 154, "total_tokens": 211,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798">
      <x:c r="A798" s="30" t="str">
        <x:v>memos_medium:2155</x:v>
      </x:c>
      <x:c r="B798" s="30" t="str">
        <x:v>medium</x:v>
      </x:c>
      <x:c r="C798" s="30" t="str">
        <x:v>Multi-hop Inference</x:v>
      </x:c>
      <x:c r="D798" s="30" t="n">
        <x:v>2</x:v>
      </x:c>
      <x:c r="E798" s="30" t="str">
        <x:v>How did Sharon Brown's monthly income change after her promotion on May 24, 2029?</x:v>
      </x:c>
      <x:c r="F798" s="30" t="str">
        <x:v>Increased to $15,000</x:v>
      </x:c>
      <x:c r="G798" s="30" t="str">
        <x:v>No change.</x:v>
      </x:c>
      <x:c r="H798" s="30" t="str">
        <x:v>deepseek-v4-flash</x:v>
      </x:c>
      <x:c r="I798" s="30" t="str">
        <x:v>deepseek-v4-flash</x:v>
      </x:c>
      <x:c r="J798" s="30" t="str">
        <x:v>afd72ecf5410f4cf97d2abc8bea9236e6f463ad277d9be61d26b17ebc78a33bf</x:v>
      </x:c>
      <x:c r="K798" s="30" t="str">
        <x:v>ee116ec61fa1d7c7202fe4da748e9908880704b4a26f3b1dab40c8d8615c2460</x:v>
      </x:c>
      <x:c r="L798" s="30" t="n">
        <x:v>732.39</x:v>
      </x:c>
      <x:c r="M798" s="30" t="str">
        <x:v>{"completion_tokens": 3, "prompt_tokens": 556, "total_tokens": 559, "completion_tokens_details": null, "prompt_tokens_details": {"audio_tokens": null, "cached_tokens": 512}, "prompt_cache_hit_tokens": 512, "prompt_cache_miss_tokens": 44}</x:v>
      </x:c>
      <x:c r="N798" s="30" t="str">
        <x:v>hallucination</x:v>
      </x:c>
      <x:c r="O798" s="30" t="str">
        <x:v>The model answer 'No change' directly contradicts the gold answer 'Increased to $15,000', which is a concrete claim about the income change.</x:v>
      </x:c>
      <x:c r="P798" s="30" t="str">
        <x:v>LongCat-2.0</x:v>
      </x:c>
      <x:c r="Q798" s="30" t="str">
        <x:v>LongCat-2.0</x:v>
      </x:c>
      <x:c r="R798" s="30" t="n">
        <x:v>1978.98</x:v>
      </x:c>
      <x:c r="S798" s="30" t="str">
        <x:v>{"completion_tokens": 47, "prompt_tokens": 154, "total_tokens": 201,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799">
      <x:c r="A799" s="30" t="str">
        <x:v>memos_medium:2155</x:v>
      </x:c>
      <x:c r="B799" s="30" t="str">
        <x:v>medium</x:v>
      </x:c>
      <x:c r="C799" s="30" t="str">
        <x:v>Multi-hop Inference</x:v>
      </x:c>
      <x:c r="D799" s="30" t="n">
        <x:v>3</x:v>
      </x:c>
      <x:c r="E799" s="30" t="str">
        <x:v>How did Sharon Brown's monthly income change after her promotion on May 24, 2029?</x:v>
      </x:c>
      <x:c r="F799" s="30" t="str">
        <x:v>Increased to $15,000</x:v>
      </x:c>
      <x:c r="G799" s="30" t="str">
        <x:v>No change.</x:v>
      </x:c>
      <x:c r="H799" s="30" t="str">
        <x:v>deepseek-v4-flash</x:v>
      </x:c>
      <x:c r="I799" s="30" t="str">
        <x:v>deepseek-v4-flash</x:v>
      </x:c>
      <x:c r="J799" s="30" t="str">
        <x:v>afd72ecf5410f4cf97d2abc8bea9236e6f463ad277d9be61d26b17ebc78a33bf</x:v>
      </x:c>
      <x:c r="K799" s="30" t="str">
        <x:v>ee116ec61fa1d7c7202fe4da748e9908880704b4a26f3b1dab40c8d8615c2460</x:v>
      </x:c>
      <x:c r="L799" s="30" t="n">
        <x:v>708.59</x:v>
      </x:c>
      <x:c r="M799" s="30" t="str">
        <x:v>{"completion_tokens": 3, "prompt_tokens": 556, "total_tokens": 559, "completion_tokens_details": null, "prompt_tokens_details": {"audio_tokens": null, "cached_tokens": 512}, "prompt_cache_hit_tokens": 512, "prompt_cache_miss_tokens": 44}</x:v>
      </x:c>
      <x:c r="N799" s="30" t="str">
        <x:v>hallucination</x:v>
      </x:c>
      <x:c r="O799" s="30" t="str">
        <x:v>The model answer 'No change' directly contradicts the gold answer 'Increased to $15,000', which is a concrete claim about the income change.</x:v>
      </x:c>
      <x:c r="P799" s="30" t="str">
        <x:v>LongCat-2.0</x:v>
      </x:c>
      <x:c r="Q799" s="30" t="str">
        <x:v>LongCat-2.0</x:v>
      </x:c>
      <x:c r="R799" s="30" t="n">
        <x:v>1995.92</x:v>
      </x:c>
      <x:c r="S799" s="30" t="str">
        <x:v>{"completion_tokens": 47, "prompt_tokens": 154, "total_tokens": 201,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0">
      <x:c r="A800" s="30" t="str">
        <x:v>memos_medium:2168</x:v>
      </x:c>
      <x:c r="B800" s="30" t="str">
        <x:v>medium</x:v>
      </x:c>
      <x:c r="C800" s="30" t="str">
        <x:v>Generalization &amp; Application</x:v>
      </x:c>
      <x:c r="D800" s="30" t="n">
        <x:v>1</x:v>
      </x:c>
      <x:c r="E800" s="30" t="str">
        <x:v>What type of travel might Sharon Brown enjoy in 2032 based on her current preferences?</x:v>
      </x:c>
      <x:c r="F800" s="30" t="str">
        <x:v>Active adventure travel experiences.</x:v>
      </x:c>
      <x:c r="G800" s="30" t="str">
        <x:v>Adventure cruises.</x:v>
      </x:c>
      <x:c r="H800" s="30" t="str">
        <x:v>deepseek-v4-flash</x:v>
      </x:c>
      <x:c r="I800" s="30" t="str">
        <x:v>deepseek-v4-flash</x:v>
      </x:c>
      <x:c r="J800" s="30" t="str">
        <x:v>0a813755294fa88b46a856988239e49ec05eb24df2fa7d8bc82eee389cab0b20</x:v>
      </x:c>
      <x:c r="K800" s="30" t="str">
        <x:v>4d30649a91798caf0e96051ba35cffec195304f58c347fcfdcb32597c1e740c8</x:v>
      </x:c>
      <x:c r="L800" s="30" t="n">
        <x:v>659.76</x:v>
      </x:c>
      <x:c r="M800" s="30" t="str">
        <x:v>{"completion_tokens": 5, "prompt_tokens": 591, "total_tokens": 596, "completion_tokens_details": null, "prompt_tokens_details": {"audio_tokens": null, "cached_tokens": 512}, "prompt_cache_hit_tokens": 512, "prompt_cache_miss_tokens": 79}</x:v>
      </x:c>
      <x:c r="N800" s="30" t="str">
        <x:v>hallucination</x:v>
      </x:c>
      <x:c r="O800"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P800" s="30" t="str">
        <x:v>LongCat-2.0</x:v>
      </x:c>
      <x:c r="Q800" s="30" t="str">
        <x:v>LongCat-2.0</x:v>
      </x:c>
      <x:c r="R800" s="30" t="n">
        <x:v>2939.58</x:v>
      </x:c>
      <x:c r="S800" s="30" t="str">
        <x:v>{"completion_tokens": 69, "prompt_tokens": 147,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1">
      <x:c r="A801" s="30" t="str">
        <x:v>memos_medium:2168</x:v>
      </x:c>
      <x:c r="B801" s="30" t="str">
        <x:v>medium</x:v>
      </x:c>
      <x:c r="C801" s="30" t="str">
        <x:v>Generalization &amp; Application</x:v>
      </x:c>
      <x:c r="D801" s="30" t="n">
        <x:v>2</x:v>
      </x:c>
      <x:c r="E801" s="30" t="str">
        <x:v>What type of travel might Sharon Brown enjoy in 2032 based on her current preferences?</x:v>
      </x:c>
      <x:c r="F801" s="30" t="str">
        <x:v>Active adventure travel experiences.</x:v>
      </x:c>
      <x:c r="G801" s="30" t="str">
        <x:v>Adventure cruises.</x:v>
      </x:c>
      <x:c r="H801" s="30" t="str">
        <x:v>deepseek-v4-flash</x:v>
      </x:c>
      <x:c r="I801" s="30" t="str">
        <x:v>deepseek-v4-flash</x:v>
      </x:c>
      <x:c r="J801" s="30" t="str">
        <x:v>0a813755294fa88b46a856988239e49ec05eb24df2fa7d8bc82eee389cab0b20</x:v>
      </x:c>
      <x:c r="K801" s="30" t="str">
        <x:v>4d30649a91798caf0e96051ba35cffec195304f58c347fcfdcb32597c1e740c8</x:v>
      </x:c>
      <x:c r="L801" s="30" t="n">
        <x:v>764.48</x:v>
      </x:c>
      <x:c r="M801" s="30" t="str">
        <x:v>{"completion_tokens": 5, "prompt_tokens": 591, "total_tokens": 596, "completion_tokens_details": null, "prompt_tokens_details": {"audio_tokens": null, "cached_tokens": 512}, "prompt_cache_hit_tokens": 512, "prompt_cache_miss_tokens": 79}</x:v>
      </x:c>
      <x:c r="N801" s="30" t="str">
        <x:v>hallucination</x:v>
      </x:c>
      <x:c r="O801"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P801" s="30" t="str">
        <x:v>LongCat-2.0</x:v>
      </x:c>
      <x:c r="Q801" s="30" t="str">
        <x:v>LongCat-2.0</x:v>
      </x:c>
      <x:c r="R801" s="30" t="n">
        <x:v>3840.37</x:v>
      </x:c>
      <x:c r="S801" s="30" t="str">
        <x:v>{"completion_tokens": 69, "prompt_tokens": 147,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2">
      <x:c r="A802" s="30" t="str">
        <x:v>memos_medium:2168</x:v>
      </x:c>
      <x:c r="B802" s="30" t="str">
        <x:v>medium</x:v>
      </x:c>
      <x:c r="C802" s="30" t="str">
        <x:v>Generalization &amp; Application</x:v>
      </x:c>
      <x:c r="D802" s="30" t="n">
        <x:v>3</x:v>
      </x:c>
      <x:c r="E802" s="30" t="str">
        <x:v>What type of travel might Sharon Brown enjoy in 2032 based on her current preferences?</x:v>
      </x:c>
      <x:c r="F802" s="30" t="str">
        <x:v>Active adventure travel experiences.</x:v>
      </x:c>
      <x:c r="G802" s="30" t="str">
        <x:v>Adventure cruises.</x:v>
      </x:c>
      <x:c r="H802" s="30" t="str">
        <x:v>deepseek-v4-flash</x:v>
      </x:c>
      <x:c r="I802" s="30" t="str">
        <x:v>deepseek-v4-flash</x:v>
      </x:c>
      <x:c r="J802" s="30" t="str">
        <x:v>0a813755294fa88b46a856988239e49ec05eb24df2fa7d8bc82eee389cab0b20</x:v>
      </x:c>
      <x:c r="K802" s="30" t="str">
        <x:v>4d30649a91798caf0e96051ba35cffec195304f58c347fcfdcb32597c1e740c8</x:v>
      </x:c>
      <x:c r="L802" s="30" t="n">
        <x:v>772.83</x:v>
      </x:c>
      <x:c r="M802" s="30" t="str">
        <x:v>{"completion_tokens": 5, "prompt_tokens": 591, "total_tokens": 596, "completion_tokens_details": null, "prompt_tokens_details": {"audio_tokens": null, "cached_tokens": 512}, "prompt_cache_hit_tokens": 512, "prompt_cache_miss_tokens": 79}</x:v>
      </x:c>
      <x:c r="N802" s="30" t="str">
        <x:v>hallucination</x:v>
      </x:c>
      <x:c r="O802" s="30" t="str">
        <x:v>The gold answer is 'Active adventure travel experiences,' which is a broad category of travel. The model answer 'Adventure cruises' is a specific, narrower type of travel that is not equivalent to the gold answer and introduces an unsupported concrete claim not present in the benchmark answer.</x:v>
      </x:c>
      <x:c r="P802" s="30" t="str">
        <x:v>LongCat-2.0</x:v>
      </x:c>
      <x:c r="Q802" s="30" t="str">
        <x:v>LongCat-2.0</x:v>
      </x:c>
      <x:c r="R802" s="30" t="n">
        <x:v>3330.71</x:v>
      </x:c>
      <x:c r="S802" s="30" t="str">
        <x:v>{"completion_tokens": 69, "prompt_tokens": 147,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3">
      <x:c r="A803" s="30" t="str">
        <x:v>memos_medium:2170</x:v>
      </x:c>
      <x:c r="B803" s="30" t="str">
        <x:v>medium</x:v>
      </x:c>
      <x:c r="C803" s="30" t="str">
        <x:v>Generalization &amp; Application</x:v>
      </x:c>
      <x:c r="D803" s="30" t="n">
        <x:v>1</x:v>
      </x:c>
      <x:c r="E803" s="30" t="str">
        <x:v>What new recipe might Sharon Brown enjoy trying based on her preferences as of Sep 16, 2031?</x:v>
      </x:c>
      <x:c r="F803" s="30" t="str">
        <x:v>A honey-glazed salmon recipe.</x:v>
      </x:c>
      <x:c r="G803" s="30" t="str">
        <x:v>Maple-glazed salmon recipe</x:v>
      </x:c>
      <x:c r="H803" s="30" t="str">
        <x:v>deepseek-v4-flash</x:v>
      </x:c>
      <x:c r="I803" s="30" t="str">
        <x:v>deepseek-v4-flash</x:v>
      </x:c>
      <x:c r="J803" s="30" t="str">
        <x:v>3ae25a20e95a51781dbd7ac3cd9aa00576db486fddce156b1361db82a4856747</x:v>
      </x:c>
      <x:c r="K803" s="30" t="str">
        <x:v>dbad52e22425febaf2736d9be5212a6efd87f1f9b3ca746cdbc5ef4c493f2d7a</x:v>
      </x:c>
      <x:c r="L803" s="30" t="n">
        <x:v>614.9</x:v>
      </x:c>
      <x:c r="M803" s="30" t="str">
        <x:v>{"completion_tokens": 6, "prompt_tokens": 600, "total_tokens": 606, "completion_tokens_details": null, "prompt_tokens_details": {"audio_tokens": null, "cached_tokens": 512}, "prompt_cache_hit_tokens": 512, "prompt_cache_miss_tokens": 88}</x:v>
      </x:c>
      <x:c r="N803" s="30" t="str">
        <x:v>hallucination</x:v>
      </x:c>
      <x:c r="O803" s="30" t="str">
        <x:v>The gold answer specifies a honey-glazed salmon recipe, while the model answer provides a maple-glazed salmon recipe. Although both are glazed salmon recipes, the specific glaze type (maple vs. honey) is a concrete detail that contradicts the gold answer, making this a hallucination rather than a semantically equivalent correct answer.</x:v>
      </x:c>
      <x:c r="P803" s="30" t="str">
        <x:v>LongCat-2.0</x:v>
      </x:c>
      <x:c r="Q803" s="30" t="str">
        <x:v>LongCat-2.0</x:v>
      </x:c>
      <x:c r="R803" s="30" t="n">
        <x:v>5181.04</x:v>
      </x:c>
      <x:c r="S803"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4">
      <x:c r="A804" s="30" t="str">
        <x:v>memos_medium:2170</x:v>
      </x:c>
      <x:c r="B804" s="30" t="str">
        <x:v>medium</x:v>
      </x:c>
      <x:c r="C804" s="30" t="str">
        <x:v>Generalization &amp; Application</x:v>
      </x:c>
      <x:c r="D804" s="30" t="n">
        <x:v>2</x:v>
      </x:c>
      <x:c r="E804" s="30" t="str">
        <x:v>What new recipe might Sharon Brown enjoy trying based on her preferences as of Sep 16, 2031?</x:v>
      </x:c>
      <x:c r="F804" s="30" t="str">
        <x:v>A honey-glazed salmon recipe.</x:v>
      </x:c>
      <x:c r="G804" s="30" t="str">
        <x:v>Maple-glazed salmon recipe</x:v>
      </x:c>
      <x:c r="H804" s="30" t="str">
        <x:v>deepseek-v4-flash</x:v>
      </x:c>
      <x:c r="I804" s="30" t="str">
        <x:v>deepseek-v4-flash</x:v>
      </x:c>
      <x:c r="J804" s="30" t="str">
        <x:v>3ae25a20e95a51781dbd7ac3cd9aa00576db486fddce156b1361db82a4856747</x:v>
      </x:c>
      <x:c r="K804" s="30" t="str">
        <x:v>dbad52e22425febaf2736d9be5212a6efd87f1f9b3ca746cdbc5ef4c493f2d7a</x:v>
      </x:c>
      <x:c r="L804" s="30" t="n">
        <x:v>672.55</x:v>
      </x:c>
      <x:c r="M804" s="30" t="str">
        <x:v>{"completion_tokens": 6, "prompt_tokens": 600, "total_tokens": 606, "completion_tokens_details": null, "prompt_tokens_details": {"audio_tokens": null, "cached_tokens": 512}, "prompt_cache_hit_tokens": 512, "prompt_cache_miss_tokens": 88}</x:v>
      </x:c>
      <x:c r="N804" s="30" t="str">
        <x:v>hallucination</x:v>
      </x:c>
      <x:c r="O804"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P804" s="30" t="str">
        <x:v>LongCat-2.0</x:v>
      </x:c>
      <x:c r="Q804" s="30" t="str">
        <x:v>LongCat-2.0</x:v>
      </x:c>
      <x:c r="R804" s="30" t="n">
        <x:v>4141.65</x:v>
      </x:c>
      <x:c r="S804"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5">
      <x:c r="A805" s="30" t="str">
        <x:v>memos_medium:2170</x:v>
      </x:c>
      <x:c r="B805" s="30" t="str">
        <x:v>medium</x:v>
      </x:c>
      <x:c r="C805" s="30" t="str">
        <x:v>Generalization &amp; Application</x:v>
      </x:c>
      <x:c r="D805" s="30" t="n">
        <x:v>3</x:v>
      </x:c>
      <x:c r="E805" s="30" t="str">
        <x:v>What new recipe might Sharon Brown enjoy trying based on her preferences as of Sep 16, 2031?</x:v>
      </x:c>
      <x:c r="F805" s="30" t="str">
        <x:v>A honey-glazed salmon recipe.</x:v>
      </x:c>
      <x:c r="G805" s="30" t="str">
        <x:v>Maple-glazed salmon recipe</x:v>
      </x:c>
      <x:c r="H805" s="30" t="str">
        <x:v>deepseek-v4-flash</x:v>
      </x:c>
      <x:c r="I805" s="30" t="str">
        <x:v>deepseek-v4-flash</x:v>
      </x:c>
      <x:c r="J805" s="30" t="str">
        <x:v>3ae25a20e95a51781dbd7ac3cd9aa00576db486fddce156b1361db82a4856747</x:v>
      </x:c>
      <x:c r="K805" s="30" t="str">
        <x:v>dbad52e22425febaf2736d9be5212a6efd87f1f9b3ca746cdbc5ef4c493f2d7a</x:v>
      </x:c>
      <x:c r="L805" s="30" t="n">
        <x:v>527.14</x:v>
      </x:c>
      <x:c r="M805" s="30" t="str">
        <x:v>{"completion_tokens": 6, "prompt_tokens": 600, "total_tokens": 606, "completion_tokens_details": null, "prompt_tokens_details": {"audio_tokens": null, "cached_tokens": 512}, "prompt_cache_hit_tokens": 512, "prompt_cache_miss_tokens": 88}</x:v>
      </x:c>
      <x:c r="N805" s="30" t="str">
        <x:v>hallucination</x:v>
      </x:c>
      <x:c r="O805" s="30" t="str">
        <x:v>The gold answer specifies a honey-glazed salmon recipe, while the model answer provides a maple-glazed salmon recipe. Although both are glazed salmon recipes, the specific glaze ingredient (maple vs. honey) is a concrete detail that contradicts the gold answer, making this a hallucination rather than a semantically equivalent correct answer.</x:v>
      </x:c>
      <x:c r="P805" s="30" t="str">
        <x:v>LongCat-2.0</x:v>
      </x:c>
      <x:c r="Q805" s="30" t="str">
        <x:v>LongCat-2.0</x:v>
      </x:c>
      <x:c r="R805" s="30" t="n">
        <x:v>3739.31</x:v>
      </x:c>
      <x:c r="S805"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6">
      <x:c r="A806" s="30" t="str">
        <x:v>memos_medium:2216</x:v>
      </x:c>
      <x:c r="B806" s="30" t="str">
        <x:v>medium</x:v>
      </x:c>
      <x:c r="C806" s="30" t="str">
        <x:v>Generalization &amp; Application</x:v>
      </x:c>
      <x:c r="D806" s="30" t="n">
        <x:v>1</x:v>
      </x:c>
      <x:c r="E806" s="30" t="str">
        <x:v>Considering Sharon Brown's current music preferences, what new genre might she explore next?</x:v>
      </x:c>
      <x:c r="F806" s="30" t="str">
        <x:v>Sharon may explore genres with strong emotional storytelling.</x:v>
      </x:c>
      <x:c r="G806" s="30" t="str">
        <x:v>Alternative rock or modern country.</x:v>
      </x:c>
      <x:c r="H806" s="30" t="str">
        <x:v>deepseek-v4-flash</x:v>
      </x:c>
      <x:c r="I806" s="30" t="str">
        <x:v>deepseek-v4-flash</x:v>
      </x:c>
      <x:c r="J806" s="30" t="str">
        <x:v>c0303852bdacedceceb45044f25b940110d3be019d8f4649237615e0c9dec70d</x:v>
      </x:c>
      <x:c r="K806" s="30" t="str">
        <x:v>7ea3037e8936534685c718a48d34e90fd52fbd1c0dabf49a47691a677ad4e4e3</x:v>
      </x:c>
      <x:c r="L806" s="30" t="n">
        <x:v>610.09</x:v>
      </x:c>
      <x:c r="M806" s="30" t="str">
        <x:v>{"completion_tokens": 6, "prompt_tokens": 570, "total_tokens": 576, "completion_tokens_details": null, "prompt_tokens_details": {"audio_tokens": null, "cached_tokens": 512}, "prompt_cache_hit_tokens": 512, "prompt_cache_miss_tokens": 58}</x:v>
      </x:c>
      <x:c r="N806" s="30" t="str">
        <x:v>hallucination</x:v>
      </x:c>
      <x:c r="O806"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P806" s="30" t="str">
        <x:v>LongCat-2.0</x:v>
      </x:c>
      <x:c r="Q806" s="30" t="str">
        <x:v>LongCat-2.0</x:v>
      </x:c>
      <x:c r="R806" s="30" t="n">
        <x:v>2410.9</x:v>
      </x:c>
      <x:c r="S806" s="30" t="str">
        <x:v>{"completion_tokens": 67, "prompt_tokens": 149,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07">
      <x:c r="A807" s="30" t="str">
        <x:v>memos_medium:2216</x:v>
      </x:c>
      <x:c r="B807" s="30" t="str">
        <x:v>medium</x:v>
      </x:c>
      <x:c r="C807" s="30" t="str">
        <x:v>Generalization &amp; Application</x:v>
      </x:c>
      <x:c r="D807" s="30" t="n">
        <x:v>2</x:v>
      </x:c>
      <x:c r="E807" s="30" t="str">
        <x:v>Considering Sharon Brown's current music preferences, what new genre might she explore next?</x:v>
      </x:c>
      <x:c r="F807" s="30" t="str">
        <x:v>Sharon may explore genres with strong emotional storytelling.</x:v>
      </x:c>
      <x:c r="G807" s="30" t="str">
        <x:v>Alternative rock or modern country.</x:v>
      </x:c>
      <x:c r="H807" s="30" t="str">
        <x:v>deepseek-v4-flash</x:v>
      </x:c>
      <x:c r="I807" s="30" t="str">
        <x:v>deepseek-v4-flash</x:v>
      </x:c>
      <x:c r="J807" s="30" t="str">
        <x:v>c0303852bdacedceceb45044f25b940110d3be019d8f4649237615e0c9dec70d</x:v>
      </x:c>
      <x:c r="K807" s="30" t="str">
        <x:v>7ea3037e8936534685c718a48d34e90fd52fbd1c0dabf49a47691a677ad4e4e3</x:v>
      </x:c>
      <x:c r="L807" s="30" t="n">
        <x:v>599.01</x:v>
      </x:c>
      <x:c r="M807" s="30" t="str">
        <x:v>{"completion_tokens": 6, "prompt_tokens": 570, "total_tokens": 576, "completion_tokens_details": null, "prompt_tokens_details": {"audio_tokens": null, "cached_tokens": 512}, "prompt_cache_hit_tokens": 512, "prompt_cache_miss_tokens": 58}</x:v>
      </x:c>
      <x:c r="N807" s="30" t="str">
        <x:v>hallucination</x:v>
      </x:c>
      <x:c r="O807"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P807" s="30" t="str">
        <x:v>LongCat-2.0</x:v>
      </x:c>
      <x:c r="Q807" s="30" t="str">
        <x:v>LongCat-2.0</x:v>
      </x:c>
      <x:c r="R807" s="30" t="n">
        <x:v>2257.36</x:v>
      </x:c>
      <x:c r="S807" s="30" t="str">
        <x:v>{"completion_tokens": 67, "prompt_tokens": 149,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08">
      <x:c r="A808" s="30" t="str">
        <x:v>memos_medium:2216</x:v>
      </x:c>
      <x:c r="B808" s="30" t="str">
        <x:v>medium</x:v>
      </x:c>
      <x:c r="C808" s="30" t="str">
        <x:v>Generalization &amp; Application</x:v>
      </x:c>
      <x:c r="D808" s="30" t="n">
        <x:v>3</x:v>
      </x:c>
      <x:c r="E808" s="30" t="str">
        <x:v>Considering Sharon Brown's current music preferences, what new genre might she explore next?</x:v>
      </x:c>
      <x:c r="F808" s="30" t="str">
        <x:v>Sharon may explore genres with strong emotional storytelling.</x:v>
      </x:c>
      <x:c r="G808" s="30" t="str">
        <x:v>Alternative rock or modern country.</x:v>
      </x:c>
      <x:c r="H808" s="30" t="str">
        <x:v>deepseek-v4-flash</x:v>
      </x:c>
      <x:c r="I808" s="30" t="str">
        <x:v>deepseek-v4-flash</x:v>
      </x:c>
      <x:c r="J808" s="30" t="str">
        <x:v>c0303852bdacedceceb45044f25b940110d3be019d8f4649237615e0c9dec70d</x:v>
      </x:c>
      <x:c r="K808" s="30" t="str">
        <x:v>7ea3037e8936534685c718a48d34e90fd52fbd1c0dabf49a47691a677ad4e4e3</x:v>
      </x:c>
      <x:c r="L808" s="30" t="n">
        <x:v>529.61</x:v>
      </x:c>
      <x:c r="M808" s="30" t="str">
        <x:v>{"completion_tokens": 6, "prompt_tokens": 570, "total_tokens": 576, "completion_tokens_details": null, "prompt_tokens_details": {"audio_tokens": null, "cached_tokens": 512}, "prompt_cache_hit_tokens": 512, "prompt_cache_miss_tokens": 58}</x:v>
      </x:c>
      <x:c r="N808" s="30" t="str">
        <x:v>hallucination</x:v>
      </x:c>
      <x:c r="O808" s="30" t="str">
        <x:v>The gold answer states that Sharon may explore genres with strong emotional storytelling, which is a general characteristic rather than specific genres. The model answer provides specific genres (alternative rock or modern country) that are not mentioned or supported by the gold answer, making them unsupported concrete claims.</x:v>
      </x:c>
      <x:c r="P808" s="30" t="str">
        <x:v>LongCat-2.0</x:v>
      </x:c>
      <x:c r="Q808" s="30" t="str">
        <x:v>LongCat-2.0</x:v>
      </x:c>
      <x:c r="R808" s="30" t="n">
        <x:v>2350.26</x:v>
      </x:c>
      <x:c r="S808" s="30" t="str">
        <x:v>{"completion_tokens": 67, "prompt_tokens": 149,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09">
      <x:c r="A809" s="30" t="str">
        <x:v>memos_medium:2218</x:v>
      </x:c>
      <x:c r="B809" s="30" t="str">
        <x:v>medium</x:v>
      </x:c>
      <x:c r="C809" s="30" t="str">
        <x:v>Generalization &amp; Application</x:v>
      </x:c>
      <x:c r="D809" s="30" t="n">
        <x:v>1</x:v>
      </x:c>
      <x:c r="E809" s="30" t="str">
        <x:v>What new sport might Sharon Brown consider incorporating into her academy curriculum after Nov 03, 2034?</x:v>
      </x:c>
      <x:c r="F809" s="30" t="str">
        <x:v>Sharon might consider incorporating rugby.</x:v>
      </x:c>
      <x:c r="G809" s="30" t="str">
        <x:v>Cricket</x:v>
      </x:c>
      <x:c r="H809" s="30" t="str">
        <x:v>deepseek-v4-flash</x:v>
      </x:c>
      <x:c r="I809" s="30" t="str">
        <x:v>deepseek-v4-flash</x:v>
      </x:c>
      <x:c r="J809" s="30" t="str">
        <x:v>33eacaf1acc273e4930385e437324332e16911762da0ed0262d2ac97f5e103a6</x:v>
      </x:c>
      <x:c r="K809" s="30" t="str">
        <x:v>21cbc34b26bb5d00be1db2e22daa1a0ff410ebf9caccc0f1e06d11690525982e</x:v>
      </x:c>
      <x:c r="L809" s="30" t="n">
        <x:v>504.63</x:v>
      </x:c>
      <x:c r="M809" s="30" t="str">
        <x:v>{"completion_tokens": 2, "prompt_tokens": 612, "total_tokens": 614, "completion_tokens_details": null, "prompt_tokens_details": {"audio_tokens": null, "cached_tokens": 512}, "prompt_cache_hit_tokens": 512, "prompt_cache_miss_tokens": 100}</x:v>
      </x:c>
      <x:c r="N809" s="30" t="str">
        <x:v>hallucination</x:v>
      </x:c>
      <x:c r="O809" s="30" t="str">
        <x:v>The model answer 'Cricket' is a concrete answer that contradicts the gold answer 'rugby'.</x:v>
      </x:c>
      <x:c r="P809" s="30" t="str">
        <x:v>LongCat-2.0</x:v>
      </x:c>
      <x:c r="Q809" s="30" t="str">
        <x:v>LongCat-2.0</x:v>
      </x:c>
      <x:c r="R809" s="30" t="n">
        <x:v>2468.37</x:v>
      </x:c>
      <x:c r="S809" s="30" t="str">
        <x:v>{"completion_tokens": 33, "prompt_tokens": 151, "total_tokens": 184,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10">
      <x:c r="A810" s="30" t="str">
        <x:v>memos_medium:2218</x:v>
      </x:c>
      <x:c r="B810" s="30" t="str">
        <x:v>medium</x:v>
      </x:c>
      <x:c r="C810" s="30" t="str">
        <x:v>Generalization &amp; Application</x:v>
      </x:c>
      <x:c r="D810" s="30" t="n">
        <x:v>2</x:v>
      </x:c>
      <x:c r="E810" s="30" t="str">
        <x:v>What new sport might Sharon Brown consider incorporating into her academy curriculum after Nov 03, 2034?</x:v>
      </x:c>
      <x:c r="F810" s="30" t="str">
        <x:v>Sharon might consider incorporating rugby.</x:v>
      </x:c>
      <x:c r="G810" s="30" t="str">
        <x:v>Cricket</x:v>
      </x:c>
      <x:c r="H810" s="30" t="str">
        <x:v>deepseek-v4-flash</x:v>
      </x:c>
      <x:c r="I810" s="30" t="str">
        <x:v>deepseek-v4-flash</x:v>
      </x:c>
      <x:c r="J810" s="30" t="str">
        <x:v>33eacaf1acc273e4930385e437324332e16911762da0ed0262d2ac97f5e103a6</x:v>
      </x:c>
      <x:c r="K810" s="30" t="str">
        <x:v>21cbc34b26bb5d00be1db2e22daa1a0ff410ebf9caccc0f1e06d11690525982e</x:v>
      </x:c>
      <x:c r="L810" s="30" t="n">
        <x:v>562.51</x:v>
      </x:c>
      <x:c r="M810" s="30" t="str">
        <x:v>{"completion_tokens": 2, "prompt_tokens": 612, "total_tokens": 614, "completion_tokens_details": null, "prompt_tokens_details": {"audio_tokens": null, "cached_tokens": 512}, "prompt_cache_hit_tokens": 512, "prompt_cache_miss_tokens": 100}</x:v>
      </x:c>
      <x:c r="N810" s="30" t="str">
        <x:v>hallucination</x:v>
      </x:c>
      <x:c r="O810" s="30" t="str">
        <x:v>The gold answer is rugby, but the model answer is cricket, which is a different sport and contradicts the gold answer.</x:v>
      </x:c>
      <x:c r="P810" s="30" t="str">
        <x:v>LongCat-2.0</x:v>
      </x:c>
      <x:c r="Q810" s="30" t="str">
        <x:v>LongCat-2.0</x:v>
      </x:c>
      <x:c r="R810" s="30" t="n">
        <x:v>2615.87</x:v>
      </x:c>
      <x:c r="S810" s="30" t="str">
        <x:v>{"completion_tokens": 37, "prompt_tokens": 151, "total_tokens": 188,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11">
      <x:c r="A811" s="30" t="str">
        <x:v>memos_medium:2218</x:v>
      </x:c>
      <x:c r="B811" s="30" t="str">
        <x:v>medium</x:v>
      </x:c>
      <x:c r="C811" s="30" t="str">
        <x:v>Generalization &amp; Application</x:v>
      </x:c>
      <x:c r="D811" s="30" t="n">
        <x:v>3</x:v>
      </x:c>
      <x:c r="E811" s="30" t="str">
        <x:v>What new sport might Sharon Brown consider incorporating into her academy curriculum after Nov 03, 2034?</x:v>
      </x:c>
      <x:c r="F811" s="30" t="str">
        <x:v>Sharon might consider incorporating rugby.</x:v>
      </x:c>
      <x:c r="G811" s="30" t="str">
        <x:v>Cricket</x:v>
      </x:c>
      <x:c r="H811" s="30" t="str">
        <x:v>deepseek-v4-flash</x:v>
      </x:c>
      <x:c r="I811" s="30" t="str">
        <x:v>deepseek-v4-flash</x:v>
      </x:c>
      <x:c r="J811" s="30" t="str">
        <x:v>33eacaf1acc273e4930385e437324332e16911762da0ed0262d2ac97f5e103a6</x:v>
      </x:c>
      <x:c r="K811" s="30" t="str">
        <x:v>21cbc34b26bb5d00be1db2e22daa1a0ff410ebf9caccc0f1e06d11690525982e</x:v>
      </x:c>
      <x:c r="L811" s="30" t="n">
        <x:v>708.06</x:v>
      </x:c>
      <x:c r="M811" s="30" t="str">
        <x:v>{"completion_tokens": 2, "prompt_tokens": 612, "total_tokens": 614, "completion_tokens_details": null, "prompt_tokens_details": {"audio_tokens": null, "cached_tokens": 512}, "prompt_cache_hit_tokens": 512, "prompt_cache_miss_tokens": 100}</x:v>
      </x:c>
      <x:c r="N811" s="30" t="str">
        <x:v>hallucination</x:v>
      </x:c>
      <x:c r="O811" s="30" t="str">
        <x:v>The model answer 'Cricket' is a concrete answer that contradicts the gold answer 'rugby'.</x:v>
      </x:c>
      <x:c r="P811" s="30" t="str">
        <x:v>LongCat-2.0</x:v>
      </x:c>
      <x:c r="Q811" s="30" t="str">
        <x:v>LongCat-2.0</x:v>
      </x:c>
      <x:c r="R811" s="30" t="n">
        <x:v>2106.27</x:v>
      </x:c>
      <x:c r="S811" s="30" t="str">
        <x:v>{"completion_tokens": 33, "prompt_tokens": 151, "total_tokens": 184,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2">
      <x:c r="A812" s="30" t="str">
        <x:v>memos_medium:2227</x:v>
      </x:c>
      <x:c r="B812" s="30" t="str">
        <x:v>medium</x:v>
      </x:c>
      <x:c r="C812" s="30" t="str">
        <x:v>Generalization &amp; Application</x:v>
      </x:c>
      <x:c r="D812" s="30" t="n">
        <x:v>1</x:v>
      </x:c>
      <x:c r="E812" s="30" t="str">
        <x:v>What type of dish might Sharon Brown enjoy experimenting with, given her interest in homemade elements and balanced diets as of October 12, 2035?</x:v>
      </x:c>
      <x:c r="F812" s="30" t="str">
        <x:v>Homemade vegetable stir-fry.</x:v>
      </x:c>
      <x:c r="G812" s="30" t="str">
        <x:v>Caesar salad with dressing.</x:v>
      </x:c>
      <x:c r="H812" s="30" t="str">
        <x:v>deepseek-v4-flash</x:v>
      </x:c>
      <x:c r="I812" s="30" t="str">
        <x:v>deepseek-v4-flash</x:v>
      </x:c>
      <x:c r="J812" s="30" t="str">
        <x:v>300468ef8e754ae2346c9ff6e09da355d0421e0fb3c2452e24729fe6ab1ad43a</x:v>
      </x:c>
      <x:c r="K812" s="30" t="str">
        <x:v>7a8fedc2f3aa76fedbefeef8a5d9abd277c724ecc13b432a0c438d887a1f961d</x:v>
      </x:c>
      <x:c r="L812" s="30" t="n">
        <x:v>715.55</x:v>
      </x:c>
      <x:c r="M812" s="30" t="str">
        <x:v>{"completion_tokens": 6, "prompt_tokens": 606, "total_tokens": 612, "completion_tokens_details": null, "prompt_tokens_details": {"audio_tokens": null, "cached_tokens": 512}, "prompt_cache_hit_tokens": 512, "prompt_cache_miss_tokens": 94}</x:v>
      </x:c>
      <x:c r="N812" s="30" t="str">
        <x:v>hallucination</x:v>
      </x:c>
      <x:c r="O812" s="30" t="str">
        <x:v>The model answer 'Caesar salad with dressing' is a concrete dish that differs from the gold answer 'Homemade vegetable stir-fry.' While both are dishes, the model's answer contradicts the specific gold answer rather than semantically matching it, making it a hallucination.</x:v>
      </x:c>
      <x:c r="P812" s="30" t="str">
        <x:v>LongCat-2.0</x:v>
      </x:c>
      <x:c r="Q812" s="30" t="str">
        <x:v>LongCat-2.0</x:v>
      </x:c>
      <x:c r="R812" s="30" t="n">
        <x:v>2474.74</x:v>
      </x:c>
      <x:c r="S812" s="30" t="str">
        <x:v>{"completion_tokens": 68, "prompt_tokens": 163,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3">
      <x:c r="A813" s="30" t="str">
        <x:v>memos_medium:2227</x:v>
      </x:c>
      <x:c r="B813" s="30" t="str">
        <x:v>medium</x:v>
      </x:c>
      <x:c r="C813" s="30" t="str">
        <x:v>Generalization &amp; Application</x:v>
      </x:c>
      <x:c r="D813" s="30" t="n">
        <x:v>2</x:v>
      </x:c>
      <x:c r="E813" s="30" t="str">
        <x:v>What type of dish might Sharon Brown enjoy experimenting with, given her interest in homemade elements and balanced diets as of October 12, 2035?</x:v>
      </x:c>
      <x:c r="F813" s="30" t="str">
        <x:v>Homemade vegetable stir-fry.</x:v>
      </x:c>
      <x:c r="G813" s="30" t="str">
        <x:v>Caesar salad with dressing.</x:v>
      </x:c>
      <x:c r="H813" s="30" t="str">
        <x:v>deepseek-v4-flash</x:v>
      </x:c>
      <x:c r="I813" s="30" t="str">
        <x:v>deepseek-v4-flash</x:v>
      </x:c>
      <x:c r="J813" s="30" t="str">
        <x:v>300468ef8e754ae2346c9ff6e09da355d0421e0fb3c2452e24729fe6ab1ad43a</x:v>
      </x:c>
      <x:c r="K813" s="30" t="str">
        <x:v>7a8fedc2f3aa76fedbefeef8a5d9abd277c724ecc13b432a0c438d887a1f961d</x:v>
      </x:c>
      <x:c r="L813" s="30" t="n">
        <x:v>562.02</x:v>
      </x:c>
      <x:c r="M813" s="30" t="str">
        <x:v>{"completion_tokens": 6, "prompt_tokens": 606, "total_tokens": 612, "completion_tokens_details": null, "prompt_tokens_details": {"audio_tokens": null, "cached_tokens": 512}, "prompt_cache_hit_tokens": 512, "prompt_cache_miss_tokens": 94}</x:v>
      </x:c>
      <x:c r="N813" s="30" t="str">
        <x:v>hallucination</x:v>
      </x:c>
      <x:c r="O813" s="30" t="str">
        <x:v>The model answer 'Caesar salad with dressing' is a concrete dish that differs from the gold answer 'Homemade vegetable stir-fry.' While both are dishes, the model's answer contradicts the specific gold answer rather than semantically matching it, making it a hallucination.</x:v>
      </x:c>
      <x:c r="P813" s="30" t="str">
        <x:v>LongCat-2.0</x:v>
      </x:c>
      <x:c r="Q813" s="30" t="str">
        <x:v>LongCat-2.0</x:v>
      </x:c>
      <x:c r="R813" s="30" t="n">
        <x:v>2673.81</x:v>
      </x:c>
      <x:c r="S813" s="30" t="str">
        <x:v>{"completion_tokens": 68, "prompt_tokens": 163, "total_tokens": 231,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14">
      <x:c r="A814" s="30" t="str">
        <x:v>memos_medium:2227</x:v>
      </x:c>
      <x:c r="B814" s="30" t="str">
        <x:v>medium</x:v>
      </x:c>
      <x:c r="C814" s="30" t="str">
        <x:v>Generalization &amp; Application</x:v>
      </x:c>
      <x:c r="D814" s="30" t="n">
        <x:v>3</x:v>
      </x:c>
      <x:c r="E814" s="30" t="str">
        <x:v>What type of dish might Sharon Brown enjoy experimenting with, given her interest in homemade elements and balanced diets as of October 12, 2035?</x:v>
      </x:c>
      <x:c r="F814" s="30" t="str">
        <x:v>Homemade vegetable stir-fry.</x:v>
      </x:c>
      <x:c r="G814" s="30" t="str">
        <x:v>Caesar salad with dressing.</x:v>
      </x:c>
      <x:c r="H814" s="30" t="str">
        <x:v>deepseek-v4-flash</x:v>
      </x:c>
      <x:c r="I814" s="30" t="str">
        <x:v>deepseek-v4-flash</x:v>
      </x:c>
      <x:c r="J814" s="30" t="str">
        <x:v>300468ef8e754ae2346c9ff6e09da355d0421e0fb3c2452e24729fe6ab1ad43a</x:v>
      </x:c>
      <x:c r="K814" s="30" t="str">
        <x:v>7a8fedc2f3aa76fedbefeef8a5d9abd277c724ecc13b432a0c438d887a1f961d</x:v>
      </x:c>
      <x:c r="L814" s="30" t="n">
        <x:v>733.64</x:v>
      </x:c>
      <x:c r="M814" s="30" t="str">
        <x:v>{"completion_tokens": 6, "prompt_tokens": 606, "total_tokens": 612, "completion_tokens_details": null, "prompt_tokens_details": {"audio_tokens": null, "cached_tokens": 512}, "prompt_cache_hit_tokens": 512, "prompt_cache_miss_tokens": 94}</x:v>
      </x:c>
      <x:c r="N814" s="30" t="str">
        <x:v>hallucination</x:v>
      </x:c>
      <x:c r="O814" s="30" t="str">
        <x:v>The model answer 'Caesar salad with dressing' is a concrete dish that contradicts the gold answer 'Homemade vegetable stir-fry'. While both are dishes, they are different specific items, and the model's answer does not semantically match the gold answer.</x:v>
      </x:c>
      <x:c r="P814" s="30" t="str">
        <x:v>LongCat-2.0</x:v>
      </x:c>
      <x:c r="Q814" s="30" t="str">
        <x:v>LongCat-2.0</x:v>
      </x:c>
      <x:c r="R814" s="30" t="n">
        <x:v>3311.67</x:v>
      </x:c>
      <x:c r="S814" s="30" t="str">
        <x:v>{"completion_tokens": 65, "prompt_tokens": 163,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5">
      <x:c r="A815" s="30" t="str">
        <x:v>memos_medium:2232</x:v>
      </x:c>
      <x:c r="B815" s="30" t="str">
        <x:v>medium</x:v>
      </x:c>
      <x:c r="C815" s="30" t="str">
        <x:v>Memory Conflict</x:v>
      </x:c>
      <x:c r="D815" s="30" t="n">
        <x:v>1</x:v>
      </x:c>
      <x:c r="E815" s="30" t="str">
        <x:v>Did Sharon Brown express a lack of interest in joining a bowling league on Feb 04, 2036?</x:v>
      </x:c>
      <x:c r="F815" s="30" t="str">
        <x:v>No, she expressed excitement about joining a competitive bowling league.</x:v>
      </x:c>
      <x:c r="G815" s="30" t="str">
        <x:v>No.</x:v>
      </x:c>
      <x:c r="H815" s="30" t="str">
        <x:v>deepseek-v4-flash</x:v>
      </x:c>
      <x:c r="I815" s="30" t="str">
        <x:v>deepseek-v4-flash</x:v>
      </x:c>
      <x:c r="J815" s="30" t="str">
        <x:v>f9d9452b1f6eb443d35bf6759928b9778450a47c9441bc80d18b9a4b18d27e2b</x:v>
      </x:c>
      <x:c r="K815" s="30" t="str">
        <x:v>4e6a2e2241931d43325c242525ffbc612efc928c5348114d5a8656925440b09f</x:v>
      </x:c>
      <x:c r="L815" s="30" t="n">
        <x:v>662.74</x:v>
      </x:c>
      <x:c r="M815" s="30" t="str">
        <x:v>{"completion_tokens": 2, "prompt_tokens": 538, "total_tokens": 540, "completion_tokens_details": null, "prompt_tokens_details": {"audio_tokens": null, "cached_tokens": 512}, "prompt_cache_hit_tokens": 512, "prompt_cache_miss_tokens": 26}</x:v>
      </x:c>
      <x:c r="N815" s="30" t="str">
        <x:v>omission</x:v>
      </x:c>
      <x:c r="O815" s="30" t="str">
        <x:v>The model answer 'No' correctly indicates that Sharon Brown did not express a lack of interest, but it omits the key detail from the gold answer that she expressed excitement about joining a competitive bowling league. While it does not make a false claim, it provides only an incomplete subset of the information.</x:v>
      </x:c>
      <x:c r="P815" s="30" t="str">
        <x:v>LongCat-2.0</x:v>
      </x:c>
      <x:c r="Q815" s="30" t="str">
        <x:v>LongCat-2.0</x:v>
      </x:c>
      <x:c r="R815" s="30" t="n">
        <x:v>2628.12</x:v>
      </x:c>
      <x:c r="S815" s="30" t="str">
        <x:v>{"completion_tokens": 72, "prompt_tokens": 156,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6">
      <x:c r="A816" s="30" t="str">
        <x:v>memos_medium:2232</x:v>
      </x:c>
      <x:c r="B816" s="30" t="str">
        <x:v>medium</x:v>
      </x:c>
      <x:c r="C816" s="30" t="str">
        <x:v>Memory Conflict</x:v>
      </x:c>
      <x:c r="D816" s="30" t="n">
        <x:v>2</x:v>
      </x:c>
      <x:c r="E816" s="30" t="str">
        <x:v>Did Sharon Brown express a lack of interest in joining a bowling league on Feb 04, 2036?</x:v>
      </x:c>
      <x:c r="F816" s="30" t="str">
        <x:v>No, she expressed excitement about joining a competitive bowling league.</x:v>
      </x:c>
      <x:c r="G816" s="30" t="str">
        <x:v>No.</x:v>
      </x:c>
      <x:c r="H816" s="30" t="str">
        <x:v>deepseek-v4-flash</x:v>
      </x:c>
      <x:c r="I816" s="30" t="str">
        <x:v>deepseek-v4-flash</x:v>
      </x:c>
      <x:c r="J816" s="30" t="str">
        <x:v>f9d9452b1f6eb443d35bf6759928b9778450a47c9441bc80d18b9a4b18d27e2b</x:v>
      </x:c>
      <x:c r="K816" s="30" t="str">
        <x:v>4e6a2e2241931d43325c242525ffbc612efc928c5348114d5a8656925440b09f</x:v>
      </x:c>
      <x:c r="L816" s="30" t="n">
        <x:v>507.28</x:v>
      </x:c>
      <x:c r="M816" s="30" t="str">
        <x:v>{"completion_tokens": 2, "prompt_tokens": 538, "total_tokens": 540, "completion_tokens_details": null, "prompt_tokens_details": {"audio_tokens": null, "cached_tokens": 512}, "prompt_cache_hit_tokens": 512, "prompt_cache_miss_tokens": 26}</x:v>
      </x:c>
      <x:c r="N816" s="30" t="str">
        <x:v>omission</x:v>
      </x:c>
      <x:c r="O816"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P816" s="30" t="str">
        <x:v>LongCat-2.0</x:v>
      </x:c>
      <x:c r="Q816" s="30" t="str">
        <x:v>LongCat-2.0</x:v>
      </x:c>
      <x:c r="R816" s="30" t="n">
        <x:v>2663.14</x:v>
      </x:c>
      <x:c r="S816" s="30" t="str">
        <x:v>{"completion_tokens": 64, "prompt_tokens": 156,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7">
      <x:c r="A817" s="30" t="str">
        <x:v>memos_medium:2232</x:v>
      </x:c>
      <x:c r="B817" s="30" t="str">
        <x:v>medium</x:v>
      </x:c>
      <x:c r="C817" s="30" t="str">
        <x:v>Memory Conflict</x:v>
      </x:c>
      <x:c r="D817" s="30" t="n">
        <x:v>3</x:v>
      </x:c>
      <x:c r="E817" s="30" t="str">
        <x:v>Did Sharon Brown express a lack of interest in joining a bowling league on Feb 04, 2036?</x:v>
      </x:c>
      <x:c r="F817" s="30" t="str">
        <x:v>No, she expressed excitement about joining a competitive bowling league.</x:v>
      </x:c>
      <x:c r="G817" s="30" t="str">
        <x:v>No.</x:v>
      </x:c>
      <x:c r="H817" s="30" t="str">
        <x:v>deepseek-v4-flash</x:v>
      </x:c>
      <x:c r="I817" s="30" t="str">
        <x:v>deepseek-v4-flash</x:v>
      </x:c>
      <x:c r="J817" s="30" t="str">
        <x:v>f9d9452b1f6eb443d35bf6759928b9778450a47c9441bc80d18b9a4b18d27e2b</x:v>
      </x:c>
      <x:c r="K817" s="30" t="str">
        <x:v>4e6a2e2241931d43325c242525ffbc612efc928c5348114d5a8656925440b09f</x:v>
      </x:c>
      <x:c r="L817" s="30" t="n">
        <x:v>663.1</x:v>
      </x:c>
      <x:c r="M817" s="30" t="str">
        <x:v>{"completion_tokens": 2, "prompt_tokens": 538, "total_tokens": 540, "completion_tokens_details": null, "prompt_tokens_details": {"audio_tokens": null, "cached_tokens": 512}, "prompt_cache_hit_tokens": 512, "prompt_cache_miss_tokens": 26}</x:v>
      </x:c>
      <x:c r="N817" s="30" t="str">
        <x:v>omission</x:v>
      </x:c>
      <x:c r="O817" s="30" t="str">
        <x:v>The model answer 'No' correctly indicates that Sharon Brown did not express a lack of interest, but it omits the key detail from the gold answer that she expressed excitement about joining a competitive bowling league. This makes it an incomplete subset of the gold answer.</x:v>
      </x:c>
      <x:c r="P817" s="30" t="str">
        <x:v>LongCat-2.0</x:v>
      </x:c>
      <x:c r="Q817" s="30" t="str">
        <x:v>LongCat-2.0</x:v>
      </x:c>
      <x:c r="R817" s="30" t="n">
        <x:v>2464.49</x:v>
      </x:c>
      <x:c r="S817" s="30" t="str">
        <x:v>{"completion_tokens": 64, "prompt_tokens": 156,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8">
      <x:c r="A818" s="30" t="str">
        <x:v>memos_medium:2236</x:v>
      </x:c>
      <x:c r="B818" s="30" t="str">
        <x:v>medium</x:v>
      </x:c>
      <x:c r="C818" s="30" t="str">
        <x:v>Dynamic Update</x:v>
      </x:c>
      <x:c r="D818" s="30" t="n">
        <x:v>1</x:v>
      </x:c>
      <x:c r="E818" s="30" t="str">
        <x:v>How has Sharon Brown's focus on personal activities changed from Sep 20, 2035 to Sep 01, 2036?</x:v>
      </x:c>
      <x:c r="F818" s="30" t="str">
        <x:v>From health and family to family, hobbies, and new experiences.</x:v>
      </x:c>
      <x:c r="G818" s="30" t="str">
        <x:v>No change in focus.</x:v>
      </x:c>
      <x:c r="H818" s="30" t="str">
        <x:v>deepseek-v4-flash</x:v>
      </x:c>
      <x:c r="I818" s="30" t="str">
        <x:v>deepseek-v4-flash</x:v>
      </x:c>
      <x:c r="J818" s="30" t="str">
        <x:v>f72337aad9b026749442b94fb7ad6bf8dee2b5d29b492db56df673f0f7f44bc1</x:v>
      </x:c>
      <x:c r="K818" s="30" t="str">
        <x:v>7d90fe4f2bd79ef74ac8ceb7bafc3c25d8f2a5abaaf5632b54bb1730e7ffee99</x:v>
      </x:c>
      <x:c r="L818" s="30" t="n">
        <x:v>839.96</x:v>
      </x:c>
      <x:c r="M818" s="30" t="str">
        <x:v>{"completion_tokens": 5, "prompt_tokens": 586, "total_tokens": 591, "completion_tokens_details": null, "prompt_tokens_details": {"audio_tokens": null, "cached_tokens": 512}, "prompt_cache_hit_tokens": 512, "prompt_cache_miss_tokens": 74}</x:v>
      </x:c>
      <x:c r="N818" s="30" t="str">
        <x:v>hallucination</x:v>
      </x:c>
      <x:c r="O818"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P818" s="30" t="str">
        <x:v>LongCat-2.0</x:v>
      </x:c>
      <x:c r="Q818" s="30" t="str">
        <x:v>LongCat-2.0</x:v>
      </x:c>
      <x:c r="R818" s="30" t="n">
        <x:v>2864.96</x:v>
      </x:c>
      <x:c r="S818" s="30" t="str">
        <x:v>{"completion_tokens": 68, "prompt_tokens": 169,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19">
      <x:c r="A819" s="30" t="str">
        <x:v>memos_medium:2236</x:v>
      </x:c>
      <x:c r="B819" s="30" t="str">
        <x:v>medium</x:v>
      </x:c>
      <x:c r="C819" s="30" t="str">
        <x:v>Dynamic Update</x:v>
      </x:c>
      <x:c r="D819" s="30" t="n">
        <x:v>2</x:v>
      </x:c>
      <x:c r="E819" s="30" t="str">
        <x:v>How has Sharon Brown's focus on personal activities changed from Sep 20, 2035 to Sep 01, 2036?</x:v>
      </x:c>
      <x:c r="F819" s="30" t="str">
        <x:v>From health and family to family, hobbies, and new experiences.</x:v>
      </x:c>
      <x:c r="G819" s="30" t="str">
        <x:v>No change in focus.</x:v>
      </x:c>
      <x:c r="H819" s="30" t="str">
        <x:v>deepseek-v4-flash</x:v>
      </x:c>
      <x:c r="I819" s="30" t="str">
        <x:v>deepseek-v4-flash</x:v>
      </x:c>
      <x:c r="J819" s="30" t="str">
        <x:v>f72337aad9b026749442b94fb7ad6bf8dee2b5d29b492db56df673f0f7f44bc1</x:v>
      </x:c>
      <x:c r="K819" s="30" t="str">
        <x:v>7d90fe4f2bd79ef74ac8ceb7bafc3c25d8f2a5abaaf5632b54bb1730e7ffee99</x:v>
      </x:c>
      <x:c r="L819" s="30" t="n">
        <x:v>788.62</x:v>
      </x:c>
      <x:c r="M819" s="30" t="str">
        <x:v>{"completion_tokens": 5, "prompt_tokens": 586, "total_tokens": 591, "completion_tokens_details": null, "prompt_tokens_details": {"audio_tokens": null, "cached_tokens": 512}, "prompt_cache_hit_tokens": 512, "prompt_cache_miss_tokens": 74}</x:v>
      </x:c>
      <x:c r="N819" s="30" t="str">
        <x:v>hallucination</x:v>
      </x:c>
      <x:c r="O819"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P819" s="30" t="str">
        <x:v>LongCat-2.0</x:v>
      </x:c>
      <x:c r="Q819" s="30" t="str">
        <x:v>LongCat-2.0</x:v>
      </x:c>
      <x:c r="R819" s="30" t="n">
        <x:v>2703.77</x:v>
      </x:c>
      <x:c r="S819" s="30" t="str">
        <x:v>{"completion_tokens": 68, "prompt_tokens": 169,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0">
      <x:c r="A820" s="30" t="str">
        <x:v>memos_medium:2236</x:v>
      </x:c>
      <x:c r="B820" s="30" t="str">
        <x:v>medium</x:v>
      </x:c>
      <x:c r="C820" s="30" t="str">
        <x:v>Dynamic Update</x:v>
      </x:c>
      <x:c r="D820" s="30" t="n">
        <x:v>3</x:v>
      </x:c>
      <x:c r="E820" s="30" t="str">
        <x:v>How has Sharon Brown's focus on personal activities changed from Sep 20, 2035 to Sep 01, 2036?</x:v>
      </x:c>
      <x:c r="F820" s="30" t="str">
        <x:v>From health and family to family, hobbies, and new experiences.</x:v>
      </x:c>
      <x:c r="G820" s="30" t="str">
        <x:v>No change in focus.</x:v>
      </x:c>
      <x:c r="H820" s="30" t="str">
        <x:v>deepseek-v4-flash</x:v>
      </x:c>
      <x:c r="I820" s="30" t="str">
        <x:v>deepseek-v4-flash</x:v>
      </x:c>
      <x:c r="J820" s="30" t="str">
        <x:v>f72337aad9b026749442b94fb7ad6bf8dee2b5d29b492db56df673f0f7f44bc1</x:v>
      </x:c>
      <x:c r="K820" s="30" t="str">
        <x:v>7d90fe4f2bd79ef74ac8ceb7bafc3c25d8f2a5abaaf5632b54bb1730e7ffee99</x:v>
      </x:c>
      <x:c r="L820" s="30" t="n">
        <x:v>697.86</x:v>
      </x:c>
      <x:c r="M820" s="30" t="str">
        <x:v>{"completion_tokens": 5, "prompt_tokens": 586, "total_tokens": 591, "completion_tokens_details": null, "prompt_tokens_details": {"audio_tokens": null, "cached_tokens": 512}, "prompt_cache_hit_tokens": 512, "prompt_cache_miss_tokens": 74}</x:v>
      </x:c>
      <x:c r="N820" s="30" t="str">
        <x:v>hallucination</x:v>
      </x:c>
      <x:c r="O820" s="30" t="str">
        <x:v>The gold answer states that Sharon Brown's focus changed from health and family to family, hobbies, and new experiences, indicating a clear shift in personal activities. The model answer claims 'No change in focus,' which directly contradicts the gold answer and constitutes a concrete false claim.</x:v>
      </x:c>
      <x:c r="P820" s="30" t="str">
        <x:v>LongCat-2.0</x:v>
      </x:c>
      <x:c r="Q820" s="30" t="str">
        <x:v>LongCat-2.0</x:v>
      </x:c>
      <x:c r="R820" s="30" t="n">
        <x:v>2599.91</x:v>
      </x:c>
      <x:c r="S820" s="30" t="str">
        <x:v>{"completion_tokens": 68, "prompt_tokens": 169,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21">
      <x:c r="A821" s="30" t="str">
        <x:v>memos_medium:2255</x:v>
      </x:c>
      <x:c r="B821" s="30" t="str">
        <x:v>medium</x:v>
      </x:c>
      <x:c r="C821" s="30" t="str">
        <x:v>Memory Conflict</x:v>
      </x:c>
      <x:c r="D821" s="30" t="n">
        <x:v>1</x:v>
      </x:c>
      <x:c r="E821" s="30" t="str">
        <x:v>Did Williams express no interest in the historical significance of Persian cats on April 10, 2026?</x:v>
      </x:c>
      <x:c r="F821" s="30" t="str">
        <x:v>Williams expressed a deepened admiration for their historical significance.</x:v>
      </x:c>
      <x:c r="G821" s="30" t="str">
        <x:v>No</x:v>
      </x:c>
      <x:c r="H821" s="30" t="str">
        <x:v>deepseek-v4-flash</x:v>
      </x:c>
      <x:c r="I821" s="30" t="str">
        <x:v>deepseek-v4-flash</x:v>
      </x:c>
      <x:c r="J821" s="30" t="str">
        <x:v>3dd1bb15c683d46fd6943727b86820d01dc78312c798be5269f570dff7f71888</x:v>
      </x:c>
      <x:c r="K821" s="30" t="str">
        <x:v>723e7a6c307c9898565d19831e60dfdccfc469875dc3c509017047c965b21d83</x:v>
      </x:c>
      <x:c r="L821" s="30" t="n">
        <x:v>566.02</x:v>
      </x:c>
      <x:c r="M821" s="30" t="str">
        <x:v>{"completion_tokens": 1, "prompt_tokens": 582, "total_tokens": 583, "completion_tokens_details": null, "prompt_tokens_details": {"audio_tokens": null, "cached_tokens": 512}, "prompt_cache_hit_tokens": 512, "prompt_cache_miss_tokens": 70}</x:v>
      </x:c>
      <x:c r="N821" s="30" t="str">
        <x:v>hallucination</x:v>
      </x:c>
      <x:c r="O821" s="30" t="str">
        <x:v>The gold answer states that Williams expressed a deepened admiration for the historical significance of Persian cats, meaning he did express interest. The model answer 'No' directly contradicts this by claiming he expressed no interest, which is a concrete false claim.</x:v>
      </x:c>
      <x:c r="P821" s="30" t="str">
        <x:v>LongCat-2.0</x:v>
      </x:c>
      <x:c r="Q821" s="30" t="str">
        <x:v>LongCat-2.0</x:v>
      </x:c>
      <x:c r="R821" s="30" t="n">
        <x:v>2437.62</x:v>
      </x:c>
      <x:c r="S821" s="30" t="str">
        <x:v>{"completion_tokens": 61, "prompt_tokens": 154,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2">
      <x:c r="A822" s="30" t="str">
        <x:v>memos_medium:2255</x:v>
      </x:c>
      <x:c r="B822" s="30" t="str">
        <x:v>medium</x:v>
      </x:c>
      <x:c r="C822" s="30" t="str">
        <x:v>Memory Conflict</x:v>
      </x:c>
      <x:c r="D822" s="30" t="n">
        <x:v>2</x:v>
      </x:c>
      <x:c r="E822" s="30" t="str">
        <x:v>Did Williams express no interest in the historical significance of Persian cats on April 10, 2026?</x:v>
      </x:c>
      <x:c r="F822" s="30" t="str">
        <x:v>Williams expressed a deepened admiration for their historical significance.</x:v>
      </x:c>
      <x:c r="G822" s="30" t="str">
        <x:v>No</x:v>
      </x:c>
      <x:c r="H822" s="30" t="str">
        <x:v>deepseek-v4-flash</x:v>
      </x:c>
      <x:c r="I822" s="30" t="str">
        <x:v>deepseek-v4-flash</x:v>
      </x:c>
      <x:c r="J822" s="30" t="str">
        <x:v>3dd1bb15c683d46fd6943727b86820d01dc78312c798be5269f570dff7f71888</x:v>
      </x:c>
      <x:c r="K822" s="30" t="str">
        <x:v>723e7a6c307c9898565d19831e60dfdccfc469875dc3c509017047c965b21d83</x:v>
      </x:c>
      <x:c r="L822" s="30" t="n">
        <x:v>667.69</x:v>
      </x:c>
      <x:c r="M822" s="30" t="str">
        <x:v>{"completion_tokens": 1, "prompt_tokens": 582, "total_tokens": 583, "completion_tokens_details": null, "prompt_tokens_details": {"audio_tokens": null, "cached_tokens": 512}, "prompt_cache_hit_tokens": 512, "prompt_cache_miss_tokens": 70}</x:v>
      </x:c>
      <x:c r="N822" s="30" t="str">
        <x:v>hallucination</x:v>
      </x:c>
      <x:c r="O822" s="30" t="str">
        <x:v>The gold answer states that Williams expressed a deepened admiration for the historical significance of Persian cats, which directly contradicts the model's answer 'No' (which claims Williams expressed no interest). The model's answer is a concrete claim that contradicts the gold answer, making it a hallucination.</x:v>
      </x:c>
      <x:c r="P822" s="30" t="str">
        <x:v>LongCat-2.0</x:v>
      </x:c>
      <x:c r="Q822" s="30" t="str">
        <x:v>LongCat-2.0</x:v>
      </x:c>
      <x:c r="R822" s="30" t="n">
        <x:v>3615.73</x:v>
      </x:c>
      <x:c r="S822" s="30" t="str">
        <x:v>{"completion_tokens": 70, "prompt_tokens": 154,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3">
      <x:c r="A823" s="30" t="str">
        <x:v>memos_medium:2255</x:v>
      </x:c>
      <x:c r="B823" s="30" t="str">
        <x:v>medium</x:v>
      </x:c>
      <x:c r="C823" s="30" t="str">
        <x:v>Memory Conflict</x:v>
      </x:c>
      <x:c r="D823" s="30" t="n">
        <x:v>3</x:v>
      </x:c>
      <x:c r="E823" s="30" t="str">
        <x:v>Did Williams express no interest in the historical significance of Persian cats on April 10, 2026?</x:v>
      </x:c>
      <x:c r="F823" s="30" t="str">
        <x:v>Williams expressed a deepened admiration for their historical significance.</x:v>
      </x:c>
      <x:c r="G823" s="30" t="str">
        <x:v>No</x:v>
      </x:c>
      <x:c r="H823" s="30" t="str">
        <x:v>deepseek-v4-flash</x:v>
      </x:c>
      <x:c r="I823" s="30" t="str">
        <x:v>deepseek-v4-flash</x:v>
      </x:c>
      <x:c r="J823" s="30" t="str">
        <x:v>3dd1bb15c683d46fd6943727b86820d01dc78312c798be5269f570dff7f71888</x:v>
      </x:c>
      <x:c r="K823" s="30" t="str">
        <x:v>723e7a6c307c9898565d19831e60dfdccfc469875dc3c509017047c965b21d83</x:v>
      </x:c>
      <x:c r="L823" s="30" t="n">
        <x:v>615.18</x:v>
      </x:c>
      <x:c r="M823" s="30" t="str">
        <x:v>{"completion_tokens": 1, "prompt_tokens": 582, "total_tokens": 583, "completion_tokens_details": null, "prompt_tokens_details": {"audio_tokens": null, "cached_tokens": 512}, "prompt_cache_hit_tokens": 512, "prompt_cache_miss_tokens": 70}</x:v>
      </x:c>
      <x:c r="N823" s="30" t="str">
        <x:v>hallucination</x:v>
      </x:c>
      <x:c r="O823" s="30" t="str">
        <x:v>The gold answer states that Williams expressed a deepened admiration for the historical significance of Persian cats, meaning Williams did express interest. The model answer 'No' directly contradicts this by claiming Williams expressed no interest, which is a concrete false claim that opposes the gold answer.</x:v>
      </x:c>
      <x:c r="P823" s="30" t="str">
        <x:v>LongCat-2.0</x:v>
      </x:c>
      <x:c r="Q823" s="30" t="str">
        <x:v>LongCat-2.0</x:v>
      </x:c>
      <x:c r="R823" s="30" t="n">
        <x:v>3530.27</x:v>
      </x:c>
      <x:c r="S823" s="30" t="str">
        <x:v>{"completion_tokens": 66, "prompt_tokens": 154,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4">
      <x:c r="A824" s="30" t="str">
        <x:v>memos_medium:2278</x:v>
      </x:c>
      <x:c r="B824" s="30" t="str">
        <x:v>medium</x:v>
      </x:c>
      <x:c r="C824" s="30" t="str">
        <x:v>Generalization &amp; Application</x:v>
      </x:c>
      <x:c r="D824" s="30" t="n">
        <x:v>1</x:v>
      </x:c>
      <x:c r="E824" s="30" t="str">
        <x:v>How might Williams Daniel manage his research and creative tasks for upcoming projects in 2027?</x:v>
      </x:c>
      <x:c r="F824" s="30" t="str">
        <x:v>Seek efficient management advice.</x:v>
      </x:c>
      <x:c r="G824" s="30" t="str">
        <x:v>Seek advice on task management.</x:v>
      </x:c>
      <x:c r="H824" s="30" t="str">
        <x:v>deepseek-v4-flash</x:v>
      </x:c>
      <x:c r="I824" s="30" t="str">
        <x:v>deepseek-v4-flash</x:v>
      </x:c>
      <x:c r="J824" s="30" t="str">
        <x:v>4ac9b53cfac50659d0fda8589b4739a447e5758f45668400872a5a765f60254d</x:v>
      </x:c>
      <x:c r="K824" s="30" t="str">
        <x:v>e85d2675d933f420529e1a6ef27946efff0d364e9b01a3f729c2762792d83521</x:v>
      </x:c>
      <x:c r="L824" s="30" t="n">
        <x:v>553.83</x:v>
      </x:c>
      <x:c r="M824" s="30" t="str">
        <x:v>{"completion_tokens": 7, "prompt_tokens": 557, "total_tokens": 564, "completion_tokens_details": null, "prompt_tokens_details": {"audio_tokens": null, "cached_tokens": 512}, "prompt_cache_hit_tokens": 512, "prompt_cache_miss_tokens": 45}</x:v>
      </x:c>
      <x:c r="N824" s="30" t="str">
        <x:v>correct</x:v>
      </x:c>
      <x:c r="O824" s="30" t="str">
        <x:v>The model answer 'Seek advice on task management' is semantically equivalent to the gold answer 'Seek efficient management advice.' Both convey the same core idea of seeking guidance on managing tasks, with only minor wording differences.</x:v>
      </x:c>
      <x:c r="P824" s="30" t="str">
        <x:v>LongCat-2.0</x:v>
      </x:c>
      <x:c r="Q824" s="30" t="str">
        <x:v>LongCat-2.0</x:v>
      </x:c>
      <x:c r="R824" s="30" t="n">
        <x:v>3231.8</x:v>
      </x:c>
      <x:c r="S824" s="30" t="str">
        <x:v>{"completion_tokens": 54, "prompt_tokens": 148,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5">
      <x:c r="A825" s="30" t="str">
        <x:v>memos_medium:2278</x:v>
      </x:c>
      <x:c r="B825" s="30" t="str">
        <x:v>medium</x:v>
      </x:c>
      <x:c r="C825" s="30" t="str">
        <x:v>Generalization &amp; Application</x:v>
      </x:c>
      <x:c r="D825" s="30" t="n">
        <x:v>2</x:v>
      </x:c>
      <x:c r="E825" s="30" t="str">
        <x:v>How might Williams Daniel manage his research and creative tasks for upcoming projects in 2027?</x:v>
      </x:c>
      <x:c r="F825" s="30" t="str">
        <x:v>Seek efficient management advice.</x:v>
      </x:c>
      <x:c r="G825" s="30" t="str">
        <x:v>Seek advice on task management.</x:v>
      </x:c>
      <x:c r="H825" s="30" t="str">
        <x:v>deepseek-v4-flash</x:v>
      </x:c>
      <x:c r="I825" s="30" t="str">
        <x:v>deepseek-v4-flash</x:v>
      </x:c>
      <x:c r="J825" s="30" t="str">
        <x:v>4ac9b53cfac50659d0fda8589b4739a447e5758f45668400872a5a765f60254d</x:v>
      </x:c>
      <x:c r="K825" s="30" t="str">
        <x:v>e85d2675d933f420529e1a6ef27946efff0d364e9b01a3f729c2762792d83521</x:v>
      </x:c>
      <x:c r="L825" s="30" t="n">
        <x:v>669.24</x:v>
      </x:c>
      <x:c r="M825" s="30" t="str">
        <x:v>{"completion_tokens": 7, "prompt_tokens": 557, "total_tokens": 564, "completion_tokens_details": null, "prompt_tokens_details": {"audio_tokens": null, "cached_tokens": 512}, "prompt_cache_hit_tokens": 512, "prompt_cache_miss_tokens": 45}</x:v>
      </x:c>
      <x:c r="N825" s="30" t="str">
        <x:v>correct</x:v>
      </x:c>
      <x:c r="O825" s="30" t="str">
        <x:v>The model answer 'Seek advice on task management' is semantically equivalent to the gold answer 'Seek efficient management advice.' Both convey the same core idea of seeking guidance on managing tasks, with only minor wording differences.</x:v>
      </x:c>
      <x:c r="P825" s="30" t="str">
        <x:v>LongCat-2.0</x:v>
      </x:c>
      <x:c r="Q825" s="30" t="str">
        <x:v>LongCat-2.0</x:v>
      </x:c>
      <x:c r="R825" s="30" t="n">
        <x:v>2201.74</x:v>
      </x:c>
      <x:c r="S825" s="30" t="str">
        <x:v>{"completion_tokens": 54, "prompt_tokens": 148,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6">
      <x:c r="A826" s="30" t="str">
        <x:v>memos_medium:2278</x:v>
      </x:c>
      <x:c r="B826" s="30" t="str">
        <x:v>medium</x:v>
      </x:c>
      <x:c r="C826" s="30" t="str">
        <x:v>Generalization &amp; Application</x:v>
      </x:c>
      <x:c r="D826" s="30" t="n">
        <x:v>3</x:v>
      </x:c>
      <x:c r="E826" s="30" t="str">
        <x:v>How might Williams Daniel manage his research and creative tasks for upcoming projects in 2027?</x:v>
      </x:c>
      <x:c r="F826" s="30" t="str">
        <x:v>Seek efficient management advice.</x:v>
      </x:c>
      <x:c r="G826" s="30" t="str">
        <x:v>Seek advice on task management.</x:v>
      </x:c>
      <x:c r="H826" s="30" t="str">
        <x:v>deepseek-v4-flash</x:v>
      </x:c>
      <x:c r="I826" s="30" t="str">
        <x:v>deepseek-v4-flash</x:v>
      </x:c>
      <x:c r="J826" s="30" t="str">
        <x:v>4ac9b53cfac50659d0fda8589b4739a447e5758f45668400872a5a765f60254d</x:v>
      </x:c>
      <x:c r="K826" s="30" t="str">
        <x:v>e85d2675d933f420529e1a6ef27946efff0d364e9b01a3f729c2762792d83521</x:v>
      </x:c>
      <x:c r="L826" s="30" t="n">
        <x:v>679.56</x:v>
      </x:c>
      <x:c r="M826" s="30" t="str">
        <x:v>{"completion_tokens": 7, "prompt_tokens": 557, "total_tokens": 564, "completion_tokens_details": null, "prompt_tokens_details": {"audio_tokens": null, "cached_tokens": 512}, "prompt_cache_hit_tokens": 512, "prompt_cache_miss_tokens": 45}</x:v>
      </x:c>
      <x:c r="N826" s="30" t="str">
        <x:v>correct</x:v>
      </x:c>
      <x:c r="O826" s="30" t="str">
        <x:v>The model answer 'Seek advice on task management' is semantically equivalent to the gold answer 'Seek efficient management advice.' Both convey the same core idea of seeking guidance on managing tasks, with only minor wording differences.</x:v>
      </x:c>
      <x:c r="P826" s="30" t="str">
        <x:v>LongCat-2.0</x:v>
      </x:c>
      <x:c r="Q826" s="30" t="str">
        <x:v>LongCat-2.0</x:v>
      </x:c>
      <x:c r="R826" s="30" t="n">
        <x:v>2312.42</x:v>
      </x:c>
      <x:c r="S826" s="30" t="str">
        <x:v>{"completion_tokens": 54, "prompt_tokens": 148,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7">
      <x:c r="A827" s="30" t="str">
        <x:v>memos_medium:2299</x:v>
      </x:c>
      <x:c r="B827" s="30" t="str">
        <x:v>medium</x:v>
      </x:c>
      <x:c r="C827" s="30" t="str">
        <x:v>Basic Fact Recall</x:v>
      </x:c>
      <x:c r="D827" s="30" t="n">
        <x:v>1</x:v>
      </x:c>
      <x:c r="E827" s="30" t="str">
        <x:v>Who did Williams Daniel discuss integrating neon colors into historical-themed attire with on Nov 06, 2028?</x:v>
      </x:c>
      <x:c r="F827" s="30" t="str">
        <x:v>A costume designer.</x:v>
      </x:c>
      <x:c r="G827" s="30" t="str">
        <x:v>A costume designer</x:v>
      </x:c>
      <x:c r="H827" s="30" t="str">
        <x:v>deepseek-v4-flash</x:v>
      </x:c>
      <x:c r="I827" s="30" t="str">
        <x:v>deepseek-v4-flash</x:v>
      </x:c>
      <x:c r="J827" s="30" t="str">
        <x:v>e7c49511a9bb62b1202680325928f7059c03ec17d9f77fae2fd010488216a4b2</x:v>
      </x:c>
      <x:c r="K827" s="30" t="str">
        <x:v>05bdc2e8f0b6acee2d0949a6623bc6780cd89fb60c47f436afb7d977b96188f2</x:v>
      </x:c>
      <x:c r="L827" s="30" t="n">
        <x:v>406.97</x:v>
      </x:c>
      <x:c r="M827" s="30" t="str">
        <x:v>{"completion_tokens": 3, "prompt_tokens": 539, "total_tokens": 542, "completion_tokens_details": null, "prompt_tokens_details": {"audio_tokens": null, "cached_tokens": 512}, "prompt_cache_hit_tokens": 512, "prompt_cache_miss_tokens": 27}</x:v>
      </x:c>
      <x:c r="N827" s="30" t="str">
        <x:v>correct</x:v>
      </x:c>
      <x:c r="O827" s="30" t="str">
        <x:v>The model answer 'A costume designer' is semantically identical to the benchmark gold answer 'A costume designer.' and provides the complete answer without any contradiction or unsupported material.</x:v>
      </x:c>
      <x:c r="P827" s="30" t="str">
        <x:v>LongCat-2.0</x:v>
      </x:c>
      <x:c r="Q827" s="30" t="str">
        <x:v>LongCat-2.0</x:v>
      </x:c>
      <x:c r="R827" s="30" t="n">
        <x:v>2404.24</x:v>
      </x:c>
      <x:c r="S827" s="30" t="str">
        <x:v>{"completion_tokens": 45, "prompt_tokens": 150,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28">
      <x:c r="A828" s="30" t="str">
        <x:v>memos_medium:2299</x:v>
      </x:c>
      <x:c r="B828" s="30" t="str">
        <x:v>medium</x:v>
      </x:c>
      <x:c r="C828" s="30" t="str">
        <x:v>Basic Fact Recall</x:v>
      </x:c>
      <x:c r="D828" s="30" t="n">
        <x:v>2</x:v>
      </x:c>
      <x:c r="E828" s="30" t="str">
        <x:v>Who did Williams Daniel discuss integrating neon colors into historical-themed attire with on Nov 06, 2028?</x:v>
      </x:c>
      <x:c r="F828" s="30" t="str">
        <x:v>A costume designer.</x:v>
      </x:c>
      <x:c r="G828" s="30" t="str">
        <x:v>A costume designer</x:v>
      </x:c>
      <x:c r="H828" s="30" t="str">
        <x:v>deepseek-v4-flash</x:v>
      </x:c>
      <x:c r="I828" s="30" t="str">
        <x:v>deepseek-v4-flash</x:v>
      </x:c>
      <x:c r="J828" s="30" t="str">
        <x:v>e7c49511a9bb62b1202680325928f7059c03ec17d9f77fae2fd010488216a4b2</x:v>
      </x:c>
      <x:c r="K828" s="30" t="str">
        <x:v>05bdc2e8f0b6acee2d0949a6623bc6780cd89fb60c47f436afb7d977b96188f2</x:v>
      </x:c>
      <x:c r="L828" s="30" t="n">
        <x:v>548.66</x:v>
      </x:c>
      <x:c r="M828" s="30" t="str">
        <x:v>{"completion_tokens": 3, "prompt_tokens": 539, "total_tokens": 542, "completion_tokens_details": null, "prompt_tokens_details": {"audio_tokens": null, "cached_tokens": 512}, "prompt_cache_hit_tokens": 512, "prompt_cache_miss_tokens": 27}</x:v>
      </x:c>
      <x:c r="N828" s="30" t="str">
        <x:v>correct</x:v>
      </x:c>
      <x:c r="O828" s="30" t="str">
        <x:v>The model answer 'A costume designer' is semantically identical to the benchmark gold answer 'A costume designer.' and provides the complete answer without any contradiction or unsupported material.</x:v>
      </x:c>
      <x:c r="P828" s="30" t="str">
        <x:v>LongCat-2.0</x:v>
      </x:c>
      <x:c r="Q828" s="30" t="str">
        <x:v>LongCat-2.0</x:v>
      </x:c>
      <x:c r="R828" s="30" t="n">
        <x:v>2424.71</x:v>
      </x:c>
      <x:c r="S828" s="30" t="str">
        <x:v>{"completion_tokens": 45, "prompt_tokens": 150,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29">
      <x:c r="A829" s="30" t="str">
        <x:v>memos_medium:2299</x:v>
      </x:c>
      <x:c r="B829" s="30" t="str">
        <x:v>medium</x:v>
      </x:c>
      <x:c r="C829" s="30" t="str">
        <x:v>Basic Fact Recall</x:v>
      </x:c>
      <x:c r="D829" s="30" t="n">
        <x:v>3</x:v>
      </x:c>
      <x:c r="E829" s="30" t="str">
        <x:v>Who did Williams Daniel discuss integrating neon colors into historical-themed attire with on Nov 06, 2028?</x:v>
      </x:c>
      <x:c r="F829" s="30" t="str">
        <x:v>A costume designer.</x:v>
      </x:c>
      <x:c r="G829" s="30" t="str">
        <x:v>A costume designer</x:v>
      </x:c>
      <x:c r="H829" s="30" t="str">
        <x:v>deepseek-v4-flash</x:v>
      </x:c>
      <x:c r="I829" s="30" t="str">
        <x:v>deepseek-v4-flash</x:v>
      </x:c>
      <x:c r="J829" s="30" t="str">
        <x:v>e7c49511a9bb62b1202680325928f7059c03ec17d9f77fae2fd010488216a4b2</x:v>
      </x:c>
      <x:c r="K829" s="30" t="str">
        <x:v>05bdc2e8f0b6acee2d0949a6623bc6780cd89fb60c47f436afb7d977b96188f2</x:v>
      </x:c>
      <x:c r="L829" s="30" t="n">
        <x:v>650.47</x:v>
      </x:c>
      <x:c r="M829" s="30" t="str">
        <x:v>{"completion_tokens": 3, "prompt_tokens": 539, "total_tokens": 542, "completion_tokens_details": null, "prompt_tokens_details": {"audio_tokens": null, "cached_tokens": 512}, "prompt_cache_hit_tokens": 512, "prompt_cache_miss_tokens": 27}</x:v>
      </x:c>
      <x:c r="N829" s="30" t="str">
        <x:v>correct</x:v>
      </x:c>
      <x:c r="O829" s="30" t="str">
        <x:v>The model answer 'A costume designer' is semantically identical to the benchmark gold answer 'A costume designer.' and provides the complete answer without any contradiction or unsupported material.</x:v>
      </x:c>
      <x:c r="P829" s="30" t="str">
        <x:v>LongCat-2.0</x:v>
      </x:c>
      <x:c r="Q829" s="30" t="str">
        <x:v>LongCat-2.0</x:v>
      </x:c>
      <x:c r="R829" s="30" t="n">
        <x:v>3060.31</x:v>
      </x:c>
      <x:c r="S829" s="30" t="str">
        <x:v>{"completion_tokens": 45, "prompt_tokens": 150,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0">
      <x:c r="A830" s="30" t="str">
        <x:v>memos_medium:2305</x:v>
      </x:c>
      <x:c r="B830" s="30" t="str">
        <x:v>medium</x:v>
      </x:c>
      <x:c r="C830" s="30" t="str">
        <x:v>Generalization &amp; Application</x:v>
      </x:c>
      <x:c r="D830" s="30" t="n">
        <x:v>1</x:v>
      </x:c>
      <x:c r="E830" s="30" t="str">
        <x:v>What strategies could Williams Daniel use to maintain strong professional relationships in 2029?</x:v>
      </x:c>
      <x:c r="F830" s="30" t="str">
        <x:v>Leverage support from colleagues and friends.</x:v>
      </x:c>
      <x:c r="G830" s="30" t="str">
        <x:v>Leverage colleague and friend support.</x:v>
      </x:c>
      <x:c r="H830" s="30" t="str">
        <x:v>deepseek-v4-flash</x:v>
      </x:c>
      <x:c r="I830" s="30" t="str">
        <x:v>deepseek-v4-flash</x:v>
      </x:c>
      <x:c r="J830" s="30" t="str">
        <x:v>564184be114c3b95f8876706ed3613ec62fc3f280b5be64f45c9102315636c5b</x:v>
      </x:c>
      <x:c r="K830" s="30" t="str">
        <x:v>136a5ad00332f3a94033b4b7e69547b23f8fea0c8a5ee8274afeba623495590c</x:v>
      </x:c>
      <x:c r="L830" s="30" t="n">
        <x:v>552.71</x:v>
      </x:c>
      <x:c r="M830" s="30" t="str">
        <x:v>{"completion_tokens": 8, "prompt_tokens": 563, "total_tokens": 571, "completion_tokens_details": null, "prompt_tokens_details": {"audio_tokens": null, "cached_tokens": 512}, "prompt_cache_hit_tokens": 512, "prompt_cache_miss_tokens": 51}</x:v>
      </x:c>
      <x:c r="N830" s="30" t="str">
        <x:v>correct</x:v>
      </x:c>
      <x:c r="O830" s="30" t="str">
        <x:v>The model answer 'Leverage colleague and friend support' is a semantically equivalent rephrasing of the gold answer 'Leverage support from colleagues and friends.' Both convey the same complete meaning with only minor wording differences.</x:v>
      </x:c>
      <x:c r="P830" s="30" t="str">
        <x:v>LongCat-2.0</x:v>
      </x:c>
      <x:c r="Q830" s="30" t="str">
        <x:v>LongCat-2.0</x:v>
      </x:c>
      <x:c r="R830" s="30" t="n">
        <x:v>2651.82</x:v>
      </x:c>
      <x:c r="S830" s="30" t="str">
        <x:v>{"completion_tokens": 58, "prompt_tokens": 152,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31">
      <x:c r="A831" s="30" t="str">
        <x:v>memos_medium:2305</x:v>
      </x:c>
      <x:c r="B831" s="30" t="str">
        <x:v>medium</x:v>
      </x:c>
      <x:c r="C831" s="30" t="str">
        <x:v>Generalization &amp; Application</x:v>
      </x:c>
      <x:c r="D831" s="30" t="n">
        <x:v>2</x:v>
      </x:c>
      <x:c r="E831" s="30" t="str">
        <x:v>What strategies could Williams Daniel use to maintain strong professional relationships in 2029?</x:v>
      </x:c>
      <x:c r="F831" s="30" t="str">
        <x:v>Leverage support from colleagues and friends.</x:v>
      </x:c>
      <x:c r="G831" s="30" t="str">
        <x:v>Leverage colleague and friend support.</x:v>
      </x:c>
      <x:c r="H831" s="30" t="str">
        <x:v>deepseek-v4-flash</x:v>
      </x:c>
      <x:c r="I831" s="30" t="str">
        <x:v>deepseek-v4-flash</x:v>
      </x:c>
      <x:c r="J831" s="30" t="str">
        <x:v>564184be114c3b95f8876706ed3613ec62fc3f280b5be64f45c9102315636c5b</x:v>
      </x:c>
      <x:c r="K831" s="30" t="str">
        <x:v>136a5ad00332f3a94033b4b7e69547b23f8fea0c8a5ee8274afeba623495590c</x:v>
      </x:c>
      <x:c r="L831" s="30" t="n">
        <x:v>635.52</x:v>
      </x:c>
      <x:c r="M831" s="30" t="str">
        <x:v>{"completion_tokens": 8, "prompt_tokens": 563, "total_tokens": 571, "completion_tokens_details": null, "prompt_tokens_details": {"audio_tokens": null, "cached_tokens": 512}, "prompt_cache_hit_tokens": 512, "prompt_cache_miss_tokens": 51}</x:v>
      </x:c>
      <x:c r="N831" s="30" t="str">
        <x:v>correct</x:v>
      </x:c>
      <x:c r="O831" s="30" t="str">
        <x:v>The model answer 'Leverage colleague and friend support' is a semantically equivalent rephrasing of the gold answer 'Leverage support from colleagues and friends.' Both convey the same complete meaning with only minor wording differences.</x:v>
      </x:c>
      <x:c r="P831" s="30" t="str">
        <x:v>LongCat-2.0</x:v>
      </x:c>
      <x:c r="Q831" s="30" t="str">
        <x:v>LongCat-2.0</x:v>
      </x:c>
      <x:c r="R831" s="30" t="n">
        <x:v>2457.78</x:v>
      </x:c>
      <x:c r="S831" s="30" t="str">
        <x:v>{"completion_tokens": 58, "prompt_tokens": 152,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2">
      <x:c r="A832" s="30" t="str">
        <x:v>memos_medium:2305</x:v>
      </x:c>
      <x:c r="B832" s="30" t="str">
        <x:v>medium</x:v>
      </x:c>
      <x:c r="C832" s="30" t="str">
        <x:v>Generalization &amp; Application</x:v>
      </x:c>
      <x:c r="D832" s="30" t="n">
        <x:v>3</x:v>
      </x:c>
      <x:c r="E832" s="30" t="str">
        <x:v>What strategies could Williams Daniel use to maintain strong professional relationships in 2029?</x:v>
      </x:c>
      <x:c r="F832" s="30" t="str">
        <x:v>Leverage support from colleagues and friends.</x:v>
      </x:c>
      <x:c r="G832" s="30" t="str">
        <x:v>Leverage colleague and friend support.</x:v>
      </x:c>
      <x:c r="H832" s="30" t="str">
        <x:v>deepseek-v4-flash</x:v>
      </x:c>
      <x:c r="I832" s="30" t="str">
        <x:v>deepseek-v4-flash</x:v>
      </x:c>
      <x:c r="J832" s="30" t="str">
        <x:v>564184be114c3b95f8876706ed3613ec62fc3f280b5be64f45c9102315636c5b</x:v>
      </x:c>
      <x:c r="K832" s="30" t="str">
        <x:v>136a5ad00332f3a94033b4b7e69547b23f8fea0c8a5ee8274afeba623495590c</x:v>
      </x:c>
      <x:c r="L832" s="30" t="n">
        <x:v>745.37</x:v>
      </x:c>
      <x:c r="M832" s="30" t="str">
        <x:v>{"completion_tokens": 8, "prompt_tokens": 563, "total_tokens": 571, "completion_tokens_details": null, "prompt_tokens_details": {"audio_tokens": null, "cached_tokens": 512}, "prompt_cache_hit_tokens": 512, "prompt_cache_miss_tokens": 51}</x:v>
      </x:c>
      <x:c r="N832" s="30" t="str">
        <x:v>correct</x:v>
      </x:c>
      <x:c r="O832" s="30" t="str">
        <x:v>The model answer 'Leverage colleague and friend support' is a semantically equivalent rephrasing of the gold answer 'Leverage support from colleagues and friends.' Both convey the same complete meaning with only minor wording differences.</x:v>
      </x:c>
      <x:c r="P832" s="30" t="str">
        <x:v>LongCat-2.0</x:v>
      </x:c>
      <x:c r="Q832" s="30" t="str">
        <x:v>LongCat-2.0</x:v>
      </x:c>
      <x:c r="R832" s="30" t="n">
        <x:v>2863.27</x:v>
      </x:c>
      <x:c r="S832" s="30" t="str">
        <x:v>{"completion_tokens": 58, "prompt_tokens": 152,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3">
      <x:c r="A833" s="30" t="str">
        <x:v>memos_medium:2306</x:v>
      </x:c>
      <x:c r="B833" s="30" t="str">
        <x:v>medium</x:v>
      </x:c>
      <x:c r="C833" s="30" t="str">
        <x:v>Generalization &amp; Application</x:v>
      </x:c>
      <x:c r="D833" s="30" t="n">
        <x:v>1</x:v>
      </x:c>
      <x:c r="E833" s="30" t="str">
        <x:v>How can Williams Daniel leverage his international acclaim for future projects in 2029?</x:v>
      </x:c>
      <x:c r="F833" s="30" t="str">
        <x:v>By securing funding and talent.</x:v>
      </x:c>
      <x:c r="G833" s="30" t="str">
        <x:v>Secure funding and talent.</x:v>
      </x:c>
      <x:c r="H833" s="30" t="str">
        <x:v>deepseek-v4-flash</x:v>
      </x:c>
      <x:c r="I833" s="30" t="str">
        <x:v>deepseek-v4-flash</x:v>
      </x:c>
      <x:c r="J833" s="30" t="str">
        <x:v>698980dc106672cff4701182353bf3b83c88a91942a8a065e694dd6aac791820</x:v>
      </x:c>
      <x:c r="K833" s="30" t="str">
        <x:v>aa4c38efea886a0b29d2d4563954d6be3ae797b4c4c8d7f908754386b781c90f</x:v>
      </x:c>
      <x:c r="L833" s="30" t="n">
        <x:v>696.1</x:v>
      </x:c>
      <x:c r="M833" s="30" t="str">
        <x:v>{"completion_tokens": 5, "prompt_tokens": 565, "total_tokens": 570, "completion_tokens_details": null, "prompt_tokens_details": {"audio_tokens": null, "cached_tokens": 512}, "prompt_cache_hit_tokens": 512, "prompt_cache_miss_tokens": 53}</x:v>
      </x:c>
      <x:c r="N833" s="30" t="str">
        <x:v>correct</x:v>
      </x:c>
      <x:c r="O833" s="30" t="str">
        <x:v>The model answer 'Secure funding and talent' is a direct, semantically complete match to the gold answer 'By securing funding and talent,' with only minor wording differences (imperative vs. gerund form).</x:v>
      </x:c>
      <x:c r="P833" s="30" t="str">
        <x:v>LongCat-2.0</x:v>
      </x:c>
      <x:c r="Q833" s="30" t="str">
        <x:v>LongCat-2.0</x:v>
      </x:c>
      <x:c r="R833" s="30" t="n">
        <x:v>3890.7</x:v>
      </x:c>
      <x:c r="S833" s="30" t="str">
        <x:v>{"completion_tokens": 54, "prompt_tokens": 146,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4">
      <x:c r="A834" s="30" t="str">
        <x:v>memos_medium:2306</x:v>
      </x:c>
      <x:c r="B834" s="30" t="str">
        <x:v>medium</x:v>
      </x:c>
      <x:c r="C834" s="30" t="str">
        <x:v>Generalization &amp; Application</x:v>
      </x:c>
      <x:c r="D834" s="30" t="n">
        <x:v>2</x:v>
      </x:c>
      <x:c r="E834" s="30" t="str">
        <x:v>How can Williams Daniel leverage his international acclaim for future projects in 2029?</x:v>
      </x:c>
      <x:c r="F834" s="30" t="str">
        <x:v>By securing funding and talent.</x:v>
      </x:c>
      <x:c r="G834" s="30" t="str">
        <x:v>Secure funding and talent.</x:v>
      </x:c>
      <x:c r="H834" s="30" t="str">
        <x:v>deepseek-v4-flash</x:v>
      </x:c>
      <x:c r="I834" s="30" t="str">
        <x:v>deepseek-v4-flash</x:v>
      </x:c>
      <x:c r="J834" s="30" t="str">
        <x:v>698980dc106672cff4701182353bf3b83c88a91942a8a065e694dd6aac791820</x:v>
      </x:c>
      <x:c r="K834" s="30" t="str">
        <x:v>aa4c38efea886a0b29d2d4563954d6be3ae797b4c4c8d7f908754386b781c90f</x:v>
      </x:c>
      <x:c r="L834" s="30" t="n">
        <x:v>571.42</x:v>
      </x:c>
      <x:c r="M834" s="30" t="str">
        <x:v>{"completion_tokens": 5, "prompt_tokens": 565, "total_tokens": 570, "completion_tokens_details": null, "prompt_tokens_details": {"audio_tokens": null, "cached_tokens": 512}, "prompt_cache_hit_tokens": 512, "prompt_cache_miss_tokens": 53}</x:v>
      </x:c>
      <x:c r="N834" s="30" t="str">
        <x:v>correct</x:v>
      </x:c>
      <x:c r="O834" s="30" t="str">
        <x:v>The model answer 'Secure funding and talent' is a direct, semantically equivalent rephrasing of the gold answer 'By securing funding and talent.' It captures the complete meaning without adding or omitting any information.</x:v>
      </x:c>
      <x:c r="P834" s="30" t="str">
        <x:v>LongCat-2.0</x:v>
      </x:c>
      <x:c r="Q834" s="30" t="str">
        <x:v>LongCat-2.0</x:v>
      </x:c>
      <x:c r="R834" s="30" t="n">
        <x:v>3970.19</x:v>
      </x:c>
      <x:c r="S834" s="30" t="str">
        <x:v>{"completion_tokens": 55, "prompt_tokens": 146, "total_tokens": 201,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35">
      <x:c r="A835" s="30" t="str">
        <x:v>memos_medium:2306</x:v>
      </x:c>
      <x:c r="B835" s="30" t="str">
        <x:v>medium</x:v>
      </x:c>
      <x:c r="C835" s="30" t="str">
        <x:v>Generalization &amp; Application</x:v>
      </x:c>
      <x:c r="D835" s="30" t="n">
        <x:v>3</x:v>
      </x:c>
      <x:c r="E835" s="30" t="str">
        <x:v>How can Williams Daniel leverage his international acclaim for future projects in 2029?</x:v>
      </x:c>
      <x:c r="F835" s="30" t="str">
        <x:v>By securing funding and talent.</x:v>
      </x:c>
      <x:c r="G835" s="30" t="str">
        <x:v>Secure funding and talent.</x:v>
      </x:c>
      <x:c r="H835" s="30" t="str">
        <x:v>deepseek-v4-flash</x:v>
      </x:c>
      <x:c r="I835" s="30" t="str">
        <x:v>deepseek-v4-flash</x:v>
      </x:c>
      <x:c r="J835" s="30" t="str">
        <x:v>698980dc106672cff4701182353bf3b83c88a91942a8a065e694dd6aac791820</x:v>
      </x:c>
      <x:c r="K835" s="30" t="str">
        <x:v>aa4c38efea886a0b29d2d4563954d6be3ae797b4c4c8d7f908754386b781c90f</x:v>
      </x:c>
      <x:c r="L835" s="30" t="n">
        <x:v>845.82</x:v>
      </x:c>
      <x:c r="M835" s="30" t="str">
        <x:v>{"completion_tokens": 5, "prompt_tokens": 565, "total_tokens": 570, "completion_tokens_details": null, "prompt_tokens_details": {"audio_tokens": null, "cached_tokens": 512}, "prompt_cache_hit_tokens": 512, "prompt_cache_miss_tokens": 53}</x:v>
      </x:c>
      <x:c r="N835" s="30" t="str">
        <x:v>correct</x:v>
      </x:c>
      <x:c r="O835" s="30" t="str">
        <x:v>The model answer 'Secure funding and talent' is a direct, semantically complete match to the gold answer 'By securing funding and talent,' with only minor wording differences (imperative vs. prepositional phrasing).</x:v>
      </x:c>
      <x:c r="P835" s="30" t="str">
        <x:v>LongCat-2.0</x:v>
      </x:c>
      <x:c r="Q835" s="30" t="str">
        <x:v>LongCat-2.0</x:v>
      </x:c>
      <x:c r="R835" s="30" t="n">
        <x:v>2623.21</x:v>
      </x:c>
      <x:c r="S835" s="30" t="str">
        <x:v>{"completion_tokens": 56, "prompt_tokens": 146,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6">
      <x:c r="A836" s="30" t="str">
        <x:v>memos_medium:2315</x:v>
      </x:c>
      <x:c r="B836" s="30" t="str">
        <x:v>medium</x:v>
      </x:c>
      <x:c r="C836" s="30" t="str">
        <x:v>Generalization &amp; Application</x:v>
      </x:c>
      <x:c r="D836" s="30" t="n">
        <x:v>1</x:v>
      </x:c>
      <x:c r="E836" s="30" t="str">
        <x:v>How might Williams Daniel integrate mobile game elements into his film projects after May 14, 2029?</x:v>
      </x:c>
      <x:c r="F836" s="30" t="str">
        <x:v>By using historical storytelling techniques from mobile games.</x:v>
      </x:c>
      <x:c r="G836" s="30" t="str">
        <x:v>Seeking advice on integration.</x:v>
      </x:c>
      <x:c r="H836" s="30" t="str">
        <x:v>deepseek-v4-flash</x:v>
      </x:c>
      <x:c r="I836" s="30" t="str">
        <x:v>deepseek-v4-flash</x:v>
      </x:c>
      <x:c r="J836" s="30" t="str">
        <x:v>28652fb122908bcb7469433691700a37700134a7ba945a35bc7de2254a55a80f</x:v>
      </x:c>
      <x:c r="K836" s="30" t="str">
        <x:v>eafb0424dca89234b38e5fa188e680c0ba7ddd637ba6ea686dab5449a28cb9fb</x:v>
      </x:c>
      <x:c r="L836" s="30" t="n">
        <x:v>868.93</x:v>
      </x:c>
      <x:c r="M836" s="30" t="str">
        <x:v>{"completion_tokens": 6, "prompt_tokens": 560, "total_tokens": 566, "completion_tokens_details": null, "prompt_tokens_details": {"audio_tokens": null, "cached_tokens": 512}, "prompt_cache_hit_tokens": 512, "prompt_cache_miss_tokens": 48}</x:v>
      </x:c>
      <x:c r="N836" s="30" t="str">
        <x:v>omission</x:v>
      </x:c>
      <x:c r="O836"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P836" s="30" t="str">
        <x:v>LongCat-2.0</x:v>
      </x:c>
      <x:c r="Q836" s="30" t="str">
        <x:v>LongCat-2.0</x:v>
      </x:c>
      <x:c r="R836" s="30" t="n">
        <x:v>2521.32</x:v>
      </x:c>
      <x:c r="S836" s="30" t="str">
        <x:v>{"completion_tokens": 66, "prompt_tokens": 156,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7">
      <x:c r="A837" s="30" t="str">
        <x:v>memos_medium:2315</x:v>
      </x:c>
      <x:c r="B837" s="30" t="str">
        <x:v>medium</x:v>
      </x:c>
      <x:c r="C837" s="30" t="str">
        <x:v>Generalization &amp; Application</x:v>
      </x:c>
      <x:c r="D837" s="30" t="n">
        <x:v>2</x:v>
      </x:c>
      <x:c r="E837" s="30" t="str">
        <x:v>How might Williams Daniel integrate mobile game elements into his film projects after May 14, 2029?</x:v>
      </x:c>
      <x:c r="F837" s="30" t="str">
        <x:v>By using historical storytelling techniques from mobile games.</x:v>
      </x:c>
      <x:c r="G837" s="30" t="str">
        <x:v>Seeking advice on integration.</x:v>
      </x:c>
      <x:c r="H837" s="30" t="str">
        <x:v>deepseek-v4-flash</x:v>
      </x:c>
      <x:c r="I837" s="30" t="str">
        <x:v>deepseek-v4-flash</x:v>
      </x:c>
      <x:c r="J837" s="30" t="str">
        <x:v>28652fb122908bcb7469433691700a37700134a7ba945a35bc7de2254a55a80f</x:v>
      </x:c>
      <x:c r="K837" s="30" t="str">
        <x:v>eafb0424dca89234b38e5fa188e680c0ba7ddd637ba6ea686dab5449a28cb9fb</x:v>
      </x:c>
      <x:c r="L837" s="30" t="n">
        <x:v>715.97</x:v>
      </x:c>
      <x:c r="M837" s="30" t="str">
        <x:v>{"completion_tokens": 6, "prompt_tokens": 560, "total_tokens": 566, "completion_tokens_details": null, "prompt_tokens_details": {"audio_tokens": null, "cached_tokens": 512}, "prompt_cache_hit_tokens": 512, "prompt_cache_miss_tokens": 48}</x:v>
      </x:c>
      <x:c r="N837" s="30" t="str">
        <x:v>omission</x:v>
      </x:c>
      <x:c r="O837"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P837" s="30" t="str">
        <x:v>LongCat-2.0</x:v>
      </x:c>
      <x:c r="Q837" s="30" t="str">
        <x:v>LongCat-2.0</x:v>
      </x:c>
      <x:c r="R837" s="30" t="n">
        <x:v>3176.34</x:v>
      </x:c>
      <x:c r="S837" s="30" t="str">
        <x:v>{"completion_tokens": 66, "prompt_tokens": 156,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38">
      <x:c r="A838" s="30" t="str">
        <x:v>memos_medium:2315</x:v>
      </x:c>
      <x:c r="B838" s="30" t="str">
        <x:v>medium</x:v>
      </x:c>
      <x:c r="C838" s="30" t="str">
        <x:v>Generalization &amp; Application</x:v>
      </x:c>
      <x:c r="D838" s="30" t="n">
        <x:v>3</x:v>
      </x:c>
      <x:c r="E838" s="30" t="str">
        <x:v>How might Williams Daniel integrate mobile game elements into his film projects after May 14, 2029?</x:v>
      </x:c>
      <x:c r="F838" s="30" t="str">
        <x:v>By using historical storytelling techniques from mobile games.</x:v>
      </x:c>
      <x:c r="G838" s="30" t="str">
        <x:v>Seeking advice on integration.</x:v>
      </x:c>
      <x:c r="H838" s="30" t="str">
        <x:v>deepseek-v4-flash</x:v>
      </x:c>
      <x:c r="I838" s="30" t="str">
        <x:v>deepseek-v4-flash</x:v>
      </x:c>
      <x:c r="J838" s="30" t="str">
        <x:v>28652fb122908bcb7469433691700a37700134a7ba945a35bc7de2254a55a80f</x:v>
      </x:c>
      <x:c r="K838" s="30" t="str">
        <x:v>eafb0424dca89234b38e5fa188e680c0ba7ddd637ba6ea686dab5449a28cb9fb</x:v>
      </x:c>
      <x:c r="L838" s="30" t="n">
        <x:v>872.31</x:v>
      </x:c>
      <x:c r="M838" s="30" t="str">
        <x:v>{"completion_tokens": 6, "prompt_tokens": 560, "total_tokens": 566, "completion_tokens_details": null, "prompt_tokens_details": {"audio_tokens": null, "cached_tokens": 512}, "prompt_cache_hit_tokens": 512, "prompt_cache_miss_tokens": 48}</x:v>
      </x:c>
      <x:c r="N838" s="30" t="str">
        <x:v>omission</x:v>
      </x:c>
      <x:c r="O838" s="30" t="str">
        <x:v>The model answer 'Seeking advice on integration' does not provide the concrete method described in the gold answer (using historical storytelling techniques from mobile games). It merely states an intent to seek advice without delivering any substantive answer, making it an incomplete subset with no concrete claim.</x:v>
      </x:c>
      <x:c r="P838" s="30" t="str">
        <x:v>LongCat-2.0</x:v>
      </x:c>
      <x:c r="Q838" s="30" t="str">
        <x:v>LongCat-2.0</x:v>
      </x:c>
      <x:c r="R838" s="30" t="n">
        <x:v>2466.44</x:v>
      </x:c>
      <x:c r="S838" s="30" t="str">
        <x:v>{"completion_tokens": 66, "prompt_tokens": 156,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39">
      <x:c r="A839" s="30" t="str">
        <x:v>memos_medium:2358</x:v>
      </x:c>
      <x:c r="B839" s="30" t="str">
        <x:v>medium</x:v>
      </x:c>
      <x:c r="C839" s="30" t="str">
        <x:v>Generalization &amp; Application</x:v>
      </x:c>
      <x:c r="D839" s="30" t="n">
        <x:v>1</x:v>
      </x:c>
      <x:c r="E839" s="30" t="str">
        <x:v>What new beverage might Williams Daniel explore after March 14, 2032, based on his appreciation for historical authenticity?</x:v>
      </x:c>
      <x:c r="F839" s="30" t="str">
        <x:v>Williams might explore historically significant teas like Lapsang Souchong.</x:v>
      </x:c>
      <x:c r="G839" s="30" t="str">
        <x:v>Earl Grey tea</x:v>
      </x:c>
      <x:c r="H839" s="30" t="str">
        <x:v>deepseek-v4-flash</x:v>
      </x:c>
      <x:c r="I839" s="30" t="str">
        <x:v>deepseek-v4-flash</x:v>
      </x:c>
      <x:c r="J839" s="30" t="str">
        <x:v>910faed7f19998c7718eaae6462fc4b8e75d7306af06354f54847efa589ee6c1</x:v>
      </x:c>
      <x:c r="K839" s="30" t="str">
        <x:v>3b676597452d8953ce161718b834e3fefda3253e1d0f23610ebcb4ff3f4fb9ba</x:v>
      </x:c>
      <x:c r="L839" s="30" t="n">
        <x:v>620.12</x:v>
      </x:c>
      <x:c r="M839" s="30" t="str">
        <x:v>{"completion_tokens": 4, "prompt_tokens": 589, "total_tokens": 593, "completion_tokens_details": null, "prompt_tokens_details": {"audio_tokens": null, "cached_tokens": 512}, "prompt_cache_hit_tokens": 512, "prompt_cache_miss_tokens": 77}</x:v>
      </x:c>
      <x:c r="N839" s="30" t="str">
        <x:v>hallucination</x:v>
      </x:c>
      <x:c r="O839" s="30" t="str">
        <x:v>The gold answer specifies historically significant teas like Lapsang Souchong, while the model answer provides Earl Grey tea, which is a different concrete answer not supported by the gold answer.</x:v>
      </x:c>
      <x:c r="P839" s="30" t="str">
        <x:v>LongCat-2.0</x:v>
      </x:c>
      <x:c r="Q839" s="30" t="str">
        <x:v>LongCat-2.0</x:v>
      </x:c>
      <x:c r="R839" s="30" t="n">
        <x:v>2213.12</x:v>
      </x:c>
      <x:c r="S839" s="30" t="str">
        <x:v>{"completion_tokens": 50, "prompt_tokens": 162,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0">
      <x:c r="A840" s="30" t="str">
        <x:v>memos_medium:2358</x:v>
      </x:c>
      <x:c r="B840" s="30" t="str">
        <x:v>medium</x:v>
      </x:c>
      <x:c r="C840" s="30" t="str">
        <x:v>Generalization &amp; Application</x:v>
      </x:c>
      <x:c r="D840" s="30" t="n">
        <x:v>2</x:v>
      </x:c>
      <x:c r="E840" s="30" t="str">
        <x:v>What new beverage might Williams Daniel explore after March 14, 2032, based on his appreciation for historical authenticity?</x:v>
      </x:c>
      <x:c r="F840" s="30" t="str">
        <x:v>Williams might explore historically significant teas like Lapsang Souchong.</x:v>
      </x:c>
      <x:c r="G840" s="30" t="str">
        <x:v>Earl Grey tea</x:v>
      </x:c>
      <x:c r="H840" s="30" t="str">
        <x:v>deepseek-v4-flash</x:v>
      </x:c>
      <x:c r="I840" s="30" t="str">
        <x:v>deepseek-v4-flash</x:v>
      </x:c>
      <x:c r="J840" s="30" t="str">
        <x:v>910faed7f19998c7718eaae6462fc4b8e75d7306af06354f54847efa589ee6c1</x:v>
      </x:c>
      <x:c r="K840" s="30" t="str">
        <x:v>3b676597452d8953ce161718b834e3fefda3253e1d0f23610ebcb4ff3f4fb9ba</x:v>
      </x:c>
      <x:c r="L840" s="30" t="n">
        <x:v>464.56</x:v>
      </x:c>
      <x:c r="M840" s="30" t="str">
        <x:v>{"completion_tokens": 4, "prompt_tokens": 589, "total_tokens": 593, "completion_tokens_details": null, "prompt_tokens_details": {"audio_tokens": null, "cached_tokens": 512}, "prompt_cache_hit_tokens": 512, "prompt_cache_miss_tokens": 77}</x:v>
      </x:c>
      <x:c r="N840" s="30" t="str">
        <x:v>hallucination</x:v>
      </x:c>
      <x:c r="O840" s="30" t="str">
        <x:v>The gold answer specifies historically significant teas like Lapsang Souchong, while the model answer provides Earl Grey tea, which is a different concrete answer not supported by the gold answer.</x:v>
      </x:c>
      <x:c r="P840" s="30" t="str">
        <x:v>LongCat-2.0</x:v>
      </x:c>
      <x:c r="Q840" s="30" t="str">
        <x:v>LongCat-2.0</x:v>
      </x:c>
      <x:c r="R840" s="30" t="n">
        <x:v>2343.46</x:v>
      </x:c>
      <x:c r="S840" s="30" t="str">
        <x:v>{"completion_tokens": 50, "prompt_tokens": 162,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41">
      <x:c r="A841" s="30" t="str">
        <x:v>memos_medium:2358</x:v>
      </x:c>
      <x:c r="B841" s="30" t="str">
        <x:v>medium</x:v>
      </x:c>
      <x:c r="C841" s="30" t="str">
        <x:v>Generalization &amp; Application</x:v>
      </x:c>
      <x:c r="D841" s="30" t="n">
        <x:v>3</x:v>
      </x:c>
      <x:c r="E841" s="30" t="str">
        <x:v>What new beverage might Williams Daniel explore after March 14, 2032, based on his appreciation for historical authenticity?</x:v>
      </x:c>
      <x:c r="F841" s="30" t="str">
        <x:v>Williams might explore historically significant teas like Lapsang Souchong.</x:v>
      </x:c>
      <x:c r="G841" s="30" t="str">
        <x:v>Earl Grey tea</x:v>
      </x:c>
      <x:c r="H841" s="30" t="str">
        <x:v>deepseek-v4-flash</x:v>
      </x:c>
      <x:c r="I841" s="30" t="str">
        <x:v>deepseek-v4-flash</x:v>
      </x:c>
      <x:c r="J841" s="30" t="str">
        <x:v>910faed7f19998c7718eaae6462fc4b8e75d7306af06354f54847efa589ee6c1</x:v>
      </x:c>
      <x:c r="K841" s="30" t="str">
        <x:v>3b676597452d8953ce161718b834e3fefda3253e1d0f23610ebcb4ff3f4fb9ba</x:v>
      </x:c>
      <x:c r="L841" s="30" t="n">
        <x:v>728.25</x:v>
      </x:c>
      <x:c r="M841" s="30" t="str">
        <x:v>{"completion_tokens": 4, "prompt_tokens": 589, "total_tokens": 593, "completion_tokens_details": null, "prompt_tokens_details": {"audio_tokens": null, "cached_tokens": 512}, "prompt_cache_hit_tokens": 512, "prompt_cache_miss_tokens": 77}</x:v>
      </x:c>
      <x:c r="N841" s="30" t="str">
        <x:v>hallucination</x:v>
      </x:c>
      <x:c r="O841" s="30" t="str">
        <x:v>The gold answer specifies historically significant teas like Lapsang Souchong, while the model answer provides Earl Grey tea, which is a different concrete answer not supported by the gold answer.</x:v>
      </x:c>
      <x:c r="P841" s="30" t="str">
        <x:v>LongCat-2.0</x:v>
      </x:c>
      <x:c r="Q841" s="30" t="str">
        <x:v>LongCat-2.0</x:v>
      </x:c>
      <x:c r="R841" s="30" t="n">
        <x:v>1947.54</x:v>
      </x:c>
      <x:c r="S841" s="30" t="str">
        <x:v>{"completion_tokens": 50, "prompt_tokens": 162,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2">
      <x:c r="A842" s="30" t="str">
        <x:v>memos_medium:2374</x:v>
      </x:c>
      <x:c r="B842" s="30" t="str">
        <x:v>medium</x:v>
      </x:c>
      <x:c r="C842" s="30" t="str">
        <x:v>Generalization &amp; Application</x:v>
      </x:c>
      <x:c r="D842" s="30" t="n">
        <x:v>1</x:v>
      </x:c>
      <x:c r="E842" s="30" t="str">
        <x:v>What genre might Williams Daniel focus on for his film projects after March 26, 2033?</x:v>
      </x:c>
      <x:c r="F842" s="30" t="str">
        <x:v>Historical genres.</x:v>
      </x:c>
      <x:c r="G842" s="30" t="str">
        <x:v>Historical themes or genres.</x:v>
      </x:c>
      <x:c r="H842" s="30" t="str">
        <x:v>deepseek-v4-flash</x:v>
      </x:c>
      <x:c r="I842" s="30" t="str">
        <x:v>deepseek-v4-flash</x:v>
      </x:c>
      <x:c r="J842" s="30" t="str">
        <x:v>0913856ee521a91b1b17010bc839e6497513a7d2916520fcea6ddcb291e6e53f</x:v>
      </x:c>
      <x:c r="K842" s="30" t="str">
        <x:v>1c821015e3374aa663212236d3d719905372d9a421a229f8f36c95a10d22f59c</x:v>
      </x:c>
      <x:c r="L842" s="30" t="n">
        <x:v>726.07</x:v>
      </x:c>
      <x:c r="M842" s="30" t="str">
        <x:v>{"completion_tokens": 5, "prompt_tokens": 614, "total_tokens": 619, "completion_tokens_details": null, "prompt_tokens_details": {"audio_tokens": null, "cached_tokens": 512}, "prompt_cache_hit_tokens": 512, "prompt_cache_miss_tokens": 102}</x:v>
      </x:c>
      <x:c r="N842" s="30" t="str">
        <x:v>correct</x:v>
      </x:c>
      <x:c r="O842" s="30" t="str">
        <x:v>The model answer 'Historical themes or genres' semantically conveys the same meaning as the gold answer 'Historical genres,' with only minor wording differences and no added false or unsupported claims.</x:v>
      </x:c>
      <x:c r="P842" s="30" t="str">
        <x:v>LongCat-2.0</x:v>
      </x:c>
      <x:c r="Q842" s="30" t="str">
        <x:v>LongCat-2.0</x:v>
      </x:c>
      <x:c r="R842" s="30" t="n">
        <x:v>2445.78</x:v>
      </x:c>
      <x:c r="S842" s="30" t="str">
        <x:v>{"completion_tokens": 47, "prompt_tokens": 148,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43">
      <x:c r="A843" s="30" t="str">
        <x:v>memos_medium:2374</x:v>
      </x:c>
      <x:c r="B843" s="30" t="str">
        <x:v>medium</x:v>
      </x:c>
      <x:c r="C843" s="30" t="str">
        <x:v>Generalization &amp; Application</x:v>
      </x:c>
      <x:c r="D843" s="30" t="n">
        <x:v>2</x:v>
      </x:c>
      <x:c r="E843" s="30" t="str">
        <x:v>What genre might Williams Daniel focus on for his film projects after March 26, 2033?</x:v>
      </x:c>
      <x:c r="F843" s="30" t="str">
        <x:v>Historical genres.</x:v>
      </x:c>
      <x:c r="G843" s="30" t="str">
        <x:v>Historical genres.</x:v>
      </x:c>
      <x:c r="H843" s="30" t="str">
        <x:v>deepseek-v4-flash</x:v>
      </x:c>
      <x:c r="I843" s="30" t="str">
        <x:v>deepseek-v4-flash</x:v>
      </x:c>
      <x:c r="J843" s="30" t="str">
        <x:v>0913856ee521a91b1b17010bc839e6497513a7d2916520fcea6ddcb291e6e53f</x:v>
      </x:c>
      <x:c r="K843" s="30" t="str">
        <x:v>1c821015e3374aa663212236d3d719905372d9a421a229f8f36c95a10d22f59c</x:v>
      </x:c>
      <x:c r="L843" s="30" t="n">
        <x:v>597.61</x:v>
      </x:c>
      <x:c r="M843" s="30" t="str">
        <x:v>{"completion_tokens": 3, "prompt_tokens": 614, "total_tokens": 617, "completion_tokens_details": null, "prompt_tokens_details": {"audio_tokens": null, "cached_tokens": 512}, "prompt_cache_hit_tokens": 512, "prompt_cache_miss_tokens": 102}</x:v>
      </x:c>
      <x:c r="N843" s="30" t="str">
        <x:v>correct</x:v>
      </x:c>
      <x:c r="O843" s="30" t="str">
        <x:v>The model answer exactly matches the benchmark gold answer 'Historical genres.', providing the complete and correct information.</x:v>
      </x:c>
      <x:c r="P843" s="30" t="str">
        <x:v>LongCat-2.0</x:v>
      </x:c>
      <x:c r="Q843" s="30" t="str">
        <x:v>LongCat-2.0</x:v>
      </x:c>
      <x:c r="R843" s="30" t="n">
        <x:v>2014.26</x:v>
      </x:c>
      <x:c r="S843" s="30" t="str">
        <x:v>{"completion_tokens": 31, "prompt_tokens": 146, "total_tokens": 177,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44">
      <x:c r="A844" s="30" t="str">
        <x:v>memos_medium:2374</x:v>
      </x:c>
      <x:c r="B844" s="30" t="str">
        <x:v>medium</x:v>
      </x:c>
      <x:c r="C844" s="30" t="str">
        <x:v>Generalization &amp; Application</x:v>
      </x:c>
      <x:c r="D844" s="30" t="n">
        <x:v>3</x:v>
      </x:c>
      <x:c r="E844" s="30" t="str">
        <x:v>What genre might Williams Daniel focus on for his film projects after March 26, 2033?</x:v>
      </x:c>
      <x:c r="F844" s="30" t="str">
        <x:v>Historical genres.</x:v>
      </x:c>
      <x:c r="G844" s="30" t="str">
        <x:v>Historical genres.</x:v>
      </x:c>
      <x:c r="H844" s="30" t="str">
        <x:v>deepseek-v4-flash</x:v>
      </x:c>
      <x:c r="I844" s="30" t="str">
        <x:v>deepseek-v4-flash</x:v>
      </x:c>
      <x:c r="J844" s="30" t="str">
        <x:v>0913856ee521a91b1b17010bc839e6497513a7d2916520fcea6ddcb291e6e53f</x:v>
      </x:c>
      <x:c r="K844" s="30" t="str">
        <x:v>1c821015e3374aa663212236d3d719905372d9a421a229f8f36c95a10d22f59c</x:v>
      </x:c>
      <x:c r="L844" s="30" t="n">
        <x:v>584.3</x:v>
      </x:c>
      <x:c r="M844" s="30" t="str">
        <x:v>{"completion_tokens": 3, "prompt_tokens": 614, "total_tokens": 617, "completion_tokens_details": null, "prompt_tokens_details": {"audio_tokens": null, "cached_tokens": 512}, "prompt_cache_hit_tokens": 512, "prompt_cache_miss_tokens": 102}</x:v>
      </x:c>
      <x:c r="N844" s="30" t="str">
        <x:v>correct</x:v>
      </x:c>
      <x:c r="O844" s="30" t="str">
        <x:v>The model answer 'Historical genres' is semantically identical to the benchmark gold answer 'Historical genres', providing the complete correct answer with no contradictions or omissions.</x:v>
      </x:c>
      <x:c r="P844" s="30" t="str">
        <x:v>LongCat-2.0</x:v>
      </x:c>
      <x:c r="Q844" s="30" t="str">
        <x:v>LongCat-2.0</x:v>
      </x:c>
      <x:c r="R844" s="30" t="n">
        <x:v>2254.46</x:v>
      </x:c>
      <x:c r="S844" s="30" t="str">
        <x:v>{"completion_tokens": 43, "prompt_tokens": 146, "total_tokens": 189,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5">
      <x:c r="A845" s="30" t="str">
        <x:v>memos_medium:2381</x:v>
      </x:c>
      <x:c r="B845" s="30" t="str">
        <x:v>medium</x:v>
      </x:c>
      <x:c r="C845" s="30" t="str">
        <x:v>Basic Fact Recall</x:v>
      </x:c>
      <x:c r="D845" s="30" t="n">
        <x:v>1</x:v>
      </x:c>
      <x:c r="E845" s="30" t="str">
        <x:v>What new food preference did Williams Daniel develop after September 30, 2033?</x:v>
      </x:c>
      <x:c r="F845" s="30" t="str">
        <x:v>Traditional ramen</x:v>
      </x:c>
      <x:c r="G845" s="30" t="str">
        <x:v>Traditional ramen</x:v>
      </x:c>
      <x:c r="H845" s="30" t="str">
        <x:v>deepseek-v4-flash</x:v>
      </x:c>
      <x:c r="I845" s="30" t="str">
        <x:v>deepseek-v4-flash</x:v>
      </x:c>
      <x:c r="J845" s="30" t="str">
        <x:v>2f4c49fe58c6f388afdd9dcae079879fc273ba213de1b26c47434bc730d969b9</x:v>
      </x:c>
      <x:c r="K845" s="30" t="str">
        <x:v>89fcac530a5860f09e8fc058c86833b1724187e9ab301da10923b71c1117bc45</x:v>
      </x:c>
      <x:c r="L845" s="30" t="n">
        <x:v>561.17</x:v>
      </x:c>
      <x:c r="M845" s="30" t="str">
        <x:v>{"completion_tokens": 3, "prompt_tokens": 536, "total_tokens": 539, "completion_tokens_details": null, "prompt_tokens_details": {"audio_tokens": null, "cached_tokens": 512}, "prompt_cache_hit_tokens": 512, "prompt_cache_miss_tokens": 24}</x:v>
      </x:c>
      <x:c r="N845" s="30" t="str">
        <x:v>correct</x:v>
      </x:c>
      <x:c r="O845" s="30" t="str">
        <x:v>The model answer 'Traditional ramen' exactly matches the benchmark gold answer 'Traditional ramen', providing the complete correct answer with no contradictions or omissions.</x:v>
      </x:c>
      <x:c r="P845" s="30" t="str">
        <x:v>LongCat-2.0</x:v>
      </x:c>
      <x:c r="Q845" s="30" t="str">
        <x:v>LongCat-2.0</x:v>
      </x:c>
      <x:c r="R845" s="30" t="n">
        <x:v>3596.28</x:v>
      </x:c>
      <x:c r="S845" s="30" t="str">
        <x:v>{"completion_tokens": 42, "prompt_tokens": 145, "total_tokens": 187,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46">
      <x:c r="A846" s="30" t="str">
        <x:v>memos_medium:2381</x:v>
      </x:c>
      <x:c r="B846" s="30" t="str">
        <x:v>medium</x:v>
      </x:c>
      <x:c r="C846" s="30" t="str">
        <x:v>Basic Fact Recall</x:v>
      </x:c>
      <x:c r="D846" s="30" t="n">
        <x:v>2</x:v>
      </x:c>
      <x:c r="E846" s="30" t="str">
        <x:v>What new food preference did Williams Daniel develop after September 30, 2033?</x:v>
      </x:c>
      <x:c r="F846" s="30" t="str">
        <x:v>Traditional ramen</x:v>
      </x:c>
      <x:c r="G846" s="30" t="str">
        <x:v>Traditional ramen</x:v>
      </x:c>
      <x:c r="H846" s="30" t="str">
        <x:v>deepseek-v4-flash</x:v>
      </x:c>
      <x:c r="I846" s="30" t="str">
        <x:v>deepseek-v4-flash</x:v>
      </x:c>
      <x:c r="J846" s="30" t="str">
        <x:v>2f4c49fe58c6f388afdd9dcae079879fc273ba213de1b26c47434bc730d969b9</x:v>
      </x:c>
      <x:c r="K846" s="30" t="str">
        <x:v>89fcac530a5860f09e8fc058c86833b1724187e9ab301da10923b71c1117bc45</x:v>
      </x:c>
      <x:c r="L846" s="30" t="n">
        <x:v>888.13</x:v>
      </x:c>
      <x:c r="M846" s="30" t="str">
        <x:v>{"completion_tokens": 3, "prompt_tokens": 536, "total_tokens": 539, "completion_tokens_details": null, "prompt_tokens_details": {"audio_tokens": null, "cached_tokens": 512}, "prompt_cache_hit_tokens": 512, "prompt_cache_miss_tokens": 24}</x:v>
      </x:c>
      <x:c r="N846" s="30" t="str">
        <x:v>correct</x:v>
      </x:c>
      <x:c r="O846" s="30" t="str">
        <x:v>The model answer 'Traditional ramen' exactly matches the benchmark gold answer 'Traditional ramen', providing the complete answer with no contradictions or omissions.</x:v>
      </x:c>
      <x:c r="P846" s="30" t="str">
        <x:v>LongCat-2.0</x:v>
      </x:c>
      <x:c r="Q846" s="30" t="str">
        <x:v>LongCat-2.0</x:v>
      </x:c>
      <x:c r="R846" s="30" t="n">
        <x:v>3585.12</x:v>
      </x:c>
      <x:c r="S846" s="30" t="str">
        <x:v>{"completion_tokens": 41, "prompt_tokens": 145, "total_tokens": 186,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7">
      <x:c r="A847" s="30" t="str">
        <x:v>memos_medium:2381</x:v>
      </x:c>
      <x:c r="B847" s="30" t="str">
        <x:v>medium</x:v>
      </x:c>
      <x:c r="C847" s="30" t="str">
        <x:v>Basic Fact Recall</x:v>
      </x:c>
      <x:c r="D847" s="30" t="n">
        <x:v>3</x:v>
      </x:c>
      <x:c r="E847" s="30" t="str">
        <x:v>What new food preference did Williams Daniel develop after September 30, 2033?</x:v>
      </x:c>
      <x:c r="F847" s="30" t="str">
        <x:v>Traditional ramen</x:v>
      </x:c>
      <x:c r="G847" s="30" t="str">
        <x:v>Traditional ramen</x:v>
      </x:c>
      <x:c r="H847" s="30" t="str">
        <x:v>deepseek-v4-flash</x:v>
      </x:c>
      <x:c r="I847" s="30" t="str">
        <x:v>deepseek-v4-flash</x:v>
      </x:c>
      <x:c r="J847" s="30" t="str">
        <x:v>2f4c49fe58c6f388afdd9dcae079879fc273ba213de1b26c47434bc730d969b9</x:v>
      </x:c>
      <x:c r="K847" s="30" t="str">
        <x:v>89fcac530a5860f09e8fc058c86833b1724187e9ab301da10923b71c1117bc45</x:v>
      </x:c>
      <x:c r="L847" s="30" t="n">
        <x:v>836.32</x:v>
      </x:c>
      <x:c r="M847" s="30" t="str">
        <x:v>{"completion_tokens": 3, "prompt_tokens": 536, "total_tokens": 539, "completion_tokens_details": null, "prompt_tokens_details": {"audio_tokens": null, "cached_tokens": 512}, "prompt_cache_hit_tokens": 512, "prompt_cache_miss_tokens": 24}</x:v>
      </x:c>
      <x:c r="N847" s="30" t="str">
        <x:v>correct</x:v>
      </x:c>
      <x:c r="O847" s="30" t="str">
        <x:v>The model answer 'Traditional ramen' exactly matches the benchmark gold answer 'Traditional ramen', providing the complete and correct information.</x:v>
      </x:c>
      <x:c r="P847" s="30" t="str">
        <x:v>LongCat-2.0</x:v>
      </x:c>
      <x:c r="Q847" s="30" t="str">
        <x:v>LongCat-2.0</x:v>
      </x:c>
      <x:c r="R847" s="30" t="n">
        <x:v>3684.19</x:v>
      </x:c>
      <x:c r="S847" s="30" t="str">
        <x:v>{"completion_tokens": 37, "prompt_tokens": 145, "total_tokens": 182,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8">
      <x:c r="A848" s="30" t="str">
        <x:v>memos_medium:2388</x:v>
      </x:c>
      <x:c r="B848" s="30" t="str">
        <x:v>medium</x:v>
      </x:c>
      <x:c r="C848" s="30" t="str">
        <x:v>Generalization &amp; Application</x:v>
      </x:c>
      <x:c r="D848" s="30" t="n">
        <x:v>1</x:v>
      </x:c>
      <x:c r="E848" s="30" t="str">
        <x:v>How might Williams Daniel approach trying new culturally significant foods given his interest in historical authenticity?</x:v>
      </x:c>
      <x:c r="F848" s="30" t="str">
        <x:v>He would appreciate their cultural impact despite personal taste preferences.</x:v>
      </x:c>
      <x:c r="G848" s="30" t="str">
        <x:v>Explore cultural significance first.</x:v>
      </x:c>
      <x:c r="H848" s="30" t="str">
        <x:v>deepseek-v4-flash</x:v>
      </x:c>
      <x:c r="I848" s="30" t="str">
        <x:v>deepseek-v4-flash</x:v>
      </x:c>
      <x:c r="J848" s="30" t="str">
        <x:v>18dcb60d3e8d81709528afe00bb852c6ce6bb1d28683e7958208acb32bdef669</x:v>
      </x:c>
      <x:c r="K848" s="30" t="str">
        <x:v>203f628bee4e786e1ca966b6f792d4b099414070fe0b243e04358c5ea4d78c1b</x:v>
      </x:c>
      <x:c r="L848" s="30" t="n">
        <x:v>620.95</x:v>
      </x:c>
      <x:c r="M848" s="30" t="str">
        <x:v>{"completion_tokens": 5, "prompt_tokens": 602, "total_tokens": 607, "completion_tokens_details": null, "prompt_tokens_details": {"audio_tokens": null, "cached_tokens": 512}, "prompt_cache_hit_tokens": 512, "prompt_cache_miss_tokens": 90}</x:v>
      </x:c>
      <x:c r="N848" s="30" t="str">
        <x:v>omission</x:v>
      </x:c>
      <x:c r="O848" s="30" t="str">
        <x:v>The model answer 'Explore cultural significance first' captures part of the gold answer's idea about cultural impact but omits the key element that Williams Daniel would appreciate the foods despite personal taste preferences. It provides only an incomplete subset of the gold answer.</x:v>
      </x:c>
      <x:c r="P848" s="30" t="str">
        <x:v>LongCat-2.0</x:v>
      </x:c>
      <x:c r="Q848" s="30" t="str">
        <x:v>LongCat-2.0</x:v>
      </x:c>
      <x:c r="R848" s="30" t="n">
        <x:v>3109.74</x:v>
      </x:c>
      <x:c r="S848" s="30" t="str">
        <x:v>{"completion_tokens": 61, "prompt_tokens": 150,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49">
      <x:c r="A849" s="30" t="str">
        <x:v>memos_medium:2388</x:v>
      </x:c>
      <x:c r="B849" s="30" t="str">
        <x:v>medium</x:v>
      </x:c>
      <x:c r="C849" s="30" t="str">
        <x:v>Generalization &amp; Application</x:v>
      </x:c>
      <x:c r="D849" s="30" t="n">
        <x:v>2</x:v>
      </x:c>
      <x:c r="E849" s="30" t="str">
        <x:v>How might Williams Daniel approach trying new culturally significant foods given his interest in historical authenticity?</x:v>
      </x:c>
      <x:c r="F849" s="30" t="str">
        <x:v>He would appreciate their cultural impact despite personal taste preferences.</x:v>
      </x:c>
      <x:c r="G849" s="30" t="str">
        <x:v>Explore cultural significance first.</x:v>
      </x:c>
      <x:c r="H849" s="30" t="str">
        <x:v>deepseek-v4-flash</x:v>
      </x:c>
      <x:c r="I849" s="30" t="str">
        <x:v>deepseek-v4-flash</x:v>
      </x:c>
      <x:c r="J849" s="30" t="str">
        <x:v>18dcb60d3e8d81709528afe00bb852c6ce6bb1d28683e7958208acb32bdef669</x:v>
      </x:c>
      <x:c r="K849" s="30" t="str">
        <x:v>203f628bee4e786e1ca966b6f792d4b099414070fe0b243e04358c5ea4d78c1b</x:v>
      </x:c>
      <x:c r="L849" s="30" t="n">
        <x:v>851.9</x:v>
      </x:c>
      <x:c r="M849" s="30" t="str">
        <x:v>{"completion_tokens": 5, "prompt_tokens": 602, "total_tokens": 607, "completion_tokens_details": null, "prompt_tokens_details": {"audio_tokens": null, "cached_tokens": 512}, "prompt_cache_hit_tokens": 512, "prompt_cache_miss_tokens": 90}</x:v>
      </x:c>
      <x:c r="N849" s="30" t="str">
        <x:v>omission</x:v>
      </x:c>
      <x:c r="O849" s="30" t="str">
        <x:v>The model answer 'Explore cultural significance first' captures a partial aspect of the gold answer but omits the key element that he would appreciate the cultural impact despite personal taste preferences. It provides an incomplete subset without adding a false claim, fitting the definition of omission.</x:v>
      </x:c>
      <x:c r="P849" s="30" t="str">
        <x:v>LongCat-2.0</x:v>
      </x:c>
      <x:c r="Q849" s="30" t="str">
        <x:v>LongCat-2.0</x:v>
      </x:c>
      <x:c r="R849" s="30" t="n">
        <x:v>2464.58</x:v>
      </x:c>
      <x:c r="S849" s="30" t="str">
        <x:v>{"completion_tokens": 64, "prompt_tokens": 150,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0">
      <x:c r="A850" s="30" t="str">
        <x:v>memos_medium:2388</x:v>
      </x:c>
      <x:c r="B850" s="30" t="str">
        <x:v>medium</x:v>
      </x:c>
      <x:c r="C850" s="30" t="str">
        <x:v>Generalization &amp; Application</x:v>
      </x:c>
      <x:c r="D850" s="30" t="n">
        <x:v>3</x:v>
      </x:c>
      <x:c r="E850" s="30" t="str">
        <x:v>How might Williams Daniel approach trying new culturally significant foods given his interest in historical authenticity?</x:v>
      </x:c>
      <x:c r="F850" s="30" t="str">
        <x:v>He would appreciate their cultural impact despite personal taste preferences.</x:v>
      </x:c>
      <x:c r="G850" s="30" t="str">
        <x:v>Explore cultural significance first.</x:v>
      </x:c>
      <x:c r="H850" s="30" t="str">
        <x:v>deepseek-v4-flash</x:v>
      </x:c>
      <x:c r="I850" s="30" t="str">
        <x:v>deepseek-v4-flash</x:v>
      </x:c>
      <x:c r="J850" s="30" t="str">
        <x:v>18dcb60d3e8d81709528afe00bb852c6ce6bb1d28683e7958208acb32bdef669</x:v>
      </x:c>
      <x:c r="K850" s="30" t="str">
        <x:v>203f628bee4e786e1ca966b6f792d4b099414070fe0b243e04358c5ea4d78c1b</x:v>
      </x:c>
      <x:c r="L850" s="30" t="n">
        <x:v>862.33</x:v>
      </x:c>
      <x:c r="M850" s="30" t="str">
        <x:v>{"completion_tokens": 5, "prompt_tokens": 602, "total_tokens": 607, "completion_tokens_details": null, "prompt_tokens_details": {"audio_tokens": null, "cached_tokens": 512}, "prompt_cache_hit_tokens": 512, "prompt_cache_miss_tokens": 90}</x:v>
      </x:c>
      <x:c r="N850" s="30" t="str">
        <x:v>omission</x:v>
      </x:c>
      <x:c r="O850" s="30" t="str">
        <x:v>The model answer 'Explore cultural significance first' captures part of the gold answer's idea about cultural significance but omits the key element that Williams Daniel would appreciate the cultural impact despite personal taste preferences. It provides only an incomplete subset of the gold answer.</x:v>
      </x:c>
      <x:c r="P850" s="30" t="str">
        <x:v>LongCat-2.0</x:v>
      </x:c>
      <x:c r="Q850" s="30" t="str">
        <x:v>LongCat-2.0</x:v>
      </x:c>
      <x:c r="R850" s="30" t="n">
        <x:v>2973.62</x:v>
      </x:c>
      <x:c r="S850" s="30" t="str">
        <x:v>{"completion_tokens": 62, "prompt_tokens": 150, "total_tokens": 212,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1">
      <x:c r="A851" s="30" t="str">
        <x:v>memos_medium:2404</x:v>
      </x:c>
      <x:c r="B851" s="30" t="str">
        <x:v>medium</x:v>
      </x:c>
      <x:c r="C851" s="30" t="str">
        <x:v>Basic Fact Recall</x:v>
      </x:c>
      <x:c r="D851" s="30" t="n">
        <x:v>1</x:v>
      </x:c>
      <x:c r="E851" s="30" t="str">
        <x:v>What is Williams Daniel's reading preference as of January 14, 2035?</x:v>
      </x:c>
      <x:c r="F851" s="30" t="str">
        <x:v>Biographies of 18th-century figures.</x:v>
      </x:c>
      <x:c r="G851" s="30" t="str">
        <x:v>18th-century biographies</x:v>
      </x:c>
      <x:c r="H851" s="30" t="str">
        <x:v>deepseek-v4-flash</x:v>
      </x:c>
      <x:c r="I851" s="30" t="str">
        <x:v>deepseek-v4-flash</x:v>
      </x:c>
      <x:c r="J851" s="30" t="str">
        <x:v>ea3523a36d5b3eea30ec8ad18b7318e52838cd451401ba3d522a80f1ee4abf1f</x:v>
      </x:c>
      <x:c r="K851" s="30" t="str">
        <x:v>6f82c7b8a759538b0ac094f739d1b4bd7cda00dab2dee9af206e2b2140987d57</x:v>
      </x:c>
      <x:c r="L851" s="30" t="n">
        <x:v>635.38</x:v>
      </x:c>
      <x:c r="M851" s="30" t="str">
        <x:v>{"completion_tokens": 4, "prompt_tokens": 540, "total_tokens": 544, "completion_tokens_details": null, "prompt_tokens_details": {"audio_tokens": null, "cached_tokens": 512}, "prompt_cache_hit_tokens": 512, "prompt_cache_miss_tokens": 28}</x:v>
      </x:c>
      <x:c r="N851" s="30" t="str">
        <x:v>correct</x:v>
      </x:c>
      <x:c r="O851" s="30" t="str">
        <x:v>The model answer '18th-century biographies' is semantically equivalent to the gold answer 'Biographies of 18th-century figures.' Both convey the same reading preference with only minor wording differences.</x:v>
      </x:c>
      <x:c r="P851" s="30" t="str">
        <x:v>LongCat-2.0</x:v>
      </x:c>
      <x:c r="Q851" s="30" t="str">
        <x:v>LongCat-2.0</x:v>
      </x:c>
      <x:c r="R851" s="30" t="n">
        <x:v>3682.81</x:v>
      </x:c>
      <x:c r="S851" s="30" t="str">
        <x:v>{"completion_tokens": 53, "prompt_tokens": 154,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2">
      <x:c r="A852" s="30" t="str">
        <x:v>memos_medium:2404</x:v>
      </x:c>
      <x:c r="B852" s="30" t="str">
        <x:v>medium</x:v>
      </x:c>
      <x:c r="C852" s="30" t="str">
        <x:v>Basic Fact Recall</x:v>
      </x:c>
      <x:c r="D852" s="30" t="n">
        <x:v>2</x:v>
      </x:c>
      <x:c r="E852" s="30" t="str">
        <x:v>What is Williams Daniel's reading preference as of January 14, 2035?</x:v>
      </x:c>
      <x:c r="F852" s="30" t="str">
        <x:v>Biographies of 18th-century figures.</x:v>
      </x:c>
      <x:c r="G852" s="30" t="str">
        <x:v>18th-century biographies</x:v>
      </x:c>
      <x:c r="H852" s="30" t="str">
        <x:v>deepseek-v4-flash</x:v>
      </x:c>
      <x:c r="I852" s="30" t="str">
        <x:v>deepseek-v4-flash</x:v>
      </x:c>
      <x:c r="J852" s="30" t="str">
        <x:v>ea3523a36d5b3eea30ec8ad18b7318e52838cd451401ba3d522a80f1ee4abf1f</x:v>
      </x:c>
      <x:c r="K852" s="30" t="str">
        <x:v>6f82c7b8a759538b0ac094f739d1b4bd7cda00dab2dee9af206e2b2140987d57</x:v>
      </x:c>
      <x:c r="L852" s="30" t="n">
        <x:v>577.2</x:v>
      </x:c>
      <x:c r="M852" s="30" t="str">
        <x:v>{"completion_tokens": 4, "prompt_tokens": 540, "total_tokens": 544, "completion_tokens_details": null, "prompt_tokens_details": {"audio_tokens": null, "cached_tokens": 512}, "prompt_cache_hit_tokens": 512, "prompt_cache_miss_tokens": 28}</x:v>
      </x:c>
      <x:c r="N852" s="30" t="str">
        <x:v>correct</x:v>
      </x:c>
      <x:c r="O852" s="30" t="str">
        <x:v>The model answer '18th-century biographies' is semantically equivalent to the gold answer 'Biographies of 18th-century figures.' Both convey the same reading preference with only minor wording differences.</x:v>
      </x:c>
      <x:c r="P852" s="30" t="str">
        <x:v>LongCat-2.0</x:v>
      </x:c>
      <x:c r="Q852" s="30" t="str">
        <x:v>LongCat-2.0</x:v>
      </x:c>
      <x:c r="R852" s="30" t="n">
        <x:v>3118.8</x:v>
      </x:c>
      <x:c r="S852" s="30" t="str">
        <x:v>{"completion_tokens": 53, "prompt_tokens": 154,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3">
      <x:c r="A853" s="30" t="str">
        <x:v>memos_medium:2404</x:v>
      </x:c>
      <x:c r="B853" s="30" t="str">
        <x:v>medium</x:v>
      </x:c>
      <x:c r="C853" s="30" t="str">
        <x:v>Basic Fact Recall</x:v>
      </x:c>
      <x:c r="D853" s="30" t="n">
        <x:v>3</x:v>
      </x:c>
      <x:c r="E853" s="30" t="str">
        <x:v>What is Williams Daniel's reading preference as of January 14, 2035?</x:v>
      </x:c>
      <x:c r="F853" s="30" t="str">
        <x:v>Biographies of 18th-century figures.</x:v>
      </x:c>
      <x:c r="G853" s="30" t="str">
        <x:v>18th-century biographies</x:v>
      </x:c>
      <x:c r="H853" s="30" t="str">
        <x:v>deepseek-v4-flash</x:v>
      </x:c>
      <x:c r="I853" s="30" t="str">
        <x:v>deepseek-v4-flash</x:v>
      </x:c>
      <x:c r="J853" s="30" t="str">
        <x:v>ea3523a36d5b3eea30ec8ad18b7318e52838cd451401ba3d522a80f1ee4abf1f</x:v>
      </x:c>
      <x:c r="K853" s="30" t="str">
        <x:v>6f82c7b8a759538b0ac094f739d1b4bd7cda00dab2dee9af206e2b2140987d57</x:v>
      </x:c>
      <x:c r="L853" s="30" t="n">
        <x:v>475.73</x:v>
      </x:c>
      <x:c r="M853" s="30" t="str">
        <x:v>{"completion_tokens": 4, "prompt_tokens": 540, "total_tokens": 544, "completion_tokens_details": null, "prompt_tokens_details": {"audio_tokens": null, "cached_tokens": 512}, "prompt_cache_hit_tokens": 512, "prompt_cache_miss_tokens": 28}</x:v>
      </x:c>
      <x:c r="N853" s="30" t="str">
        <x:v>correct</x:v>
      </x:c>
      <x:c r="O853" s="30" t="str">
        <x:v>The model answer '18th-century biographies' is semantically equivalent to the gold answer 'Biographies of 18th-century figures.' Both convey the same reading preference with only minor wording differences.</x:v>
      </x:c>
      <x:c r="P853" s="30" t="str">
        <x:v>LongCat-2.0</x:v>
      </x:c>
      <x:c r="Q853" s="30" t="str">
        <x:v>LongCat-2.0</x:v>
      </x:c>
      <x:c r="R853" s="30" t="n">
        <x:v>3767.37</x:v>
      </x:c>
      <x:c r="S853" s="30" t="str">
        <x:v>{"completion_tokens": 53, "prompt_tokens": 154, "total_tokens": 207,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54">
      <x:c r="A854" s="30" t="str">
        <x:v>memos_medium:2423</x:v>
      </x:c>
      <x:c r="B854" s="30" t="str">
        <x:v>medium</x:v>
      </x:c>
      <x:c r="C854" s="30" t="str">
        <x:v>Dynamic Update</x:v>
      </x:c>
      <x:c r="D854" s="30" t="n">
        <x:v>1</x:v>
      </x:c>
      <x:c r="E854" s="30" t="str">
        <x:v>What is the latest focus of Williams Daniel's personal projects as of July 15, 2036?</x:v>
      </x:c>
      <x:c r="F854" s="30" t="str">
        <x:v>Revisiting creative ideas without industry constraints.</x:v>
      </x:c>
      <x:c r="G854" s="30" t="str">
        <x:v>Storytelling without industry constraints.</x:v>
      </x:c>
      <x:c r="H854" s="30" t="str">
        <x:v>deepseek-v4-flash</x:v>
      </x:c>
      <x:c r="I854" s="30" t="str">
        <x:v>deepseek-v4-flash</x:v>
      </x:c>
      <x:c r="J854" s="30" t="str">
        <x:v>e29c69319ef76bd1b7d8c990ede5b5c09dcd73c08011ace90a3d07bfc15f8461</x:v>
      </x:c>
      <x:c r="K854" s="30" t="str">
        <x:v>015f87ab9c29bb2786d3e60acbc3fa1dc157c26866707fb43c41ed778f74a357</x:v>
      </x:c>
      <x:c r="L854" s="30" t="n">
        <x:v>601.29</x:v>
      </x:c>
      <x:c r="M854" s="30" t="str">
        <x:v>{"completion_tokens": 6, "prompt_tokens": 563, "total_tokens": 569, "completion_tokens_details": null, "prompt_tokens_details": {"audio_tokens": null, "cached_tokens": 512}, "prompt_cache_hit_tokens": 512, "prompt_cache_miss_tokens": 51}</x:v>
      </x:c>
      <x:c r="N854" s="30" t="str">
        <x:v>hallucination</x:v>
      </x:c>
      <x:c r="O854" s="30" t="str">
        <x:v>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x:v>
      </x:c>
      <x:c r="P854" s="30" t="str">
        <x:v>LongCat-2.0</x:v>
      </x:c>
      <x:c r="Q854" s="30" t="str">
        <x:v>LongCat-2.0</x:v>
      </x:c>
      <x:c r="R854" s="30" t="n">
        <x:v>3424.03</x:v>
      </x:c>
      <x:c r="S854" s="30" t="str">
        <x:v>{"completion_tokens": 77, "prompt_tokens": 157, "total_tokens": 234,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55">
      <x:c r="A855" s="30" t="str">
        <x:v>memos_medium:2423</x:v>
      </x:c>
      <x:c r="B855" s="30" t="str">
        <x:v>medium</x:v>
      </x:c>
      <x:c r="C855" s="30" t="str">
        <x:v>Dynamic Update</x:v>
      </x:c>
      <x:c r="D855" s="30" t="n">
        <x:v>2</x:v>
      </x:c>
      <x:c r="E855" s="30" t="str">
        <x:v>What is the latest focus of Williams Daniel's personal projects as of July 15, 2036?</x:v>
      </x:c>
      <x:c r="F855" s="30" t="str">
        <x:v>Revisiting creative ideas without industry constraints.</x:v>
      </x:c>
      <x:c r="G855" s="30" t="str">
        <x:v>Storytelling without industry constraints.</x:v>
      </x:c>
      <x:c r="H855" s="30" t="str">
        <x:v>deepseek-v4-flash</x:v>
      </x:c>
      <x:c r="I855" s="30" t="str">
        <x:v>deepseek-v4-flash</x:v>
      </x:c>
      <x:c r="J855" s="30" t="str">
        <x:v>e29c69319ef76bd1b7d8c990ede5b5c09dcd73c08011ace90a3d07bfc15f8461</x:v>
      </x:c>
      <x:c r="K855" s="30" t="str">
        <x:v>015f87ab9c29bb2786d3e60acbc3fa1dc157c26866707fb43c41ed778f74a357</x:v>
      </x:c>
      <x:c r="L855" s="30" t="n">
        <x:v>603.34</x:v>
      </x:c>
      <x:c r="M855" s="30" t="str">
        <x:v>{"completion_tokens": 6, "prompt_tokens": 563, "total_tokens": 569, "completion_tokens_details": null, "prompt_tokens_details": {"audio_tokens": null, "cached_tokens": 512}, "prompt_cache_hit_tokens": 512, "prompt_cache_miss_tokens": 51}</x:v>
      </x:c>
      <x:c r="N855" s="30" t="str">
        <x:v>hallucination</x:v>
      </x:c>
      <x:c r="O855" s="30" t="str">
        <x:v>The gold answer states the focus is 'Revisiting creative ideas without industry constraints,' while the model answer replaces 'Revisiting creative ideas' with 'Storytelling.' Storytelling is a specific, concrete claim that is not supported by the gold answer and alters the meaning, making it a hallucination rather than a semantically equivalent rephrasing.</x:v>
      </x:c>
      <x:c r="P855" s="30" t="str">
        <x:v>LongCat-2.0</x:v>
      </x:c>
      <x:c r="Q855" s="30" t="str">
        <x:v>LongCat-2.0</x:v>
      </x:c>
      <x:c r="R855" s="30" t="n">
        <x:v>3389.64</x:v>
      </x:c>
      <x:c r="S855" s="30" t="str">
        <x:v>{"completion_tokens": 86, "prompt_tokens": 157,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6">
      <x:c r="A856" s="30" t="str">
        <x:v>memos_medium:2423</x:v>
      </x:c>
      <x:c r="B856" s="30" t="str">
        <x:v>medium</x:v>
      </x:c>
      <x:c r="C856" s="30" t="str">
        <x:v>Dynamic Update</x:v>
      </x:c>
      <x:c r="D856" s="30" t="n">
        <x:v>3</x:v>
      </x:c>
      <x:c r="E856" s="30" t="str">
        <x:v>What is the latest focus of Williams Daniel's personal projects as of July 15, 2036?</x:v>
      </x:c>
      <x:c r="F856" s="30" t="str">
        <x:v>Revisiting creative ideas without industry constraints.</x:v>
      </x:c>
      <x:c r="G856" s="30" t="str">
        <x:v>Storytelling without industry constraints.</x:v>
      </x:c>
      <x:c r="H856" s="30" t="str">
        <x:v>deepseek-v4-flash</x:v>
      </x:c>
      <x:c r="I856" s="30" t="str">
        <x:v>deepseek-v4-flash</x:v>
      </x:c>
      <x:c r="J856" s="30" t="str">
        <x:v>e29c69319ef76bd1b7d8c990ede5b5c09dcd73c08011ace90a3d07bfc15f8461</x:v>
      </x:c>
      <x:c r="K856" s="30" t="str">
        <x:v>015f87ab9c29bb2786d3e60acbc3fa1dc157c26866707fb43c41ed778f74a357</x:v>
      </x:c>
      <x:c r="L856" s="30" t="n">
        <x:v>567.01</x:v>
      </x:c>
      <x:c r="M856" s="30" t="str">
        <x:v>{"completion_tokens": 6, "prompt_tokens": 563, "total_tokens": 569, "completion_tokens_details": null, "prompt_tokens_details": {"audio_tokens": null, "cached_tokens": 512}, "prompt_cache_hit_tokens": 512, "prompt_cache_miss_tokens": 51}</x:v>
      </x:c>
      <x:c r="N856" s="30" t="str">
        <x:v>hallucination</x:v>
      </x:c>
      <x:c r="O856" s="30" t="str">
        <x:v>The gold answer states the focus is 'Revisiting creative ideas without industry constraints,' while the model answer says 'Storytelling without industry constraints.' Storytelling is a concrete claim that is not supported by the gold answer and contradicts the specific focus on 'revisiting creative ideas,' making this a hallucination.</x:v>
      </x:c>
      <x:c r="P856" s="30" t="str">
        <x:v>LongCat-2.0</x:v>
      </x:c>
      <x:c r="Q856" s="30" t="str">
        <x:v>LongCat-2.0</x:v>
      </x:c>
      <x:c r="R856" s="30" t="n">
        <x:v>2721.67</x:v>
      </x:c>
      <x:c r="S856" s="30" t="str">
        <x:v>{"completion_tokens": 77, "prompt_tokens": 157,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7">
      <x:c r="A857" s="30" t="str">
        <x:v>memos_medium:2469</x:v>
      </x:c>
      <x:c r="B857" s="30" t="str">
        <x:v>medium</x:v>
      </x:c>
      <x:c r="C857" s="30" t="str">
        <x:v>Multi-hop Inference</x:v>
      </x:c>
      <x:c r="D857" s="30" t="n">
        <x:v>1</x:v>
      </x:c>
      <x:c r="E857" s="30" t="str">
        <x:v>What motivates Steven Miller to maintain his identity as a successful trader despite health challenges?</x:v>
      </x:c>
      <x:c r="F857" s="30" t="str">
        <x:v>Social signaling and financial independence.</x:v>
      </x:c>
      <x:c r="G857" s="30" t="str">
        <x:v>Social signaling and financial independence.</x:v>
      </x:c>
      <x:c r="H857" s="30" t="str">
        <x:v>deepseek-v4-flash</x:v>
      </x:c>
      <x:c r="I857" s="30" t="str">
        <x:v>deepseek-v4-flash</x:v>
      </x:c>
      <x:c r="J857" s="30" t="str">
        <x:v>170396f5351487f9954066a2af60117355f76bd9832e00400980b7c0519e206d</x:v>
      </x:c>
      <x:c r="K857" s="30" t="str">
        <x:v>f882278abe90b1987627c8eca9f5a79a575b7af86cb42f29f750dfee35fa4198</x:v>
      </x:c>
      <x:c r="L857" s="30" t="n">
        <x:v>615.2</x:v>
      </x:c>
      <x:c r="M857" s="30" t="str">
        <x:v>{"completion_tokens": 6, "prompt_tokens": 568, "total_tokens": 574, "completion_tokens_details": null, "prompt_tokens_details": {"audio_tokens": null, "cached_tokens": 512}, "prompt_cache_hit_tokens": 512, "prompt_cache_miss_tokens": 56}</x:v>
      </x:c>
      <x:c r="N857" s="30" t="str">
        <x:v>correct</x:v>
      </x:c>
      <x:c r="O857" s="30" t="str">
        <x:v>The model answer exactly matches the gold answer, providing the complete semantic content without any omissions or contradictions.</x:v>
      </x:c>
      <x:c r="P857" s="30" t="str">
        <x:v>LongCat-2.0</x:v>
      </x:c>
      <x:c r="Q857" s="30" t="str">
        <x:v>LongCat-2.0</x:v>
      </x:c>
      <x:c r="R857" s="30" t="n">
        <x:v>4036.49</x:v>
      </x:c>
      <x:c r="S857" s="30" t="str">
        <x:v>{"completion_tokens": 32, "prompt_tokens": 146, "total_tokens": 178,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58">
      <x:c r="A858" s="30" t="str">
        <x:v>memos_medium:2469</x:v>
      </x:c>
      <x:c r="B858" s="30" t="str">
        <x:v>medium</x:v>
      </x:c>
      <x:c r="C858" s="30" t="str">
        <x:v>Multi-hop Inference</x:v>
      </x:c>
      <x:c r="D858" s="30" t="n">
        <x:v>2</x:v>
      </x:c>
      <x:c r="E858" s="30" t="str">
        <x:v>What motivates Steven Miller to maintain his identity as a successful trader despite health challenges?</x:v>
      </x:c>
      <x:c r="F858" s="30" t="str">
        <x:v>Social signaling and financial independence.</x:v>
      </x:c>
      <x:c r="G858" s="30" t="str">
        <x:v>Social signaling and financial independence.</x:v>
      </x:c>
      <x:c r="H858" s="30" t="str">
        <x:v>deepseek-v4-flash</x:v>
      </x:c>
      <x:c r="I858" s="30" t="str">
        <x:v>deepseek-v4-flash</x:v>
      </x:c>
      <x:c r="J858" s="30" t="str">
        <x:v>170396f5351487f9954066a2af60117355f76bd9832e00400980b7c0519e206d</x:v>
      </x:c>
      <x:c r="K858" s="30" t="str">
        <x:v>f882278abe90b1987627c8eca9f5a79a575b7af86cb42f29f750dfee35fa4198</x:v>
      </x:c>
      <x:c r="L858" s="30" t="n">
        <x:v>861.92</x:v>
      </x:c>
      <x:c r="M858" s="30" t="str">
        <x:v>{"completion_tokens": 6, "prompt_tokens": 568, "total_tokens": 574, "completion_tokens_details": null, "prompt_tokens_details": {"audio_tokens": null, "cached_tokens": 512}, "prompt_cache_hit_tokens": 512, "prompt_cache_miss_tokens": 56}</x:v>
      </x:c>
      <x:c r="N858" s="30" t="str">
        <x:v>correct</x:v>
      </x:c>
      <x:c r="O858" s="30" t="str">
        <x:v>The model answer exactly matches the gold answer, providing both 'social signaling' and 'financial independence' as motivations.</x:v>
      </x:c>
      <x:c r="P858" s="30" t="str">
        <x:v>LongCat-2.0</x:v>
      </x:c>
      <x:c r="Q858" s="30" t="str">
        <x:v>LongCat-2.0</x:v>
      </x:c>
      <x:c r="R858" s="30" t="n">
        <x:v>3770.01</x:v>
      </x:c>
      <x:c r="S858" s="30" t="str">
        <x:v>{"completion_tokens": 35, "prompt_tokens": 146, "total_tokens": 181,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59">
      <x:c r="A859" s="30" t="str">
        <x:v>memos_medium:2469</x:v>
      </x:c>
      <x:c r="B859" s="30" t="str">
        <x:v>medium</x:v>
      </x:c>
      <x:c r="C859" s="30" t="str">
        <x:v>Multi-hop Inference</x:v>
      </x:c>
      <x:c r="D859" s="30" t="n">
        <x:v>3</x:v>
      </x:c>
      <x:c r="E859" s="30" t="str">
        <x:v>What motivates Steven Miller to maintain his identity as a successful trader despite health challenges?</x:v>
      </x:c>
      <x:c r="F859" s="30" t="str">
        <x:v>Social signaling and financial independence.</x:v>
      </x:c>
      <x:c r="G859" s="30" t="str">
        <x:v>Social signaling and financial independence.</x:v>
      </x:c>
      <x:c r="H859" s="30" t="str">
        <x:v>deepseek-v4-flash</x:v>
      </x:c>
      <x:c r="I859" s="30" t="str">
        <x:v>deepseek-v4-flash</x:v>
      </x:c>
      <x:c r="J859" s="30" t="str">
        <x:v>170396f5351487f9954066a2af60117355f76bd9832e00400980b7c0519e206d</x:v>
      </x:c>
      <x:c r="K859" s="30" t="str">
        <x:v>f882278abe90b1987627c8eca9f5a79a575b7af86cb42f29f750dfee35fa4198</x:v>
      </x:c>
      <x:c r="L859" s="30" t="n">
        <x:v>750.98</x:v>
      </x:c>
      <x:c r="M859" s="30" t="str">
        <x:v>{"completion_tokens": 6, "prompt_tokens": 568, "total_tokens": 574, "completion_tokens_details": null, "prompt_tokens_details": {"audio_tokens": null, "cached_tokens": 512}, "prompt_cache_hit_tokens": 512, "prompt_cache_miss_tokens": 56}</x:v>
      </x:c>
      <x:c r="N859" s="30" t="str">
        <x:v>correct</x:v>
      </x:c>
      <x:c r="O859" s="30" t="str">
        <x:v>The model answer exactly matches the gold answer, providing the complete semantic content without any omissions or contradictions.</x:v>
      </x:c>
      <x:c r="P859" s="30" t="str">
        <x:v>LongCat-2.0</x:v>
      </x:c>
      <x:c r="Q859" s="30" t="str">
        <x:v>LongCat-2.0</x:v>
      </x:c>
      <x:c r="R859" s="30" t="n">
        <x:v>3754.99</x:v>
      </x:c>
      <x:c r="S859" s="30" t="str">
        <x:v>{"completion_tokens": 32, "prompt_tokens": 146, "total_tokens": 178,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0">
      <x:c r="A860" s="30" t="str">
        <x:v>memos_medium:2471</x:v>
      </x:c>
      <x:c r="B860" s="30" t="str">
        <x:v>medium</x:v>
      </x:c>
      <x:c r="C860" s="30" t="str">
        <x:v>Generalization &amp; Application</x:v>
      </x:c>
      <x:c r="D860" s="30" t="n">
        <x:v>1</x:v>
      </x:c>
      <x:c r="E860" s="30" t="str">
        <x:v>Given Steven's interest in pet companionship, what lifestyle change might he consider to enhance his well-being during trading periods?</x:v>
      </x:c>
      <x:c r="F860" s="30" t="str">
        <x:v>Spending more time with his cat.</x:v>
      </x:c>
      <x:c r="G860" s="30" t="str">
        <x:v>Spending more time with cat.</x:v>
      </x:c>
      <x:c r="H860" s="30" t="str">
        <x:v>deepseek-v4-flash</x:v>
      </x:c>
      <x:c r="I860" s="30" t="str">
        <x:v>deepseek-v4-flash</x:v>
      </x:c>
      <x:c r="J860" s="30" t="str">
        <x:v>d2af007313b798758c309d59a0519bc27171ae941e23332d326b98fd123b6d8e</x:v>
      </x:c>
      <x:c r="K860" s="30" t="str">
        <x:v>8f7e43a5cbffa6751d4ed61e6143e049d8bb69d5fe6dd92edccec7a8d0e9b7cd</x:v>
      </x:c>
      <x:c r="L860" s="30" t="n">
        <x:v>767.25</x:v>
      </x:c>
      <x:c r="M860" s="30" t="str">
        <x:v>{"completion_tokens": 7, "prompt_tokens": 616, "total_tokens": 623, "completion_tokens_details": null, "prompt_tokens_details": {"audio_tokens": null, "cached_tokens": 512}, "prompt_cache_hit_tokens": 512, "prompt_cache_miss_tokens": 104}</x:v>
      </x:c>
      <x:c r="N860" s="30" t="str">
        <x:v>correct</x:v>
      </x:c>
      <x:c r="O860" s="30" t="str">
        <x:v>The model answer 'Spending more time with cat' is semantically equivalent to the gold answer 'Spending more time with his cat.' The only difference is the omission of the possessive pronoun 'his,' which does not change the meaning or completeness of the answer. It fully captures the intended response without adding any false or unsupported information.</x:v>
      </x:c>
      <x:c r="P860" s="30" t="str">
        <x:v>LongCat-2.0</x:v>
      </x:c>
      <x:c r="Q860" s="30" t="str">
        <x:v>LongCat-2.0</x:v>
      </x:c>
      <x:c r="R860" s="30" t="n">
        <x:v>4226.1</x:v>
      </x:c>
      <x:c r="S860" s="30" t="str">
        <x:v>{"completion_tokens": 80, "prompt_tokens": 156,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1">
      <x:c r="A861" s="30" t="str">
        <x:v>memos_medium:2471</x:v>
      </x:c>
      <x:c r="B861" s="30" t="str">
        <x:v>medium</x:v>
      </x:c>
      <x:c r="C861" s="30" t="str">
        <x:v>Generalization &amp; Application</x:v>
      </x:c>
      <x:c r="D861" s="30" t="n">
        <x:v>2</x:v>
      </x:c>
      <x:c r="E861" s="30" t="str">
        <x:v>Given Steven's interest in pet companionship, what lifestyle change might he consider to enhance his well-being during trading periods?</x:v>
      </x:c>
      <x:c r="F861" s="30" t="str">
        <x:v>Spending more time with his cat.</x:v>
      </x:c>
      <x:c r="G861" s="30" t="str">
        <x:v>Spending more time with cat.</x:v>
      </x:c>
      <x:c r="H861" s="30" t="str">
        <x:v>deepseek-v4-flash</x:v>
      </x:c>
      <x:c r="I861" s="30" t="str">
        <x:v>deepseek-v4-flash</x:v>
      </x:c>
      <x:c r="J861" s="30" t="str">
        <x:v>d2af007313b798758c309d59a0519bc27171ae941e23332d326b98fd123b6d8e</x:v>
      </x:c>
      <x:c r="K861" s="30" t="str">
        <x:v>8f7e43a5cbffa6751d4ed61e6143e049d8bb69d5fe6dd92edccec7a8d0e9b7cd</x:v>
      </x:c>
      <x:c r="L861" s="30" t="n">
        <x:v>796.4</x:v>
      </x:c>
      <x:c r="M861" s="30" t="str">
        <x:v>{"completion_tokens": 7, "prompt_tokens": 616, "total_tokens": 623, "completion_tokens_details": null, "prompt_tokens_details": {"audio_tokens": null, "cached_tokens": 512}, "prompt_cache_hit_tokens": 512, "prompt_cache_miss_tokens": 104}</x:v>
      </x:c>
      <x:c r="N861" s="30" t="str">
        <x:v>correct</x:v>
      </x:c>
      <x:c r="O861" s="30" t="str">
        <x:v>The model answer 'Spending more time with cat' is semantically equivalent to the gold answer 'Spending more time with his cat.' The only difference is the omission of the possessive pronoun 'his,' which does not change the meaning or completeness of the answer. The core content is fully preserved.</x:v>
      </x:c>
      <x:c r="P861" s="30" t="str">
        <x:v>LongCat-2.0</x:v>
      </x:c>
      <x:c r="Q861" s="30" t="str">
        <x:v>LongCat-2.0</x:v>
      </x:c>
      <x:c r="R861" s="30" t="n">
        <x:v>3926.23</x:v>
      </x:c>
      <x:c r="S861" s="30" t="str">
        <x:v>{"completion_tokens": 73, "prompt_tokens": 156,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2">
      <x:c r="A862" s="30" t="str">
        <x:v>memos_medium:2471</x:v>
      </x:c>
      <x:c r="B862" s="30" t="str">
        <x:v>medium</x:v>
      </x:c>
      <x:c r="C862" s="30" t="str">
        <x:v>Generalization &amp; Application</x:v>
      </x:c>
      <x:c r="D862" s="30" t="n">
        <x:v>3</x:v>
      </x:c>
      <x:c r="E862" s="30" t="str">
        <x:v>Given Steven's interest in pet companionship, what lifestyle change might he consider to enhance his well-being during trading periods?</x:v>
      </x:c>
      <x:c r="F862" s="30" t="str">
        <x:v>Spending more time with his cat.</x:v>
      </x:c>
      <x:c r="G862" s="30" t="str">
        <x:v>Spending more time with cat.</x:v>
      </x:c>
      <x:c r="H862" s="30" t="str">
        <x:v>deepseek-v4-flash</x:v>
      </x:c>
      <x:c r="I862" s="30" t="str">
        <x:v>deepseek-v4-flash</x:v>
      </x:c>
      <x:c r="J862" s="30" t="str">
        <x:v>d2af007313b798758c309d59a0519bc27171ae941e23332d326b98fd123b6d8e</x:v>
      </x:c>
      <x:c r="K862" s="30" t="str">
        <x:v>8f7e43a5cbffa6751d4ed61e6143e049d8bb69d5fe6dd92edccec7a8d0e9b7cd</x:v>
      </x:c>
      <x:c r="L862" s="30" t="n">
        <x:v>752.04</x:v>
      </x:c>
      <x:c r="M862" s="30" t="str">
        <x:v>{"completion_tokens": 7, "prompt_tokens": 616, "total_tokens": 623, "completion_tokens_details": null, "prompt_tokens_details": {"audio_tokens": null, "cached_tokens": 512}, "prompt_cache_hit_tokens": 512, "prompt_cache_miss_tokens": 104}</x:v>
      </x:c>
      <x:c r="N862" s="30" t="str">
        <x:v>correct</x:v>
      </x:c>
      <x:c r="O862" s="30" t="str">
        <x:v>The model answer 'Spending more time with cat' is semantically equivalent to the gold answer 'Spending more time with his cat.' The omission of the possessive pronoun 'his' does not change the meaning or introduce any false information; it simply uses slightly different wording while conveying the complete intended answer.</x:v>
      </x:c>
      <x:c r="P862" s="30" t="str">
        <x:v>LongCat-2.0</x:v>
      </x:c>
      <x:c r="Q862" s="30" t="str">
        <x:v>LongCat-2.0</x:v>
      </x:c>
      <x:c r="R862" s="30" t="n">
        <x:v>4459.77</x:v>
      </x:c>
      <x:c r="S862" s="30" t="str">
        <x:v>{"completion_tokens": 74, "prompt_tokens": 156,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63">
      <x:c r="A863" s="30" t="str">
        <x:v>memos_medium:2480</x:v>
      </x:c>
      <x:c r="B863" s="30" t="str">
        <x:v>medium</x:v>
      </x:c>
      <x:c r="C863" s="30" t="str">
        <x:v>Generalization &amp; Application</x:v>
      </x:c>
      <x:c r="D863" s="30" t="n">
        <x:v>1</x:v>
      </x:c>
      <x:c r="E863" s="30" t="str">
        <x:v>How might Steven Miller's shift in music preferences influence his leisure activities after February 22, 2029?</x:v>
      </x:c>
      <x:c r="F863" s="30" t="str">
        <x:v>He may explore more diverse music genres.</x:v>
      </x:c>
      <x:c r="G863" s="30" t="str">
        <x:v>Attend more country events.</x:v>
      </x:c>
      <x:c r="H863" s="30" t="str">
        <x:v>deepseek-v4-flash</x:v>
      </x:c>
      <x:c r="I863" s="30" t="str">
        <x:v>deepseek-v4-flash</x:v>
      </x:c>
      <x:c r="J863" s="30" t="str">
        <x:v>c0c51734c8eb147286fb489c2591bbcdadb19401d24ff42ed601f7653420ccd3</x:v>
      </x:c>
      <x:c r="K863" s="30" t="str">
        <x:v>c720dfb99069311a1cff52041a393a2a81fb4ab521c7a582bb61822590fea2d2</x:v>
      </x:c>
      <x:c r="L863" s="30" t="n">
        <x:v>848.68</x:v>
      </x:c>
      <x:c r="M863" s="30" t="str">
        <x:v>{"completion_tokens": 6, "prompt_tokens": 584, "total_tokens": 590, "completion_tokens_details": null, "prompt_tokens_details": {"audio_tokens": null, "cached_tokens": 512}, "prompt_cache_hit_tokens": 512, "prompt_cache_miss_tokens": 72}</x:v>
      </x:c>
      <x:c r="N863" s="30" t="str">
        <x:v>hallucination</x:v>
      </x:c>
      <x:c r="O863"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P863" s="30" t="str">
        <x:v>LongCat-2.0</x:v>
      </x:c>
      <x:c r="Q863" s="30" t="str">
        <x:v>LongCat-2.0</x:v>
      </x:c>
      <x:c r="R863" s="30" t="n">
        <x:v>5084.78</x:v>
      </x:c>
      <x:c r="S863" s="30" t="str">
        <x:v>{"completion_tokens": 107, "prompt_tokens": 156, "total_tokens": 263,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4">
      <x:c r="A864" s="30" t="str">
        <x:v>memos_medium:2480</x:v>
      </x:c>
      <x:c r="B864" s="30" t="str">
        <x:v>medium</x:v>
      </x:c>
      <x:c r="C864" s="30" t="str">
        <x:v>Generalization &amp; Application</x:v>
      </x:c>
      <x:c r="D864" s="30" t="n">
        <x:v>2</x:v>
      </x:c>
      <x:c r="E864" s="30" t="str">
        <x:v>How might Steven Miller's shift in music preferences influence his leisure activities after February 22, 2029?</x:v>
      </x:c>
      <x:c r="F864" s="30" t="str">
        <x:v>He may explore more diverse music genres.</x:v>
      </x:c>
      <x:c r="G864" s="30" t="str">
        <x:v>Attend more country events.</x:v>
      </x:c>
      <x:c r="H864" s="30" t="str">
        <x:v>deepseek-v4-flash</x:v>
      </x:c>
      <x:c r="I864" s="30" t="str">
        <x:v>deepseek-v4-flash</x:v>
      </x:c>
      <x:c r="J864" s="30" t="str">
        <x:v>c0c51734c8eb147286fb489c2591bbcdadb19401d24ff42ed601f7653420ccd3</x:v>
      </x:c>
      <x:c r="K864" s="30" t="str">
        <x:v>c720dfb99069311a1cff52041a393a2a81fb4ab521c7a582bb61822590fea2d2</x:v>
      </x:c>
      <x:c r="L864" s="30" t="n">
        <x:v>880.1</x:v>
      </x:c>
      <x:c r="M864" s="30" t="str">
        <x:v>{"completion_tokens": 6, "prompt_tokens": 584, "total_tokens": 590, "completion_tokens_details": null, "prompt_tokens_details": {"audio_tokens": null, "cached_tokens": 512}, "prompt_cache_hit_tokens": 512, "prompt_cache_miss_tokens": 72}</x:v>
      </x:c>
      <x:c r="N864" s="30" t="str">
        <x:v>hallucination</x:v>
      </x:c>
      <x:c r="O864" s="30" t="str">
        <x:v>The gold answer states that Steven Miller may explore more diverse music genres, which is a general and open-ended outcome of a shift in music preferences. The model answer specifies 'Attend more country events,' which introduces a concrete, specific claim (focusing on country music events) that is not supported by or semantically equivalent to the gold answer. This constitutes unsupported/incorrect material, making it a hallucination.</x:v>
      </x:c>
      <x:c r="P864" s="30" t="str">
        <x:v>LongCat-2.0</x:v>
      </x:c>
      <x:c r="Q864" s="30" t="str">
        <x:v>LongCat-2.0</x:v>
      </x:c>
      <x:c r="R864" s="30" t="n">
        <x:v>3174.58</x:v>
      </x:c>
      <x:c r="S864" s="30" t="str">
        <x:v>{"completion_tokens": 95, "prompt_tokens": 156, "total_tokens": 251,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5">
      <x:c r="A865" s="30" t="str">
        <x:v>memos_medium:2480</x:v>
      </x:c>
      <x:c r="B865" s="30" t="str">
        <x:v>medium</x:v>
      </x:c>
      <x:c r="C865" s="30" t="str">
        <x:v>Generalization &amp; Application</x:v>
      </x:c>
      <x:c r="D865" s="30" t="n">
        <x:v>3</x:v>
      </x:c>
      <x:c r="E865" s="30" t="str">
        <x:v>How might Steven Miller's shift in music preferences influence his leisure activities after February 22, 2029?</x:v>
      </x:c>
      <x:c r="F865" s="30" t="str">
        <x:v>He may explore more diverse music genres.</x:v>
      </x:c>
      <x:c r="G865" s="30" t="str">
        <x:v>Attend more country events.</x:v>
      </x:c>
      <x:c r="H865" s="30" t="str">
        <x:v>deepseek-v4-flash</x:v>
      </x:c>
      <x:c r="I865" s="30" t="str">
        <x:v>deepseek-v4-flash</x:v>
      </x:c>
      <x:c r="J865" s="30" t="str">
        <x:v>c0c51734c8eb147286fb489c2591bbcdadb19401d24ff42ed601f7653420ccd3</x:v>
      </x:c>
      <x:c r="K865" s="30" t="str">
        <x:v>c720dfb99069311a1cff52041a393a2a81fb4ab521c7a582bb61822590fea2d2</x:v>
      </x:c>
      <x:c r="L865" s="30" t="n">
        <x:v>870.02</x:v>
      </x:c>
      <x:c r="M865" s="30" t="str">
        <x:v>{"completion_tokens": 6, "prompt_tokens": 584, "total_tokens": 590, "completion_tokens_details": null, "prompt_tokens_details": {"audio_tokens": null, "cached_tokens": 512}, "prompt_cache_hit_tokens": 512, "prompt_cache_miss_tokens": 72}</x:v>
      </x:c>
      <x:c r="N865" s="30" t="str">
        <x:v>hallucination</x:v>
      </x:c>
      <x:c r="O865" s="30" t="str">
        <x:v>The gold answer states that Steven Miller may explore more diverse music genres, which is a general and open-ended outcome of a shift in music preferences. The model answer specifies 'Attend more country events,' which introduces a concrete, unsupported claim about a specific genre (country) and a specific leisure activity (attending events) that is not mentioned or implied by the gold answer. This goes beyond the general statement and adds incorrect, unsupported material, making it a hallucination.</x:v>
      </x:c>
      <x:c r="P865" s="30" t="str">
        <x:v>LongCat-2.0</x:v>
      </x:c>
      <x:c r="Q865" s="30" t="str">
        <x:v>LongCat-2.0</x:v>
      </x:c>
      <x:c r="R865" s="30" t="n">
        <x:v>4354.56</x:v>
      </x:c>
      <x:c r="S865" s="30" t="str">
        <x:v>{"completion_tokens": 107, "prompt_tokens": 156, "total_tokens": 263,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6">
      <x:c r="A866" s="30" t="str">
        <x:v>memos_medium:2485</x:v>
      </x:c>
      <x:c r="B866" s="30" t="str">
        <x:v>medium</x:v>
      </x:c>
      <x:c r="C866" s="30" t="str">
        <x:v>Memory Conflict</x:v>
      </x:c>
      <x:c r="D866" s="30" t="n">
        <x:v>1</x:v>
      </x:c>
      <x:c r="E866" s="30" t="str">
        <x:v>Did Steven Miller retire on Apr 01, 2029, due to financial instability?</x:v>
      </x:c>
      <x:c r="F866" s="30" t="str">
        <x:v>Steven retired on Jan 12, 2029, for financial freedom through tech investments.</x:v>
      </x:c>
      <x:c r="G866" s="30" t="str">
        <x:v>No, he retired early.</x:v>
      </x:c>
      <x:c r="H866" s="30" t="str">
        <x:v>deepseek-v4-flash</x:v>
      </x:c>
      <x:c r="I866" s="30" t="str">
        <x:v>deepseek-v4-flash</x:v>
      </x:c>
      <x:c r="J866" s="30" t="str">
        <x:v>4d0e8a5c496125ed55b1d0ca1d388e7ad7a6d0c9002225f62260c727af1ffc1c</x:v>
      </x:c>
      <x:c r="K866" s="30" t="str">
        <x:v>43650f7a343a478faf9a803d1b56f3ef87c9ccf3da05e3effeebadfecd828fa9</x:v>
      </x:c>
      <x:c r="L866" s="30" t="n">
        <x:v>870.02</x:v>
      </x:c>
      <x:c r="M866" s="30" t="str">
        <x:v>{"completion_tokens": 6, "prompt_tokens": 572, "total_tokens": 578, "completion_tokens_details": null, "prompt_tokens_details": {"audio_tokens": null, "cached_tokens": 512}, "prompt_cache_hit_tokens": 512, "prompt_cache_miss_tokens": 60}</x:v>
      </x:c>
      <x:c r="N866" s="30" t="str">
        <x:v>omission</x:v>
      </x:c>
      <x:c r="O866" s="30" t="str">
        <x:v>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x:v>
      </x:c>
      <x:c r="P866" s="30" t="str">
        <x:v>LongCat-2.0</x:v>
      </x:c>
      <x:c r="Q866" s="30" t="str">
        <x:v>LongCat-2.0</x:v>
      </x:c>
      <x:c r="R866" s="30" t="n">
        <x:v>21354.82</x:v>
      </x:c>
      <x:c r="S866" s="30" t="str">
        <x:v>{"completion_tokens": 80, "prompt_tokens": 165, "total_tokens": 245,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67">
      <x:c r="A867" s="30" t="str">
        <x:v>memos_medium:2485</x:v>
      </x:c>
      <x:c r="B867" s="30" t="str">
        <x:v>medium</x:v>
      </x:c>
      <x:c r="C867" s="30" t="str">
        <x:v>Memory Conflict</x:v>
      </x:c>
      <x:c r="D867" s="30" t="n">
        <x:v>2</x:v>
      </x:c>
      <x:c r="E867" s="30" t="str">
        <x:v>Did Steven Miller retire on Apr 01, 2029, due to financial instability?</x:v>
      </x:c>
      <x:c r="F867" s="30" t="str">
        <x:v>Steven retired on Jan 12, 2029, for financial freedom through tech investments.</x:v>
      </x:c>
      <x:c r="G867" s="30" t="str">
        <x:v>No, he retired early.</x:v>
      </x:c>
      <x:c r="H867" s="30" t="str">
        <x:v>deepseek-v4-flash</x:v>
      </x:c>
      <x:c r="I867" s="30" t="str">
        <x:v>deepseek-v4-flash</x:v>
      </x:c>
      <x:c r="J867" s="30" t="str">
        <x:v>4d0e8a5c496125ed55b1d0ca1d388e7ad7a6d0c9002225f62260c727af1ffc1c</x:v>
      </x:c>
      <x:c r="K867" s="30" t="str">
        <x:v>43650f7a343a478faf9a803d1b56f3ef87c9ccf3da05e3effeebadfecd828fa9</x:v>
      </x:c>
      <x:c r="L867" s="30" t="n">
        <x:v>871.02</x:v>
      </x:c>
      <x:c r="M867" s="30" t="str">
        <x:v>{"completion_tokens": 6, "prompt_tokens": 572, "total_tokens": 578, "completion_tokens_details": null, "prompt_tokens_details": {"audio_tokens": null, "cached_tokens": 512}, "prompt_cache_hit_tokens": 512, "prompt_cache_miss_tokens": 60}</x:v>
      </x:c>
      <x:c r="N867" s="30" t="str">
        <x:v>omission</x:v>
      </x:c>
      <x:c r="O867" s="30" t="str">
        <x:v>The model answer 'No, he retired early' does not provide the complete gold answer, which includes the specific retirement date (Jan 12, 2029) and the reason (financial freedom through tech investments). It only gives a vague, incomplete subset without adding a concrete false claim, fitting the definition of omission.</x:v>
      </x:c>
      <x:c r="P867" s="30" t="str">
        <x:v>LongCat-2.0</x:v>
      </x:c>
      <x:c r="Q867" s="30" t="str">
        <x:v>LongCat-2.0</x:v>
      </x:c>
      <x:c r="R867" s="30" t="n">
        <x:v>22113.69</x:v>
      </x:c>
      <x:c r="S867" s="30" t="str">
        <x:v>{"completion_tokens": 80, "prompt_tokens": 165, "total_tokens": 245,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68">
      <x:c r="A868" s="30" t="str">
        <x:v>memos_medium:2485</x:v>
      </x:c>
      <x:c r="B868" s="30" t="str">
        <x:v>medium</x:v>
      </x:c>
      <x:c r="C868" s="30" t="str">
        <x:v>Memory Conflict</x:v>
      </x:c>
      <x:c r="D868" s="30" t="n">
        <x:v>3</x:v>
      </x:c>
      <x:c r="E868" s="30" t="str">
        <x:v>Did Steven Miller retire on Apr 01, 2029, due to financial instability?</x:v>
      </x:c>
      <x:c r="F868" s="30" t="str">
        <x:v>Steven retired on Jan 12, 2029, for financial freedom through tech investments.</x:v>
      </x:c>
      <x:c r="G868" s="30" t="str">
        <x:v>No, he retired early.</x:v>
      </x:c>
      <x:c r="H868" s="30" t="str">
        <x:v>deepseek-v4-flash</x:v>
      </x:c>
      <x:c r="I868" s="30" t="str">
        <x:v>deepseek-v4-flash</x:v>
      </x:c>
      <x:c r="J868" s="30" t="str">
        <x:v>4d0e8a5c496125ed55b1d0ca1d388e7ad7a6d0c9002225f62260c727af1ffc1c</x:v>
      </x:c>
      <x:c r="K868" s="30" t="str">
        <x:v>43650f7a343a478faf9a803d1b56f3ef87c9ccf3da05e3effeebadfecd828fa9</x:v>
      </x:c>
      <x:c r="L868" s="30" t="n">
        <x:v>810.81</x:v>
      </x:c>
      <x:c r="M868" s="30" t="str">
        <x:v>{"completion_tokens": 6, "prompt_tokens": 572, "total_tokens": 578, "completion_tokens_details": null, "prompt_tokens_details": {"audio_tokens": null, "cached_tokens": 512}, "prompt_cache_hit_tokens": 512, "prompt_cache_miss_tokens": 60}</x:v>
      </x:c>
      <x:c r="N868" s="30" t="str">
        <x:v>omission</x:v>
      </x:c>
      <x:c r="O868" s="30" t="str">
        <x:v>The model answer 'No, he retired early' does not provide the complete gold answer, which includes the specific retirement date (Jan 12, 2029) and the reason (financial freedom through tech investments). It only partially addresses the question by denying the specific date and reason but fails to supply the correct details, making it an incomplete subset without adding a concrete false claim.</x:v>
      </x:c>
      <x:c r="P868" s="30" t="str">
        <x:v>LongCat-2.0</x:v>
      </x:c>
      <x:c r="Q868" s="30" t="str">
        <x:v>LongCat-2.0</x:v>
      </x:c>
      <x:c r="R868" s="30" t="n">
        <x:v>21916.27</x:v>
      </x:c>
      <x:c r="S868" s="30" t="str">
        <x:v>{"completion_tokens": 92, "prompt_tokens": 165, "total_tokens": 257,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69">
      <x:c r="A869" s="30" t="str">
        <x:v>memos_medium:2486</x:v>
      </x:c>
      <x:c r="B869" s="30" t="str">
        <x:v>medium</x:v>
      </x:c>
      <x:c r="C869" s="30" t="str">
        <x:v>Memory Conflict</x:v>
      </x:c>
      <x:c r="D869" s="30" t="n">
        <x:v>1</x:v>
      </x:c>
      <x:c r="E869" s="30" t="str">
        <x:v>Did Steven Miller's health status remain moderate and stressed after retiring on Jun 15, 2029?</x:v>
      </x:c>
      <x:c r="F869" s="30" t="str">
        <x:v>Steven's health improved to good and restored by Apr 01, 2029.</x:v>
      </x:c>
      <x:c r="G869" s="30" t="str">
        <x:v>No, it improved.</x:v>
      </x:c>
      <x:c r="H869" s="30" t="str">
        <x:v>deepseek-v4-flash</x:v>
      </x:c>
      <x:c r="I869" s="30" t="str">
        <x:v>deepseek-v4-flash</x:v>
      </x:c>
      <x:c r="J869" s="30" t="str">
        <x:v>cb2612b17a322db37c201a52cc4997352c00b300a6dde99f8780b71e09c13193</x:v>
      </x:c>
      <x:c r="K869" s="30" t="str">
        <x:v>6138b52871bb8c4df80820d211c0911e0e478786f38ca362d62c432494cad979</x:v>
      </x:c>
      <x:c r="L869" s="30" t="n">
        <x:v>580.35</x:v>
      </x:c>
      <x:c r="M869" s="30" t="str">
        <x:v>{"completion_tokens": 5, "prompt_tokens": 574, "total_tokens": 579, "completion_tokens_details": null, "prompt_tokens_details": {"audio_tokens": null, "cached_tokens": 512}, "prompt_cache_hit_tokens": 512, "prompt_cache_miss_tokens": 62}</x:v>
      </x:c>
      <x:c r="N869" s="30" t="str">
        <x:v>omission</x:v>
      </x:c>
      <x:c r="O869" s="30" t="str">
        <x:v>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x:v>
      </x:c>
      <x:c r="P869" s="30" t="str">
        <x:v>LongCat-2.0</x:v>
      </x:c>
      <x:c r="Q869" s="30" t="str">
        <x:v>LongCat-2.0</x:v>
      </x:c>
      <x:c r="R869" s="30" t="n">
        <x:v>3369.1</x:v>
      </x:c>
      <x:c r="S869" s="30" t="str">
        <x:v>{"completion_tokens": 89, "prompt_tokens": 166, "total_tokens": 255,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70">
      <x:c r="A870" s="30" t="str">
        <x:v>memos_medium:2486</x:v>
      </x:c>
      <x:c r="B870" s="30" t="str">
        <x:v>medium</x:v>
      </x:c>
      <x:c r="C870" s="30" t="str">
        <x:v>Memory Conflict</x:v>
      </x:c>
      <x:c r="D870" s="30" t="n">
        <x:v>2</x:v>
      </x:c>
      <x:c r="E870" s="30" t="str">
        <x:v>Did Steven Miller's health status remain moderate and stressed after retiring on Jun 15, 2029?</x:v>
      </x:c>
      <x:c r="F870" s="30" t="str">
        <x:v>Steven's health improved to good and restored by Apr 01, 2029.</x:v>
      </x:c>
      <x:c r="G870" s="30" t="str">
        <x:v>No, it improved.</x:v>
      </x:c>
      <x:c r="H870" s="30" t="str">
        <x:v>deepseek-v4-flash</x:v>
      </x:c>
      <x:c r="I870" s="30" t="str">
        <x:v>deepseek-v4-flash</x:v>
      </x:c>
      <x:c r="J870" s="30" t="str">
        <x:v>cb2612b17a322db37c201a52cc4997352c00b300a6dde99f8780b71e09c13193</x:v>
      </x:c>
      <x:c r="K870" s="30" t="str">
        <x:v>6138b52871bb8c4df80820d211c0911e0e478786f38ca362d62c432494cad979</x:v>
      </x:c>
      <x:c r="L870" s="30" t="n">
        <x:v>619.38</x:v>
      </x:c>
      <x:c r="M870" s="30" t="str">
        <x:v>{"completion_tokens": 5, "prompt_tokens": 574, "total_tokens": 579, "completion_tokens_details": null, "prompt_tokens_details": {"audio_tokens": null, "cached_tokens": 512}, "prompt_cache_hit_tokens": 512, "prompt_cache_miss_tokens": 62}</x:v>
      </x:c>
      <x:c r="N870" s="30" t="str">
        <x:v>omission</x:v>
      </x:c>
      <x:c r="O870" s="30" t="str">
        <x:v>The model answer 'No, it improved' correctly indicates that Steven's health did not remain moderate and stressed, but it omits the specific details from the gold answer: that his health improved to 'good and restored' and the specific date 'Apr 01, 2029'. While not factually incorrect, it provides only an incomplete subset of the gold answer.</x:v>
      </x:c>
      <x:c r="P870" s="30" t="str">
        <x:v>LongCat-2.0</x:v>
      </x:c>
      <x:c r="Q870" s="30" t="str">
        <x:v>LongCat-2.0</x:v>
      </x:c>
      <x:c r="R870" s="30" t="n">
        <x:v>6044.36</x:v>
      </x:c>
      <x:c r="S870" s="30" t="str">
        <x:v>{"completion_tokens": 89, "prompt_tokens": 166, "total_tokens": 255,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1">
      <x:c r="A871" s="30" t="str">
        <x:v>memos_medium:2486</x:v>
      </x:c>
      <x:c r="B871" s="30" t="str">
        <x:v>medium</x:v>
      </x:c>
      <x:c r="C871" s="30" t="str">
        <x:v>Memory Conflict</x:v>
      </x:c>
      <x:c r="D871" s="30" t="n">
        <x:v>3</x:v>
      </x:c>
      <x:c r="E871" s="30" t="str">
        <x:v>Did Steven Miller's health status remain moderate and stressed after retiring on Jun 15, 2029?</x:v>
      </x:c>
      <x:c r="F871" s="30" t="str">
        <x:v>Steven's health improved to good and restored by Apr 01, 2029.</x:v>
      </x:c>
      <x:c r="G871" s="30" t="str">
        <x:v>No, it improved.</x:v>
      </x:c>
      <x:c r="H871" s="30" t="str">
        <x:v>deepseek-v4-flash</x:v>
      </x:c>
      <x:c r="I871" s="30" t="str">
        <x:v>deepseek-v4-flash</x:v>
      </x:c>
      <x:c r="J871" s="30" t="str">
        <x:v>cb2612b17a322db37c201a52cc4997352c00b300a6dde99f8780b71e09c13193</x:v>
      </x:c>
      <x:c r="K871" s="30" t="str">
        <x:v>6138b52871bb8c4df80820d211c0911e0e478786f38ca362d62c432494cad979</x:v>
      </x:c>
      <x:c r="L871" s="30" t="n">
        <x:v>715.41</x:v>
      </x:c>
      <x:c r="M871" s="30" t="str">
        <x:v>{"completion_tokens": 5, "prompt_tokens": 574, "total_tokens": 579, "completion_tokens_details": null, "prompt_tokens_details": {"audio_tokens": null, "cached_tokens": 512}, "prompt_cache_hit_tokens": 512, "prompt_cache_miss_tokens": 62}</x:v>
      </x:c>
      <x:c r="N871" s="30" t="str">
        <x:v>omission</x:v>
      </x:c>
      <x:c r="O871" s="30" t="str">
        <x:v>The model answer 'No, it improved' correctly indicates that Steven's health did not remain moderate and stressed, but it fails to provide the complete gold answer, which specifies that his health improved to 'good and restored by Apr 01, 2029'. The model omits the specific health status and the date, making it an incomplete subset of the gold answer.</x:v>
      </x:c>
      <x:c r="P871" s="30" t="str">
        <x:v>LongCat-2.0</x:v>
      </x:c>
      <x:c r="Q871" s="30" t="str">
        <x:v>LongCat-2.0</x:v>
      </x:c>
      <x:c r="R871" s="30" t="n">
        <x:v>3312.63</x:v>
      </x:c>
      <x:c r="S871" s="30" t="str">
        <x:v>{"completion_tokens": 89, "prompt_tokens": 166, "total_tokens": 255,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2">
      <x:c r="A872" s="30" t="str">
        <x:v>memos_medium:2490</x:v>
      </x:c>
      <x:c r="B872" s="30" t="str">
        <x:v>medium</x:v>
      </x:c>
      <x:c r="C872" s="30" t="str">
        <x:v>Multi-hop Inference</x:v>
      </x:c>
      <x:c r="D872" s="30" t="n">
        <x:v>1</x:v>
      </x:c>
      <x:c r="E872" s="30" t="str">
        <x:v>How did Steven's health status change between April 1, 2029, and June 15, 2029?</x:v>
      </x:c>
      <x:c r="F872" s="30" t="str">
        <x:v>Improved from 'Good and Restored' to 'Balanced'.</x:v>
      </x:c>
      <x:c r="G872" s="30" t="str">
        <x:v>Improved from stressed to restored.</x:v>
      </x:c>
      <x:c r="H872" s="30" t="str">
        <x:v>deepseek-v4-flash</x:v>
      </x:c>
      <x:c r="I872" s="30" t="str">
        <x:v>deepseek-v4-flash</x:v>
      </x:c>
      <x:c r="J872" s="30" t="str">
        <x:v>d5289a98afb2434dac6da7e514864df79aa2ff6e392471f4a2488ea6e39c4dde</x:v>
      </x:c>
      <x:c r="K872" s="30" t="str">
        <x:v>d0cb56cc0a6c5daa5a19675a6488462fe8e3542769fe6d36006e1dddd97aa5bd</x:v>
      </x:c>
      <x:c r="L872" s="30" t="n">
        <x:v>713.02</x:v>
      </x:c>
      <x:c r="M872" s="30" t="str">
        <x:v>{"completion_tokens": 6, "prompt_tokens": 585, "total_tokens": 591, "completion_tokens_details": null, "prompt_tokens_details": {"audio_tokens": null, "cached_tokens": 512}, "prompt_cache_hit_tokens": 512, "prompt_cache_miss_tokens": 73}</x:v>
      </x:c>
      <x:c r="N872" s="30" t="str">
        <x:v>hallucination</x:v>
      </x:c>
      <x:c r="O872"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P872" s="30" t="str">
        <x:v>LongCat-2.0</x:v>
      </x:c>
      <x:c r="Q872" s="30" t="str">
        <x:v>LongCat-2.0</x:v>
      </x:c>
      <x:c r="R872" s="30" t="n">
        <x:v>3329.25</x:v>
      </x:c>
      <x:c r="S872" s="30" t="str">
        <x:v>{"completion_tokens": 98, "prompt_tokens": 168, "total_tokens": 266,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3">
      <x:c r="A873" s="30" t="str">
        <x:v>memos_medium:2490</x:v>
      </x:c>
      <x:c r="B873" s="30" t="str">
        <x:v>medium</x:v>
      </x:c>
      <x:c r="C873" s="30" t="str">
        <x:v>Multi-hop Inference</x:v>
      </x:c>
      <x:c r="D873" s="30" t="n">
        <x:v>2</x:v>
      </x:c>
      <x:c r="E873" s="30" t="str">
        <x:v>How did Steven's health status change between April 1, 2029, and June 15, 2029?</x:v>
      </x:c>
      <x:c r="F873" s="30" t="str">
        <x:v>Improved from 'Good and Restored' to 'Balanced'.</x:v>
      </x:c>
      <x:c r="G873" s="30" t="str">
        <x:v>Improved from stressed to restored.</x:v>
      </x:c>
      <x:c r="H873" s="30" t="str">
        <x:v>deepseek-v4-flash</x:v>
      </x:c>
      <x:c r="I873" s="30" t="str">
        <x:v>deepseek-v4-flash</x:v>
      </x:c>
      <x:c r="J873" s="30" t="str">
        <x:v>d5289a98afb2434dac6da7e514864df79aa2ff6e392471f4a2488ea6e39c4dde</x:v>
      </x:c>
      <x:c r="K873" s="30" t="str">
        <x:v>d0cb56cc0a6c5daa5a19675a6488462fe8e3542769fe6d36006e1dddd97aa5bd</x:v>
      </x:c>
      <x:c r="L873" s="30" t="n">
        <x:v>765.59</x:v>
      </x:c>
      <x:c r="M873" s="30" t="str">
        <x:v>{"completion_tokens": 6, "prompt_tokens": 585, "total_tokens": 591, "completion_tokens_details": null, "prompt_tokens_details": {"audio_tokens": null, "cached_tokens": 512}, "prompt_cache_hit_tokens": 512, "prompt_cache_miss_tokens": 73}</x:v>
      </x:c>
      <x:c r="N873" s="30" t="str">
        <x:v>hallucination</x:v>
      </x:c>
      <x:c r="O873"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P873" s="30" t="str">
        <x:v>LongCat-2.0</x:v>
      </x:c>
      <x:c r="Q873" s="30" t="str">
        <x:v>LongCat-2.0</x:v>
      </x:c>
      <x:c r="R873" s="30" t="n">
        <x:v>2998.23</x:v>
      </x:c>
      <x:c r="S873" s="30" t="str">
        <x:v>{"completion_tokens": 98, "prompt_tokens": 168, "total_tokens": 266,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4">
      <x:c r="A874" s="30" t="str">
        <x:v>memos_medium:2490</x:v>
      </x:c>
      <x:c r="B874" s="30" t="str">
        <x:v>medium</x:v>
      </x:c>
      <x:c r="C874" s="30" t="str">
        <x:v>Multi-hop Inference</x:v>
      </x:c>
      <x:c r="D874" s="30" t="n">
        <x:v>3</x:v>
      </x:c>
      <x:c r="E874" s="30" t="str">
        <x:v>How did Steven's health status change between April 1, 2029, and June 15, 2029?</x:v>
      </x:c>
      <x:c r="F874" s="30" t="str">
        <x:v>Improved from 'Good and Restored' to 'Balanced'.</x:v>
      </x:c>
      <x:c r="G874" s="30" t="str">
        <x:v>Improved from stressed to restored.</x:v>
      </x:c>
      <x:c r="H874" s="30" t="str">
        <x:v>deepseek-v4-flash</x:v>
      </x:c>
      <x:c r="I874" s="30" t="str">
        <x:v>deepseek-v4-flash</x:v>
      </x:c>
      <x:c r="J874" s="30" t="str">
        <x:v>d5289a98afb2434dac6da7e514864df79aa2ff6e392471f4a2488ea6e39c4dde</x:v>
      </x:c>
      <x:c r="K874" s="30" t="str">
        <x:v>d0cb56cc0a6c5daa5a19675a6488462fe8e3542769fe6d36006e1dddd97aa5bd</x:v>
      </x:c>
      <x:c r="L874" s="30" t="n">
        <x:v>583.19</x:v>
      </x:c>
      <x:c r="M874" s="30" t="str">
        <x:v>{"completion_tokens": 6, "prompt_tokens": 585, "total_tokens": 591, "completion_tokens_details": null, "prompt_tokens_details": {"audio_tokens": null, "cached_tokens": 512}, "prompt_cache_hit_tokens": 512, "prompt_cache_miss_tokens": 73}</x:v>
      </x:c>
      <x:c r="N874" s="30" t="str">
        <x:v>hallucination</x:v>
      </x:c>
      <x:c r="O874" s="30" t="str">
        <x:v>The gold answer states Steven's health improved from 'Good and Restored' to 'Balanced'. The model answer claims it improved from 'stressed' to 'restored', which contradicts the gold answer on both the starting state ('stressed' vs. 'Good and Restored') and the ending state ('restored' vs. 'Balanced'). This is a concrete false claim, not merely a wording difference.</x:v>
      </x:c>
      <x:c r="P874" s="30" t="str">
        <x:v>LongCat-2.0</x:v>
      </x:c>
      <x:c r="Q874" s="30" t="str">
        <x:v>LongCat-2.0</x:v>
      </x:c>
      <x:c r="R874" s="30" t="n">
        <x:v>3686.25</x:v>
      </x:c>
      <x:c r="S874" s="30" t="str">
        <x:v>{"completion_tokens": 98, "prompt_tokens": 168, "total_tokens": 266,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75">
      <x:c r="A875" s="30" t="str">
        <x:v>memos_medium:2496</x:v>
      </x:c>
      <x:c r="B875" s="30" t="str">
        <x:v>medium</x:v>
      </x:c>
      <x:c r="C875" s="30" t="str">
        <x:v>Generalization &amp; Application</x:v>
      </x:c>
      <x:c r="D875" s="30" t="n">
        <x:v>1</x:v>
      </x:c>
      <x:c r="E875" s="30" t="str">
        <x:v>What type of films might Steven Miller enjoy watching after Nov 24, 2029, considering his preference for intellectual stimulation?</x:v>
      </x:c>
      <x:c r="F875" s="30" t="str">
        <x:v>Psychological thrillers with complex plots.</x:v>
      </x:c>
      <x:c r="G875" s="30" t="str">
        <x:v>Psychological thrillers</x:v>
      </x:c>
      <x:c r="H875" s="30" t="str">
        <x:v>deepseek-v4-flash</x:v>
      </x:c>
      <x:c r="I875" s="30" t="str">
        <x:v>deepseek-v4-flash</x:v>
      </x:c>
      <x:c r="J875" s="30" t="str">
        <x:v>09d9f166b5ff53b883988650ac9a7939c5be716db9ffda6a28736c22bca14088</x:v>
      </x:c>
      <x:c r="K875" s="30" t="str">
        <x:v>476817ff216a358c9ca2426506a77113b6d6f920d4e8b046b47f9f299f75bbeb</x:v>
      </x:c>
      <x:c r="L875" s="30" t="n">
        <x:v>545.32</x:v>
      </x:c>
      <x:c r="M875" s="30" t="str">
        <x:v>{"completion_tokens": 3, "prompt_tokens": 616, "total_tokens": 619, "completion_tokens_details": null, "prompt_tokens_details": {"audio_tokens": null, "cached_tokens": 512}, "prompt_cache_hit_tokens": 512, "prompt_cache_miss_tokens": 104}</x:v>
      </x:c>
      <x:c r="N875" s="30" t="str">
        <x:v>omission</x:v>
      </x:c>
      <x:c r="O875" s="30" t="str">
        <x:v>The model answer 'Psychological thrillers' captures part of the gold answer but omits the key qualifier 'with complex plots,' which is essential to the complete answer. Since it provides only an incomplete subset without adding a false claim, it is an omission.</x:v>
      </x:c>
      <x:c r="P875" s="30" t="str">
        <x:v>LongCat-2.0</x:v>
      </x:c>
      <x:c r="Q875" s="30" t="str">
        <x:v>LongCat-2.0</x:v>
      </x:c>
      <x:c r="R875" s="30" t="n">
        <x:v>2858.8</x:v>
      </x:c>
      <x:c r="S875" s="30" t="str">
        <x:v>{"completion_tokens": 64, "prompt_tokens": 158,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76">
      <x:c r="A876" s="30" t="str">
        <x:v>memos_medium:2496</x:v>
      </x:c>
      <x:c r="B876" s="30" t="str">
        <x:v>medium</x:v>
      </x:c>
      <x:c r="C876" s="30" t="str">
        <x:v>Generalization &amp; Application</x:v>
      </x:c>
      <x:c r="D876" s="30" t="n">
        <x:v>2</x:v>
      </x:c>
      <x:c r="E876" s="30" t="str">
        <x:v>What type of films might Steven Miller enjoy watching after Nov 24, 2029, considering his preference for intellectual stimulation?</x:v>
      </x:c>
      <x:c r="F876" s="30" t="str">
        <x:v>Psychological thrillers with complex plots.</x:v>
      </x:c>
      <x:c r="G876" s="30" t="str">
        <x:v>Psychological thrillers</x:v>
      </x:c>
      <x:c r="H876" s="30" t="str">
        <x:v>deepseek-v4-flash</x:v>
      </x:c>
      <x:c r="I876" s="30" t="str">
        <x:v>deepseek-v4-flash</x:v>
      </x:c>
      <x:c r="J876" s="30" t="str">
        <x:v>09d9f166b5ff53b883988650ac9a7939c5be716db9ffda6a28736c22bca14088</x:v>
      </x:c>
      <x:c r="K876" s="30" t="str">
        <x:v>476817ff216a358c9ca2426506a77113b6d6f920d4e8b046b47f9f299f75bbeb</x:v>
      </x:c>
      <x:c r="L876" s="30" t="n">
        <x:v>618.36</x:v>
      </x:c>
      <x:c r="M876" s="30" t="str">
        <x:v>{"completion_tokens": 3, "prompt_tokens": 616, "total_tokens": 619, "completion_tokens_details": null, "prompt_tokens_details": {"audio_tokens": null, "cached_tokens": 512}, "prompt_cache_hit_tokens": 512, "prompt_cache_miss_tokens": 104}</x:v>
      </x:c>
      <x:c r="N876" s="30" t="str">
        <x:v>omission</x:v>
      </x:c>
      <x:c r="O876" s="30" t="str">
        <x:v>The model answer 'Psychological thrillers' captures part of the gold answer but omits the important qualifier 'with complex plots,' which is a key component of the complete answer. Since it provides only an incomplete subset of the gold answer without adding false claims, this is an omission.</x:v>
      </x:c>
      <x:c r="P876" s="30" t="str">
        <x:v>LongCat-2.0</x:v>
      </x:c>
      <x:c r="Q876" s="30" t="str">
        <x:v>LongCat-2.0</x:v>
      </x:c>
      <x:c r="R876" s="30" t="n">
        <x:v>4646.27</x:v>
      </x:c>
      <x:c r="S876" s="30" t="str">
        <x:v>{"completion_tokens": 69, "prompt_tokens": 158,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7">
      <x:c r="A877" s="30" t="str">
        <x:v>memos_medium:2496</x:v>
      </x:c>
      <x:c r="B877" s="30" t="str">
        <x:v>medium</x:v>
      </x:c>
      <x:c r="C877" s="30" t="str">
        <x:v>Generalization &amp; Application</x:v>
      </x:c>
      <x:c r="D877" s="30" t="n">
        <x:v>3</x:v>
      </x:c>
      <x:c r="E877" s="30" t="str">
        <x:v>What type of films might Steven Miller enjoy watching after Nov 24, 2029, considering his preference for intellectual stimulation?</x:v>
      </x:c>
      <x:c r="F877" s="30" t="str">
        <x:v>Psychological thrillers with complex plots.</x:v>
      </x:c>
      <x:c r="G877" s="30" t="str">
        <x:v>Psychological thrillers</x:v>
      </x:c>
      <x:c r="H877" s="30" t="str">
        <x:v>deepseek-v4-flash</x:v>
      </x:c>
      <x:c r="I877" s="30" t="str">
        <x:v>deepseek-v4-flash</x:v>
      </x:c>
      <x:c r="J877" s="30" t="str">
        <x:v>09d9f166b5ff53b883988650ac9a7939c5be716db9ffda6a28736c22bca14088</x:v>
      </x:c>
      <x:c r="K877" s="30" t="str">
        <x:v>476817ff216a358c9ca2426506a77113b6d6f920d4e8b046b47f9f299f75bbeb</x:v>
      </x:c>
      <x:c r="L877" s="30" t="n">
        <x:v>719.24</x:v>
      </x:c>
      <x:c r="M877" s="30" t="str">
        <x:v>{"completion_tokens": 3, "prompt_tokens": 616, "total_tokens": 619, "completion_tokens_details": null, "prompt_tokens_details": {"audio_tokens": null, "cached_tokens": 512}, "prompt_cache_hit_tokens": 512, "prompt_cache_miss_tokens": 104}</x:v>
      </x:c>
      <x:c r="N877" s="30" t="str">
        <x:v>omission</x:v>
      </x:c>
      <x:c r="O877" s="30" t="str">
        <x:v>The model answer 'Psychological thrillers' is a subset of the gold answer 'Psychological thrillers with complex plots' but omits the key detail 'with complex plots' without adding any false claim, making it an incomplete answer.</x:v>
      </x:c>
      <x:c r="P877" s="30" t="str">
        <x:v>LongCat-2.0</x:v>
      </x:c>
      <x:c r="Q877" s="30" t="str">
        <x:v>LongCat-2.0</x:v>
      </x:c>
      <x:c r="R877" s="30" t="n">
        <x:v>3531.01</x:v>
      </x:c>
      <x:c r="S877" s="30" t="str">
        <x:v>{"completion_tokens": 60, "prompt_tokens": 158,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8">
      <x:c r="A878" s="30" t="str">
        <x:v>memos_medium:2507</x:v>
      </x:c>
      <x:c r="B878" s="30" t="str">
        <x:v>medium</x:v>
      </x:c>
      <x:c r="C878" s="30" t="str">
        <x:v>Generalization &amp; Application</x:v>
      </x:c>
      <x:c r="D878" s="30" t="n">
        <x:v>1</x:v>
      </x:c>
      <x:c r="E878" s="30" t="str">
        <x:v>How might Steven Miller's productivity be affected by changing his beverage preferences on Jan 10, 2031?</x:v>
      </x:c>
      <x:c r="F878" s="30" t="str">
        <x:v>Switching to healthier options might improve his energy levels and productivity.</x:v>
      </x:c>
      <x:c r="G878" s="30" t="str">
        <x:v>Energy levels and productivity.</x:v>
      </x:c>
      <x:c r="H878" s="30" t="str">
        <x:v>deepseek-v4-flash</x:v>
      </x:c>
      <x:c r="I878" s="30" t="str">
        <x:v>deepseek-v4-flash</x:v>
      </x:c>
      <x:c r="J878" s="30" t="str">
        <x:v>5d30a44e3e5d7a7bfb78cc7239e64bac7adfb3721354dad47ec731f9bf0ad71e</x:v>
      </x:c>
      <x:c r="K878" s="30" t="str">
        <x:v>8dd5844f5683a65ac6d4fe472434b0578e947571ef0e8513ea67f90d5b2349b8</x:v>
      </x:c>
      <x:c r="L878" s="30" t="n">
        <x:v>521.07</x:v>
      </x:c>
      <x:c r="M878" s="30" t="str">
        <x:v>{"completion_tokens": 5, "prompt_tokens": 579, "total_tokens": 584, "completion_tokens_details": null, "prompt_tokens_details": {"audio_tokens": null, "cached_tokens": 512}, "prompt_cache_hit_tokens": 512, "prompt_cache_miss_tokens": 67}</x:v>
      </x:c>
      <x:c r="N878" s="30" t="str">
        <x:v>omission</x:v>
      </x:c>
      <x:c r="O878" s="30" t="str">
        <x:v>The model answer 'Energy levels and productivity' is an incomplete subset of the gold answer. It omits the key causal mechanism (switching to healthier options) and the directional effect (improve), providing only the topics without a concrete, complete claim.</x:v>
      </x:c>
      <x:c r="P878" s="30" t="str">
        <x:v>LongCat-2.0</x:v>
      </x:c>
      <x:c r="Q878" s="30" t="str">
        <x:v>LongCat-2.0</x:v>
      </x:c>
      <x:c r="R878" s="30" t="n">
        <x:v>4199.91</x:v>
      </x:c>
      <x:c r="S878" s="30" t="str">
        <x:v>{"completion_tokens": 63, "prompt_tokens": 160,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79">
      <x:c r="A879" s="30" t="str">
        <x:v>memos_medium:2507</x:v>
      </x:c>
      <x:c r="B879" s="30" t="str">
        <x:v>medium</x:v>
      </x:c>
      <x:c r="C879" s="30" t="str">
        <x:v>Generalization &amp; Application</x:v>
      </x:c>
      <x:c r="D879" s="30" t="n">
        <x:v>2</x:v>
      </x:c>
      <x:c r="E879" s="30" t="str">
        <x:v>How might Steven Miller's productivity be affected by changing his beverage preferences on Jan 10, 2031?</x:v>
      </x:c>
      <x:c r="F879" s="30" t="str">
        <x:v>Switching to healthier options might improve his energy levels and productivity.</x:v>
      </x:c>
      <x:c r="G879" s="30" t="str">
        <x:v>Energy levels and productivity.</x:v>
      </x:c>
      <x:c r="H879" s="30" t="str">
        <x:v>deepseek-v4-flash</x:v>
      </x:c>
      <x:c r="I879" s="30" t="str">
        <x:v>deepseek-v4-flash</x:v>
      </x:c>
      <x:c r="J879" s="30" t="str">
        <x:v>5d30a44e3e5d7a7bfb78cc7239e64bac7adfb3721354dad47ec731f9bf0ad71e</x:v>
      </x:c>
      <x:c r="K879" s="30" t="str">
        <x:v>8dd5844f5683a65ac6d4fe472434b0578e947571ef0e8513ea67f90d5b2349b8</x:v>
      </x:c>
      <x:c r="L879" s="30" t="n">
        <x:v>970.7</x:v>
      </x:c>
      <x:c r="M879" s="30" t="str">
        <x:v>{"completion_tokens": 5, "prompt_tokens": 579, "total_tokens": 584, "completion_tokens_details": null, "prompt_tokens_details": {"audio_tokens": null, "cached_tokens": 512}, "prompt_cache_hit_tokens": 512, "prompt_cache_miss_tokens": 67}</x:v>
      </x:c>
      <x:c r="N879" s="30" t="str">
        <x:v>omission</x:v>
      </x:c>
      <x:c r="O879" s="30" t="str">
        <x:v>The model answer 'Energy levels and productivity' is an incomplete subset of the gold answer. It mentions the affected aspects but omits the key causal information that switching to healthier options might improve them, making it too vague and incomplete to be considered semantically equivalent.</x:v>
      </x:c>
      <x:c r="P879" s="30" t="str">
        <x:v>LongCat-2.0</x:v>
      </x:c>
      <x:c r="Q879" s="30" t="str">
        <x:v>LongCat-2.0</x:v>
      </x:c>
      <x:c r="R879" s="30" t="n">
        <x:v>2910.59</x:v>
      </x:c>
      <x:c r="S879" s="30" t="str">
        <x:v>{"completion_tokens": 64, "prompt_tokens": 160,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0">
      <x:c r="A880" s="30" t="str">
        <x:v>memos_medium:2507</x:v>
      </x:c>
      <x:c r="B880" s="30" t="str">
        <x:v>medium</x:v>
      </x:c>
      <x:c r="C880" s="30" t="str">
        <x:v>Generalization &amp; Application</x:v>
      </x:c>
      <x:c r="D880" s="30" t="n">
        <x:v>3</x:v>
      </x:c>
      <x:c r="E880" s="30" t="str">
        <x:v>How might Steven Miller's productivity be affected by changing his beverage preferences on Jan 10, 2031?</x:v>
      </x:c>
      <x:c r="F880" s="30" t="str">
        <x:v>Switching to healthier options might improve his energy levels and productivity.</x:v>
      </x:c>
      <x:c r="G880" s="30" t="str">
        <x:v>Energy levels and productivity.</x:v>
      </x:c>
      <x:c r="H880" s="30" t="str">
        <x:v>deepseek-v4-flash</x:v>
      </x:c>
      <x:c r="I880" s="30" t="str">
        <x:v>deepseek-v4-flash</x:v>
      </x:c>
      <x:c r="J880" s="30" t="str">
        <x:v>5d30a44e3e5d7a7bfb78cc7239e64bac7adfb3721354dad47ec731f9bf0ad71e</x:v>
      </x:c>
      <x:c r="K880" s="30" t="str">
        <x:v>8dd5844f5683a65ac6d4fe472434b0578e947571ef0e8513ea67f90d5b2349b8</x:v>
      </x:c>
      <x:c r="L880" s="30" t="n">
        <x:v>835.27</x:v>
      </x:c>
      <x:c r="M880" s="30" t="str">
        <x:v>{"completion_tokens": 5, "prompt_tokens": 579, "total_tokens": 584, "completion_tokens_details": null, "prompt_tokens_details": {"audio_tokens": null, "cached_tokens": 512}, "prompt_cache_hit_tokens": 512, "prompt_cache_miss_tokens": 67}</x:v>
      </x:c>
      <x:c r="N880" s="30" t="str">
        <x:v>omission</x:v>
      </x:c>
      <x:c r="O880" s="30" t="str">
        <x:v>The model answer 'Energy levels and productivity' is an incomplete subset of the gold answer. It omits the key causal mechanism (switching to healthier options) and the directional effect (improve), providing only the topics without a concrete, complete claim.</x:v>
      </x:c>
      <x:c r="P880" s="30" t="str">
        <x:v>LongCat-2.0</x:v>
      </x:c>
      <x:c r="Q880" s="30" t="str">
        <x:v>LongCat-2.0</x:v>
      </x:c>
      <x:c r="R880" s="30" t="n">
        <x:v>2982.11</x:v>
      </x:c>
      <x:c r="S880" s="30" t="str">
        <x:v>{"completion_tokens": 63, "prompt_tokens": 160,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1">
      <x:c r="A881" s="30" t="str">
        <x:v>memos_medium:2508</x:v>
      </x:c>
      <x:c r="B881" s="30" t="str">
        <x:v>medium</x:v>
      </x:c>
      <x:c r="C881" s="30" t="str">
        <x:v>Generalization &amp; Application</x:v>
      </x:c>
      <x:c r="D881" s="30" t="n">
        <x:v>1</x:v>
      </x:c>
      <x:c r="E881" s="30" t="str">
        <x:v>What music genre could Steven explore to maintain focus during work as of 2031-05-28?</x:v>
      </x:c>
      <x:c r="F881" s="30" t="str">
        <x:v>Classical rock.</x:v>
      </x:c>
      <x:c r="G881" s="30" t="str">
        <x:v>Classical jazz</x:v>
      </x:c>
      <x:c r="H881" s="30" t="str">
        <x:v>deepseek-v4-flash</x:v>
      </x:c>
      <x:c r="I881" s="30" t="str">
        <x:v>deepseek-v4-flash</x:v>
      </x:c>
      <x:c r="J881" s="30" t="str">
        <x:v>7d5f668ed51ab03a32b60aa954db921d688eb8123b0fa133bcc47ec2174123d0</x:v>
      </x:c>
      <x:c r="K881" s="30" t="str">
        <x:v>91c94bd04d5cff7963b0962ee96b977c591c83baa4cbd5c4a5277f603315db75</x:v>
      </x:c>
      <x:c r="L881" s="30" t="n">
        <x:v>808.82</x:v>
      </x:c>
      <x:c r="M881" s="30" t="str">
        <x:v>{"completion_tokens": 3, "prompt_tokens": 572, "total_tokens": 575, "completion_tokens_details": null, "prompt_tokens_details": {"audio_tokens": null, "cached_tokens": 512}, "prompt_cache_hit_tokens": 512, "prompt_cache_miss_tokens": 60}</x:v>
      </x:c>
      <x:c r="N881" s="30" t="str">
        <x:v>hallucination</x:v>
      </x:c>
      <x:c r="O881"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P881" s="30" t="str">
        <x:v>LongCat-2.0</x:v>
      </x:c>
      <x:c r="Q881" s="30" t="str">
        <x:v>LongCat-2.0</x:v>
      </x:c>
      <x:c r="R881" s="30" t="n">
        <x:v>3297.71</x:v>
      </x:c>
      <x:c r="S881" s="30" t="str">
        <x:v>{"completion_tokens": 76, "prompt_tokens": 150,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82">
      <x:c r="A882" s="30" t="str">
        <x:v>memos_medium:2508</x:v>
      </x:c>
      <x:c r="B882" s="30" t="str">
        <x:v>medium</x:v>
      </x:c>
      <x:c r="C882" s="30" t="str">
        <x:v>Generalization &amp; Application</x:v>
      </x:c>
      <x:c r="D882" s="30" t="n">
        <x:v>2</x:v>
      </x:c>
      <x:c r="E882" s="30" t="str">
        <x:v>What music genre could Steven explore to maintain focus during work as of 2031-05-28?</x:v>
      </x:c>
      <x:c r="F882" s="30" t="str">
        <x:v>Classical rock.</x:v>
      </x:c>
      <x:c r="G882" s="30" t="str">
        <x:v>Classical jazz</x:v>
      </x:c>
      <x:c r="H882" s="30" t="str">
        <x:v>deepseek-v4-flash</x:v>
      </x:c>
      <x:c r="I882" s="30" t="str">
        <x:v>deepseek-v4-flash</x:v>
      </x:c>
      <x:c r="J882" s="30" t="str">
        <x:v>7d5f668ed51ab03a32b60aa954db921d688eb8123b0fa133bcc47ec2174123d0</x:v>
      </x:c>
      <x:c r="K882" s="30" t="str">
        <x:v>91c94bd04d5cff7963b0962ee96b977c591c83baa4cbd5c4a5277f603315db75</x:v>
      </x:c>
      <x:c r="L882" s="30" t="n">
        <x:v>561.13</x:v>
      </x:c>
      <x:c r="M882" s="30" t="str">
        <x:v>{"completion_tokens": 3, "prompt_tokens": 572, "total_tokens": 575, "completion_tokens_details": null, "prompt_tokens_details": {"audio_tokens": null, "cached_tokens": 512}, "prompt_cache_hit_tokens": 512, "prompt_cache_miss_tokens": 60}</x:v>
      </x:c>
      <x:c r="N882" s="30" t="str">
        <x:v>hallucination</x:v>
      </x:c>
      <x:c r="O882"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P882" s="30" t="str">
        <x:v>LongCat-2.0</x:v>
      </x:c>
      <x:c r="Q882" s="30" t="str">
        <x:v>LongCat-2.0</x:v>
      </x:c>
      <x:c r="R882" s="30" t="n">
        <x:v>2843.01</x:v>
      </x:c>
      <x:c r="S882" s="30" t="str">
        <x:v>{"completion_tokens": 76, "prompt_tokens": 150,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3">
      <x:c r="A883" s="30" t="str">
        <x:v>memos_medium:2508</x:v>
      </x:c>
      <x:c r="B883" s="30" t="str">
        <x:v>medium</x:v>
      </x:c>
      <x:c r="C883" s="30" t="str">
        <x:v>Generalization &amp; Application</x:v>
      </x:c>
      <x:c r="D883" s="30" t="n">
        <x:v>3</x:v>
      </x:c>
      <x:c r="E883" s="30" t="str">
        <x:v>What music genre could Steven explore to maintain focus during work as of 2031-05-28?</x:v>
      </x:c>
      <x:c r="F883" s="30" t="str">
        <x:v>Classical rock.</x:v>
      </x:c>
      <x:c r="G883" s="30" t="str">
        <x:v>Classical jazz</x:v>
      </x:c>
      <x:c r="H883" s="30" t="str">
        <x:v>deepseek-v4-flash</x:v>
      </x:c>
      <x:c r="I883" s="30" t="str">
        <x:v>deepseek-v4-flash</x:v>
      </x:c>
      <x:c r="J883" s="30" t="str">
        <x:v>7d5f668ed51ab03a32b60aa954db921d688eb8123b0fa133bcc47ec2174123d0</x:v>
      </x:c>
      <x:c r="K883" s="30" t="str">
        <x:v>91c94bd04d5cff7963b0962ee96b977c591c83baa4cbd5c4a5277f603315db75</x:v>
      </x:c>
      <x:c r="L883" s="30" t="n">
        <x:v>817.66</x:v>
      </x:c>
      <x:c r="M883" s="30" t="str">
        <x:v>{"completion_tokens": 3, "prompt_tokens": 572, "total_tokens": 575, "completion_tokens_details": null, "prompt_tokens_details": {"audio_tokens": null, "cached_tokens": 512}, "prompt_cache_hit_tokens": 512, "prompt_cache_miss_tokens": 60}</x:v>
      </x:c>
      <x:c r="N883" s="30" t="str">
        <x:v>hallucination</x:v>
      </x:c>
      <x:c r="O883" s="30" t="str">
        <x:v>The gold answer is 'Classical rock' and the model answer is 'Classical jazz'. Both are concrete, specific music genre answers, but they contradict each other — 'Classical jazz' is not a subset or rewording of 'Classical rock', and it introduces an unsupported/incorrect genre claim.</x:v>
      </x:c>
      <x:c r="P883" s="30" t="str">
        <x:v>LongCat-2.0</x:v>
      </x:c>
      <x:c r="Q883" s="30" t="str">
        <x:v>LongCat-2.0</x:v>
      </x:c>
      <x:c r="R883" s="30" t="n">
        <x:v>3131.87</x:v>
      </x:c>
      <x:c r="S883" s="30" t="str">
        <x:v>{"completion_tokens": 76, "prompt_tokens": 150,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4">
      <x:c r="A884" s="30" t="str">
        <x:v>memos_medium:2527</x:v>
      </x:c>
      <x:c r="B884" s="30" t="str">
        <x:v>medium</x:v>
      </x:c>
      <x:c r="C884" s="30" t="str">
        <x:v>Basic Fact Recall</x:v>
      </x:c>
      <x:c r="D884" s="30" t="n">
        <x:v>1</x:v>
      </x:c>
      <x:c r="E884" s="30" t="str">
        <x:v>What new practice did Steven Miller adopt by April 20, 2032, to reduce stress?</x:v>
      </x:c>
      <x:c r="F884" s="30" t="str">
        <x:v>Mindfulness practices</x:v>
      </x:c>
      <x:c r="G884" s="30" t="str">
        <x:v>Mindfulness practices</x:v>
      </x:c>
      <x:c r="H884" s="30" t="str">
        <x:v>deepseek-v4-flash</x:v>
      </x:c>
      <x:c r="I884" s="30" t="str">
        <x:v>deepseek-v4-flash</x:v>
      </x:c>
      <x:c r="J884" s="30" t="str">
        <x:v>23fd010d969425e16b11e3425c7ed61a8f68e6a2771f9fb0e39cbc0977e6d96d</x:v>
      </x:c>
      <x:c r="K884" s="30" t="str">
        <x:v>7a41029a8603c809ea405870858add2d3a824bc7900b700caee312a95eea6c8e</x:v>
      </x:c>
      <x:c r="L884" s="30" t="n">
        <x:v>820.52</x:v>
      </x:c>
      <x:c r="M884" s="30" t="str">
        <x:v>{"completion_tokens": 3, "prompt_tokens": 532, "total_tokens": 535, "completion_tokens_details": null, "prompt_tokens_details": {"audio_tokens": null, "cached_tokens": 512}, "prompt_cache_hit_tokens": 512, "prompt_cache_miss_tokens": 20}</x:v>
      </x:c>
      <x:c r="N884" s="30" t="str">
        <x:v>correct</x:v>
      </x:c>
      <x:c r="O884" s="30" t="str">
        <x:v>The model answer 'Mindfulness practices' exactly matches the benchmark gold answer 'Mindfulness practices', providing the complete and correct information.</x:v>
      </x:c>
      <x:c r="P884" s="30" t="str">
        <x:v>LongCat-2.0</x:v>
      </x:c>
      <x:c r="Q884" s="30" t="str">
        <x:v>LongCat-2.0</x:v>
      </x:c>
      <x:c r="R884" s="30" t="n">
        <x:v>1705.7</x:v>
      </x:c>
      <x:c r="S884" s="30" t="str">
        <x:v>{"completion_tokens": 37, "prompt_tokens": 148, "total_tokens": 185,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5">
      <x:c r="A885" s="30" t="str">
        <x:v>memos_medium:2527</x:v>
      </x:c>
      <x:c r="B885" s="30" t="str">
        <x:v>medium</x:v>
      </x:c>
      <x:c r="C885" s="30" t="str">
        <x:v>Basic Fact Recall</x:v>
      </x:c>
      <x:c r="D885" s="30" t="n">
        <x:v>2</x:v>
      </x:c>
      <x:c r="E885" s="30" t="str">
        <x:v>What new practice did Steven Miller adopt by April 20, 2032, to reduce stress?</x:v>
      </x:c>
      <x:c r="F885" s="30" t="str">
        <x:v>Mindfulness practices</x:v>
      </x:c>
      <x:c r="G885" s="30" t="str">
        <x:v>Mindfulness practices</x:v>
      </x:c>
      <x:c r="H885" s="30" t="str">
        <x:v>deepseek-v4-flash</x:v>
      </x:c>
      <x:c r="I885" s="30" t="str">
        <x:v>deepseek-v4-flash</x:v>
      </x:c>
      <x:c r="J885" s="30" t="str">
        <x:v>23fd010d969425e16b11e3425c7ed61a8f68e6a2771f9fb0e39cbc0977e6d96d</x:v>
      </x:c>
      <x:c r="K885" s="30" t="str">
        <x:v>7a41029a8603c809ea405870858add2d3a824bc7900b700caee312a95eea6c8e</x:v>
      </x:c>
      <x:c r="L885" s="30" t="n">
        <x:v>512.83</x:v>
      </x:c>
      <x:c r="M885" s="30" t="str">
        <x:v>{"completion_tokens": 3, "prompt_tokens": 532, "total_tokens": 535, "completion_tokens_details": null, "prompt_tokens_details": {"audio_tokens": null, "cached_tokens": 512}, "prompt_cache_hit_tokens": 512, "prompt_cache_miss_tokens": 20}</x:v>
      </x:c>
      <x:c r="N885" s="30" t="str">
        <x:v>correct</x:v>
      </x:c>
      <x:c r="O885" s="30" t="str">
        <x:v>The model answer 'Mindfulness practices' exactly matches the benchmark gold answer 'Mindfulness practices', providing the complete and correct information.</x:v>
      </x:c>
      <x:c r="P885" s="30" t="str">
        <x:v>LongCat-2.0</x:v>
      </x:c>
      <x:c r="Q885" s="30" t="str">
        <x:v>LongCat-2.0</x:v>
      </x:c>
      <x:c r="R885" s="30" t="n">
        <x:v>2389.57</x:v>
      </x:c>
      <x:c r="S885" s="30" t="str">
        <x:v>{"completion_tokens": 37, "prompt_tokens": 148, "total_tokens": 185,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86">
      <x:c r="A886" s="30" t="str">
        <x:v>memos_medium:2527</x:v>
      </x:c>
      <x:c r="B886" s="30" t="str">
        <x:v>medium</x:v>
      </x:c>
      <x:c r="C886" s="30" t="str">
        <x:v>Basic Fact Recall</x:v>
      </x:c>
      <x:c r="D886" s="30" t="n">
        <x:v>3</x:v>
      </x:c>
      <x:c r="E886" s="30" t="str">
        <x:v>What new practice did Steven Miller adopt by April 20, 2032, to reduce stress?</x:v>
      </x:c>
      <x:c r="F886" s="30" t="str">
        <x:v>Mindfulness practices</x:v>
      </x:c>
      <x:c r="G886" s="30" t="str">
        <x:v>Mindfulness practices</x:v>
      </x:c>
      <x:c r="H886" s="30" t="str">
        <x:v>deepseek-v4-flash</x:v>
      </x:c>
      <x:c r="I886" s="30" t="str">
        <x:v>deepseek-v4-flash</x:v>
      </x:c>
      <x:c r="J886" s="30" t="str">
        <x:v>23fd010d969425e16b11e3425c7ed61a8f68e6a2771f9fb0e39cbc0977e6d96d</x:v>
      </x:c>
      <x:c r="K886" s="30" t="str">
        <x:v>7a41029a8603c809ea405870858add2d3a824bc7900b700caee312a95eea6c8e</x:v>
      </x:c>
      <x:c r="L886" s="30" t="n">
        <x:v>621.79</x:v>
      </x:c>
      <x:c r="M886" s="30" t="str">
        <x:v>{"completion_tokens": 3, "prompt_tokens": 532, "total_tokens": 535, "completion_tokens_details": null, "prompt_tokens_details": {"audio_tokens": null, "cached_tokens": 512}, "prompt_cache_hit_tokens": 512, "prompt_cache_miss_tokens": 20}</x:v>
      </x:c>
      <x:c r="N886" s="30" t="str">
        <x:v>correct</x:v>
      </x:c>
      <x:c r="O886" s="30" t="str">
        <x:v>The model answer 'Mindfulness practices' exactly matches the benchmark gold answer 'Mindfulness practices', providing the complete and correct information.</x:v>
      </x:c>
      <x:c r="P886" s="30" t="str">
        <x:v>LongCat-2.0</x:v>
      </x:c>
      <x:c r="Q886" s="30" t="str">
        <x:v>LongCat-2.0</x:v>
      </x:c>
      <x:c r="R886" s="30" t="n">
        <x:v>1912.05</x:v>
      </x:c>
      <x:c r="S886" s="30" t="str">
        <x:v>{"completion_tokens": 37, "prompt_tokens": 148, "total_tokens": 185,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7">
      <x:c r="A887" s="30" t="str">
        <x:v>memos_medium:2563</x:v>
      </x:c>
      <x:c r="B887" s="30" t="str">
        <x:v>medium</x:v>
      </x:c>
      <x:c r="C887" s="30" t="str">
        <x:v>Generalization &amp; Application</x:v>
      </x:c>
      <x:c r="D887" s="30" t="n">
        <x:v>1</x:v>
      </x:c>
      <x:c r="E887" s="30" t="str">
        <x:v>What might be Steven Miller's approach to managing multiple projects simultaneously as of Apr 20, 2035?</x:v>
      </x:c>
      <x:c r="F887" s="30" t="str">
        <x:v>Balance innovation with practicality.</x:v>
      </x:c>
      <x:c r="G887" s="30" t="str">
        <x:v>Balance innovation and practicality.</x:v>
      </x:c>
      <x:c r="H887" s="30" t="str">
        <x:v>deepseek-v4-flash</x:v>
      </x:c>
      <x:c r="I887" s="30" t="str">
        <x:v>deepseek-v4-flash</x:v>
      </x:c>
      <x:c r="J887" s="30" t="str">
        <x:v>45a155c964499b1193859f27ceab139516e54ed4b091cefa1d4f981b0f8133de</x:v>
      </x:c>
      <x:c r="K887" s="30" t="str">
        <x:v>495b048164e968c9ecd2f6114bebc4c93d98920a2a34cf42f76bb706655275d6</x:v>
      </x:c>
      <x:c r="L887" s="30" t="n">
        <x:v>932.85</x:v>
      </x:c>
      <x:c r="M887" s="30" t="str">
        <x:v>{"completion_tokens": 5, "prompt_tokens": 580, "total_tokens": 585, "completion_tokens_details": null, "prompt_tokens_details": {"audio_tokens": null, "cached_tokens": 512}, "prompt_cache_hit_tokens": 512, "prompt_cache_miss_tokens": 68}</x:v>
      </x:c>
      <x:c r="N887" s="30" t="str">
        <x:v>correct</x:v>
      </x:c>
      <x:c r="O887" s="30" t="str">
        <x:v>The model answer 'Balance innovation and practicality' is semantically equivalent to the gold answer 'Balance innovation with practicality.' The wording differs slightly ('and' vs. 'with'), but the meaning is identical and complete.</x:v>
      </x:c>
      <x:c r="P887" s="30" t="str">
        <x:v>LongCat-2.0</x:v>
      </x:c>
      <x:c r="Q887" s="30" t="str">
        <x:v>LongCat-2.0</x:v>
      </x:c>
      <x:c r="R887" s="30" t="n">
        <x:v>2318.29</x:v>
      </x:c>
      <x:c r="S887" s="30" t="str">
        <x:v>{"completion_tokens": 56, "prompt_tokens": 154,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8">
      <x:c r="A888" s="30" t="str">
        <x:v>memos_medium:2563</x:v>
      </x:c>
      <x:c r="B888" s="30" t="str">
        <x:v>medium</x:v>
      </x:c>
      <x:c r="C888" s="30" t="str">
        <x:v>Generalization &amp; Application</x:v>
      </x:c>
      <x:c r="D888" s="30" t="n">
        <x:v>2</x:v>
      </x:c>
      <x:c r="E888" s="30" t="str">
        <x:v>What might be Steven Miller's approach to managing multiple projects simultaneously as of Apr 20, 2035?</x:v>
      </x:c>
      <x:c r="F888" s="30" t="str">
        <x:v>Balance innovation with practicality.</x:v>
      </x:c>
      <x:c r="G888" s="30" t="str">
        <x:v>Balance innovation and practicality.</x:v>
      </x:c>
      <x:c r="H888" s="30" t="str">
        <x:v>deepseek-v4-flash</x:v>
      </x:c>
      <x:c r="I888" s="30" t="str">
        <x:v>deepseek-v4-flash</x:v>
      </x:c>
      <x:c r="J888" s="30" t="str">
        <x:v>45a155c964499b1193859f27ceab139516e54ed4b091cefa1d4f981b0f8133de</x:v>
      </x:c>
      <x:c r="K888" s="30" t="str">
        <x:v>495b048164e968c9ecd2f6114bebc4c93d98920a2a34cf42f76bb706655275d6</x:v>
      </x:c>
      <x:c r="L888" s="30" t="n">
        <x:v>853.72</x:v>
      </x:c>
      <x:c r="M888" s="30" t="str">
        <x:v>{"completion_tokens": 5, "prompt_tokens": 580, "total_tokens": 585, "completion_tokens_details": null, "prompt_tokens_details": {"audio_tokens": null, "cached_tokens": 512}, "prompt_cache_hit_tokens": 512, "prompt_cache_miss_tokens": 68}</x:v>
      </x:c>
      <x:c r="N888" s="30" t="str">
        <x:v>correct</x:v>
      </x:c>
      <x:c r="O888"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P888" s="30" t="str">
        <x:v>LongCat-2.0</x:v>
      </x:c>
      <x:c r="Q888" s="30" t="str">
        <x:v>LongCat-2.0</x:v>
      </x:c>
      <x:c r="R888" s="30" t="n">
        <x:v>2530.78</x:v>
      </x:c>
      <x:c r="S888" s="30" t="str">
        <x:v>{"completion_tokens": 69, "prompt_tokens": 154,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89">
      <x:c r="A889" s="30" t="str">
        <x:v>memos_medium:2563</x:v>
      </x:c>
      <x:c r="B889" s="30" t="str">
        <x:v>medium</x:v>
      </x:c>
      <x:c r="C889" s="30" t="str">
        <x:v>Generalization &amp; Application</x:v>
      </x:c>
      <x:c r="D889" s="30" t="n">
        <x:v>3</x:v>
      </x:c>
      <x:c r="E889" s="30" t="str">
        <x:v>What might be Steven Miller's approach to managing multiple projects simultaneously as of Apr 20, 2035?</x:v>
      </x:c>
      <x:c r="F889" s="30" t="str">
        <x:v>Balance innovation with practicality.</x:v>
      </x:c>
      <x:c r="G889" s="30" t="str">
        <x:v>Balance innovation and practicality.</x:v>
      </x:c>
      <x:c r="H889" s="30" t="str">
        <x:v>deepseek-v4-flash</x:v>
      </x:c>
      <x:c r="I889" s="30" t="str">
        <x:v>deepseek-v4-flash</x:v>
      </x:c>
      <x:c r="J889" s="30" t="str">
        <x:v>45a155c964499b1193859f27ceab139516e54ed4b091cefa1d4f981b0f8133de</x:v>
      </x:c>
      <x:c r="K889" s="30" t="str">
        <x:v>495b048164e968c9ecd2f6114bebc4c93d98920a2a34cf42f76bb706655275d6</x:v>
      </x:c>
      <x:c r="L889" s="30" t="n">
        <x:v>559.98</x:v>
      </x:c>
      <x:c r="M889" s="30" t="str">
        <x:v>{"completion_tokens": 5, "prompt_tokens": 580, "total_tokens": 585, "completion_tokens_details": null, "prompt_tokens_details": {"audio_tokens": null, "cached_tokens": 512}, "prompt_cache_hit_tokens": 512, "prompt_cache_miss_tokens": 68}</x:v>
      </x:c>
      <x:c r="N889" s="30" t="str">
        <x:v>correct</x:v>
      </x:c>
      <x:c r="O889" s="30" t="str">
        <x:v>The model answer 'Balance innovation and practicality' is semantically identical to the gold answer 'Balance innovation with practicality.' The only difference is the conjunction ('and' vs. 'with'), which does not change the meaning. The complete answer is provided without any false or unsupported claims.</x:v>
      </x:c>
      <x:c r="P889" s="30" t="str">
        <x:v>LongCat-2.0</x:v>
      </x:c>
      <x:c r="Q889" s="30" t="str">
        <x:v>LongCat-2.0</x:v>
      </x:c>
      <x:c r="R889" s="30" t="n">
        <x:v>2647.07</x:v>
      </x:c>
      <x:c r="S889" s="30" t="str">
        <x:v>{"completion_tokens": 69, "prompt_tokens": 154,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0">
      <x:c r="A890" s="30" t="str">
        <x:v>memos_medium:2568</x:v>
      </x:c>
      <x:c r="B890" s="30" t="str">
        <x:v>medium</x:v>
      </x:c>
      <x:c r="C890" s="30" t="str">
        <x:v>Memory Conflict</x:v>
      </x:c>
      <x:c r="D890" s="30" t="n">
        <x:v>1</x:v>
      </x:c>
      <x:c r="E890" s="30" t="str">
        <x:v>Did Steven Miller express a desire to avoid cooperative puzzle games on Dec 02, 2035?</x:v>
      </x:c>
      <x:c r="F890" s="30" t="str">
        <x:v>No, he expressed a desire to explore more cooperative puzzle games.</x:v>
      </x:c>
      <x:c r="G890" s="30" t="str">
        <x:v>No</x:v>
      </x:c>
      <x:c r="H890" s="30" t="str">
        <x:v>deepseek-v4-flash</x:v>
      </x:c>
      <x:c r="I890" s="30" t="str">
        <x:v>deepseek-v4-flash</x:v>
      </x:c>
      <x:c r="J890" s="30" t="str">
        <x:v>a2b9c81fbf1a0c7b2cec8fd9c76e4141de8c0759fc0464a02e89c675dc27fd07</x:v>
      </x:c>
      <x:c r="K890" s="30" t="str">
        <x:v>a73900e602d34db8666e63e95147e8f302a8b4ebab6e23a38eff73364e54a209</x:v>
      </x:c>
      <x:c r="L890" s="30" t="n">
        <x:v>812.01</x:v>
      </x:c>
      <x:c r="M890" s="30" t="str">
        <x:v>{"completion_tokens": 1, "prompt_tokens": 573, "total_tokens": 574, "completion_tokens_details": null, "prompt_tokens_details": {"audio_tokens": null, "cached_tokens": 512}, "prompt_cache_hit_tokens": 512, "prompt_cache_miss_tokens": 61}</x:v>
      </x:c>
      <x:c r="N890" s="30" t="str">
        <x:v>omission</x:v>
      </x:c>
      <x:c r="O890" s="30" t="str">
        <x:v>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x:v>
      </x:c>
      <x:c r="P890" s="30" t="str">
        <x:v>LongCat-2.0</x:v>
      </x:c>
      <x:c r="Q890" s="30" t="str">
        <x:v>LongCat-2.0</x:v>
      </x:c>
      <x:c r="R890" s="30" t="n">
        <x:v>2793.89</x:v>
      </x:c>
      <x:c r="S890" s="30" t="str">
        <x:v>{"completion_tokens": 68, "prompt_tokens": 155,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1">
      <x:c r="A891" s="30" t="str">
        <x:v>memos_medium:2568</x:v>
      </x:c>
      <x:c r="B891" s="30" t="str">
        <x:v>medium</x:v>
      </x:c>
      <x:c r="C891" s="30" t="str">
        <x:v>Memory Conflict</x:v>
      </x:c>
      <x:c r="D891" s="30" t="n">
        <x:v>2</x:v>
      </x:c>
      <x:c r="E891" s="30" t="str">
        <x:v>Did Steven Miller express a desire to avoid cooperative puzzle games on Dec 02, 2035?</x:v>
      </x:c>
      <x:c r="F891" s="30" t="str">
        <x:v>No, he expressed a desire to explore more cooperative puzzle games.</x:v>
      </x:c>
      <x:c r="G891" s="30" t="str">
        <x:v>No</x:v>
      </x:c>
      <x:c r="H891" s="30" t="str">
        <x:v>deepseek-v4-flash</x:v>
      </x:c>
      <x:c r="I891" s="30" t="str">
        <x:v>deepseek-v4-flash</x:v>
      </x:c>
      <x:c r="J891" s="30" t="str">
        <x:v>a2b9c81fbf1a0c7b2cec8fd9c76e4141de8c0759fc0464a02e89c675dc27fd07</x:v>
      </x:c>
      <x:c r="K891" s="30" t="str">
        <x:v>a73900e602d34db8666e63e95147e8f302a8b4ebab6e23a38eff73364e54a209</x:v>
      </x:c>
      <x:c r="L891" s="30" t="n">
        <x:v>637.06</x:v>
      </x:c>
      <x:c r="M891" s="30" t="str">
        <x:v>{"completion_tokens": 1, "prompt_tokens": 573, "total_tokens": 574, "completion_tokens_details": null, "prompt_tokens_details": {"audio_tokens": null, "cached_tokens": 512}, "prompt_cache_hit_tokens": 512, "prompt_cache_miss_tokens": 61}</x:v>
      </x:c>
      <x:c r="N891" s="30" t="str">
        <x:v>omission</x:v>
      </x:c>
      <x:c r="O891" s="30" t="str">
        <x:v>The model answer 'No' is factually aligned with the gold answer but omits the key detail that Steven Miller expressed a desire to explore more cooperative puzzle games. It provides only an incomplete subset of the gold answer without adding a false claim, which fits the definition of omission.</x:v>
      </x:c>
      <x:c r="P891" s="30" t="str">
        <x:v>LongCat-2.0</x:v>
      </x:c>
      <x:c r="Q891" s="30" t="str">
        <x:v>LongCat-2.0</x:v>
      </x:c>
      <x:c r="R891" s="30" t="n">
        <x:v>2676.29</x:v>
      </x:c>
      <x:c r="S891" s="30" t="str">
        <x:v>{"completion_tokens": 68, "prompt_tokens": 155,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2">
      <x:c r="A892" s="30" t="str">
        <x:v>memos_medium:2568</x:v>
      </x:c>
      <x:c r="B892" s="30" t="str">
        <x:v>medium</x:v>
      </x:c>
      <x:c r="C892" s="30" t="str">
        <x:v>Memory Conflict</x:v>
      </x:c>
      <x:c r="D892" s="30" t="n">
        <x:v>3</x:v>
      </x:c>
      <x:c r="E892" s="30" t="str">
        <x:v>Did Steven Miller express a desire to avoid cooperative puzzle games on Dec 02, 2035?</x:v>
      </x:c>
      <x:c r="F892" s="30" t="str">
        <x:v>No, he expressed a desire to explore more cooperative puzzle games.</x:v>
      </x:c>
      <x:c r="G892" s="30" t="str">
        <x:v>No</x:v>
      </x:c>
      <x:c r="H892" s="30" t="str">
        <x:v>deepseek-v4-flash</x:v>
      </x:c>
      <x:c r="I892" s="30" t="str">
        <x:v>deepseek-v4-flash</x:v>
      </x:c>
      <x:c r="J892" s="30" t="str">
        <x:v>a2b9c81fbf1a0c7b2cec8fd9c76e4141de8c0759fc0464a02e89c675dc27fd07</x:v>
      </x:c>
      <x:c r="K892" s="30" t="str">
        <x:v>a73900e602d34db8666e63e95147e8f302a8b4ebab6e23a38eff73364e54a209</x:v>
      </x:c>
      <x:c r="L892" s="30" t="n">
        <x:v>562.43</x:v>
      </x:c>
      <x:c r="M892" s="30" t="str">
        <x:v>{"completion_tokens": 1, "prompt_tokens": 573, "total_tokens": 574, "completion_tokens_details": null, "prompt_tokens_details": {"audio_tokens": null, "cached_tokens": 512}, "prompt_cache_hit_tokens": 512, "prompt_cache_miss_tokens": 61}</x:v>
      </x:c>
      <x:c r="N892" s="30" t="str">
        <x:v>omission</x:v>
      </x:c>
      <x:c r="O892" s="30" t="str">
        <x:v>The model answer 'No' is factually consistent with the gold answer but omits the key detail that Steven Miller expressed a desire to explore more cooperative puzzle games. It provides only an incomplete subset of the gold answer without adding a false claim, which fits the definition of omission.</x:v>
      </x:c>
      <x:c r="P892" s="30" t="str">
        <x:v>LongCat-2.0</x:v>
      </x:c>
      <x:c r="Q892" s="30" t="str">
        <x:v>LongCat-2.0</x:v>
      </x:c>
      <x:c r="R892" s="30" t="n">
        <x:v>2979.64</x:v>
      </x:c>
      <x:c r="S892" s="30" t="str">
        <x:v>{"completion_tokens": 68, "prompt_tokens": 155,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93">
      <x:c r="A893" s="30" t="str">
        <x:v>memos_medium:2571</x:v>
      </x:c>
      <x:c r="B893" s="30" t="str">
        <x:v>medium</x:v>
      </x:c>
      <x:c r="C893" s="30" t="str">
        <x:v>Generalization &amp; Application</x:v>
      </x:c>
      <x:c r="D893" s="30" t="n">
        <x:v>1</x:v>
      </x:c>
      <x:c r="E893" s="30" t="str">
        <x:v>What type of romantic comedies might Steven Miller enjoy exploring after April 18, 2036?</x:v>
      </x:c>
      <x:c r="F893" s="30" t="str">
        <x:v>Those with clever humor and unexpected plot twists.</x:v>
      </x:c>
      <x:c r="G893" s="30" t="str">
        <x:v>Romantic comedies with clever humor.</x:v>
      </x:c>
      <x:c r="H893" s="30" t="str">
        <x:v>deepseek-v4-flash</x:v>
      </x:c>
      <x:c r="I893" s="30" t="str">
        <x:v>deepseek-v4-flash</x:v>
      </x:c>
      <x:c r="J893" s="30" t="str">
        <x:v>a7c3d80e5de2631fd970c517958f8c28af30a241f954c6361ba7a3a351a0fe6d</x:v>
      </x:c>
      <x:c r="K893" s="30" t="str">
        <x:v>4b71cf858f9191804d13967dc598e81b598accb6aac3ebaa446ff2bc699aa95a</x:v>
      </x:c>
      <x:c r="L893" s="30" t="n">
        <x:v>716.85</x:v>
      </x:c>
      <x:c r="M893" s="30" t="str">
        <x:v>{"completion_tokens": 8, "prompt_tokens": 603, "total_tokens": 611, "completion_tokens_details": null, "prompt_tokens_details": {"audio_tokens": null, "cached_tokens": 512}, "prompt_cache_hit_tokens": 512, "prompt_cache_miss_tokens": 91}</x:v>
      </x:c>
      <x:c r="N893" s="30" t="str">
        <x:v>omission</x:v>
      </x:c>
      <x:c r="O893" s="30" t="str">
        <x:v>The model answer includes 'clever humor' but omits 'unexpected plot twists', which is a key part of the gold answer. Since it provides only an incomplete subset without adding a false claim, it qualifies as an omission.</x:v>
      </x:c>
      <x:c r="P893" s="30" t="str">
        <x:v>LongCat-2.0</x:v>
      </x:c>
      <x:c r="Q893" s="30" t="str">
        <x:v>LongCat-2.0</x:v>
      </x:c>
      <x:c r="R893" s="30" t="n">
        <x:v>3334.11</x:v>
      </x:c>
      <x:c r="S893" s="30" t="str">
        <x:v>{"completion_tokens": 58, "prompt_tokens": 157,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4">
      <x:c r="A894" s="30" t="str">
        <x:v>memos_medium:2571</x:v>
      </x:c>
      <x:c r="B894" s="30" t="str">
        <x:v>medium</x:v>
      </x:c>
      <x:c r="C894" s="30" t="str">
        <x:v>Generalization &amp; Application</x:v>
      </x:c>
      <x:c r="D894" s="30" t="n">
        <x:v>2</x:v>
      </x:c>
      <x:c r="E894" s="30" t="str">
        <x:v>What type of romantic comedies might Steven Miller enjoy exploring after April 18, 2036?</x:v>
      </x:c>
      <x:c r="F894" s="30" t="str">
        <x:v>Those with clever humor and unexpected plot twists.</x:v>
      </x:c>
      <x:c r="G894" s="30" t="str">
        <x:v>Romantic comedies with clever humor.</x:v>
      </x:c>
      <x:c r="H894" s="30" t="str">
        <x:v>deepseek-v4-flash</x:v>
      </x:c>
      <x:c r="I894" s="30" t="str">
        <x:v>deepseek-v4-flash</x:v>
      </x:c>
      <x:c r="J894" s="30" t="str">
        <x:v>a7c3d80e5de2631fd970c517958f8c28af30a241f954c6361ba7a3a351a0fe6d</x:v>
      </x:c>
      <x:c r="K894" s="30" t="str">
        <x:v>4b71cf858f9191804d13967dc598e81b598accb6aac3ebaa446ff2bc699aa95a</x:v>
      </x:c>
      <x:c r="L894" s="30" t="n">
        <x:v>569.15</x:v>
      </x:c>
      <x:c r="M894" s="30" t="str">
        <x:v>{"completion_tokens": 8, "prompt_tokens": 603, "total_tokens": 611, "completion_tokens_details": null, "prompt_tokens_details": {"audio_tokens": null, "cached_tokens": 512}, "prompt_cache_hit_tokens": 512, "prompt_cache_miss_tokens": 91}</x:v>
      </x:c>
      <x:c r="N894" s="30" t="str">
        <x:v>omission</x:v>
      </x:c>
      <x:c r="O894" s="30" t="str">
        <x:v>The model answer includes 'clever humor' but omits 'unexpected plot twists', which is a key part of the gold answer. No false claim is made, but the answer is incomplete.</x:v>
      </x:c>
      <x:c r="P894" s="30" t="str">
        <x:v>LongCat-2.0</x:v>
      </x:c>
      <x:c r="Q894" s="30" t="str">
        <x:v>LongCat-2.0</x:v>
      </x:c>
      <x:c r="R894" s="30" t="n">
        <x:v>3255.29</x:v>
      </x:c>
      <x:c r="S894" s="30" t="str">
        <x:v>{"completion_tokens": 51, "prompt_tokens": 157,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5">
      <x:c r="A895" s="30" t="str">
        <x:v>memos_medium:2571</x:v>
      </x:c>
      <x:c r="B895" s="30" t="str">
        <x:v>medium</x:v>
      </x:c>
      <x:c r="C895" s="30" t="str">
        <x:v>Generalization &amp; Application</x:v>
      </x:c>
      <x:c r="D895" s="30" t="n">
        <x:v>3</x:v>
      </x:c>
      <x:c r="E895" s="30" t="str">
        <x:v>What type of romantic comedies might Steven Miller enjoy exploring after April 18, 2036?</x:v>
      </x:c>
      <x:c r="F895" s="30" t="str">
        <x:v>Those with clever humor and unexpected plot twists.</x:v>
      </x:c>
      <x:c r="G895" s="30" t="str">
        <x:v>Romantic comedies with clever humor.</x:v>
      </x:c>
      <x:c r="H895" s="30" t="str">
        <x:v>deepseek-v4-flash</x:v>
      </x:c>
      <x:c r="I895" s="30" t="str">
        <x:v>deepseek-v4-flash</x:v>
      </x:c>
      <x:c r="J895" s="30" t="str">
        <x:v>a7c3d80e5de2631fd970c517958f8c28af30a241f954c6361ba7a3a351a0fe6d</x:v>
      </x:c>
      <x:c r="K895" s="30" t="str">
        <x:v>4b71cf858f9191804d13967dc598e81b598accb6aac3ebaa446ff2bc699aa95a</x:v>
      </x:c>
      <x:c r="L895" s="30" t="n">
        <x:v>568.65</x:v>
      </x:c>
      <x:c r="M895" s="30" t="str">
        <x:v>{"completion_tokens": 8, "prompt_tokens": 603, "total_tokens": 611, "completion_tokens_details": null, "prompt_tokens_details": {"audio_tokens": null, "cached_tokens": 512}, "prompt_cache_hit_tokens": 512, "prompt_cache_miss_tokens": 91}</x:v>
      </x:c>
      <x:c r="N895" s="30" t="str">
        <x:v>omission</x:v>
      </x:c>
      <x:c r="O895" s="30" t="str">
        <x:v>The model answer includes 'clever humor' but omits 'unexpected plot twists', which is a key part of the gold answer. Since it provides only an incomplete subset without adding a false claim, it qualifies as an omission.</x:v>
      </x:c>
      <x:c r="P895" s="30" t="str">
        <x:v>LongCat-2.0</x:v>
      </x:c>
      <x:c r="Q895" s="30" t="str">
        <x:v>LongCat-2.0</x:v>
      </x:c>
      <x:c r="R895" s="30" t="n">
        <x:v>3789.39</x:v>
      </x:c>
      <x:c r="S895" s="30" t="str">
        <x:v>{"completion_tokens": 58, "prompt_tokens": 157,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896">
      <x:c r="A896" s="30" t="str">
        <x:v>memos_medium:2623</x:v>
      </x:c>
      <x:c r="B896" s="30" t="str">
        <x:v>medium</x:v>
      </x:c>
      <x:c r="C896" s="30" t="str">
        <x:v>Generalization &amp; Application</x:v>
      </x:c>
      <x:c r="D896" s="30" t="n">
        <x:v>1</x:v>
      </x:c>
      <x:c r="E896" s="30" t="str">
        <x:v>What new music genre might Oleksandr explore next, considering his commitment to social justice?</x:v>
      </x:c>
      <x:c r="F896" s="30" t="str">
        <x:v>Oleksandr might explore protest folk music.</x:v>
      </x:c>
      <x:c r="G896" s="30" t="str">
        <x:v>Heavy metal with social commentary.</x:v>
      </x:c>
      <x:c r="H896" s="30" t="str">
        <x:v>deepseek-v4-flash</x:v>
      </x:c>
      <x:c r="I896" s="30" t="str">
        <x:v>deepseek-v4-flash</x:v>
      </x:c>
      <x:c r="J896" s="30" t="str">
        <x:v>c622c3afa7f4db6a07d4c2a094b74feb024a6adb1e43aeb430e28258b43f44f4</x:v>
      </x:c>
      <x:c r="K896" s="30" t="str">
        <x:v>c820b9a369e790cd76e2416d442aadc23dd56bed5a00017858376a82cbe08f8f</x:v>
      </x:c>
      <x:c r="L896" s="30" t="n">
        <x:v>831.01</x:v>
      </x:c>
      <x:c r="M896" s="30" t="str">
        <x:v>{"completion_tokens": 7, "prompt_tokens": 619, "total_tokens": 626, "completion_tokens_details": null, "prompt_tokens_details": {"audio_tokens": null, "cached_tokens": 512}, "prompt_cache_hit_tokens": 512, "prompt_cache_miss_tokens": 107}</x:v>
      </x:c>
      <x:c r="N896" s="30" t="str">
        <x:v>hallucination</x:v>
      </x:c>
      <x:c r="O896" s="30" t="str">
        <x:v>The model answer proposes 'heavy metal with social commentary' as a new genre for Oleksandr to explore. This is a concrete, specific suggestion that directly contradicts the gold answer of 'protest folk music'. Since the model provided an incorrect and unsupported genre recommendation instead of the correct one, it constitutes a hallucination.</x:v>
      </x:c>
      <x:c r="P896" s="30" t="str">
        <x:v>LongCat-2.0</x:v>
      </x:c>
      <x:c r="Q896" s="30" t="str">
        <x:v>LongCat-2.0</x:v>
      </x:c>
      <x:c r="R896" s="30" t="n">
        <x:v>3073.19</x:v>
      </x:c>
      <x:c r="S896" s="30" t="str">
        <x:v>{"completion_tokens": 77, "prompt_tokens": 151,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7">
      <x:c r="A897" s="30" t="str">
        <x:v>memos_medium:2623</x:v>
      </x:c>
      <x:c r="B897" s="30" t="str">
        <x:v>medium</x:v>
      </x:c>
      <x:c r="C897" s="30" t="str">
        <x:v>Generalization &amp; Application</x:v>
      </x:c>
      <x:c r="D897" s="30" t="n">
        <x:v>2</x:v>
      </x:c>
      <x:c r="E897" s="30" t="str">
        <x:v>What new music genre might Oleksandr explore next, considering his commitment to social justice?</x:v>
      </x:c>
      <x:c r="F897" s="30" t="str">
        <x:v>Oleksandr might explore protest folk music.</x:v>
      </x:c>
      <x:c r="G897" s="30" t="str">
        <x:v>Heavy metal with social commentary.</x:v>
      </x:c>
      <x:c r="H897" s="30" t="str">
        <x:v>deepseek-v4-flash</x:v>
      </x:c>
      <x:c r="I897" s="30" t="str">
        <x:v>deepseek-v4-flash</x:v>
      </x:c>
      <x:c r="J897" s="30" t="str">
        <x:v>c622c3afa7f4db6a07d4c2a094b74feb024a6adb1e43aeb430e28258b43f44f4</x:v>
      </x:c>
      <x:c r="K897" s="30" t="str">
        <x:v>c820b9a369e790cd76e2416d442aadc23dd56bed5a00017858376a82cbe08f8f</x:v>
      </x:c>
      <x:c r="L897" s="30" t="n">
        <x:v>731.53</x:v>
      </x:c>
      <x:c r="M897" s="30" t="str">
        <x:v>{"completion_tokens": 7, "prompt_tokens": 619, "total_tokens": 626, "completion_tokens_details": null, "prompt_tokens_details": {"audio_tokens": null, "cached_tokens": 512}, "prompt_cache_hit_tokens": 512, "prompt_cache_miss_tokens": 107}</x:v>
      </x:c>
      <x:c r="N897" s="30" t="str">
        <x:v>hallucination</x:v>
      </x:c>
      <x:c r="O897"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P897" s="30" t="str">
        <x:v>LongCat-2.0</x:v>
      </x:c>
      <x:c r="Q897" s="30" t="str">
        <x:v>LongCat-2.0</x:v>
      </x:c>
      <x:c r="R897" s="30" t="n">
        <x:v>2868.44</x:v>
      </x:c>
      <x:c r="S897" s="30" t="str">
        <x:v>{"completion_tokens": 76, "prompt_tokens": 151,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8">
      <x:c r="A898" s="30" t="str">
        <x:v>memos_medium:2623</x:v>
      </x:c>
      <x:c r="B898" s="30" t="str">
        <x:v>medium</x:v>
      </x:c>
      <x:c r="C898" s="30" t="str">
        <x:v>Generalization &amp; Application</x:v>
      </x:c>
      <x:c r="D898" s="30" t="n">
        <x:v>3</x:v>
      </x:c>
      <x:c r="E898" s="30" t="str">
        <x:v>What new music genre might Oleksandr explore next, considering his commitment to social justice?</x:v>
      </x:c>
      <x:c r="F898" s="30" t="str">
        <x:v>Oleksandr might explore protest folk music.</x:v>
      </x:c>
      <x:c r="G898" s="30" t="str">
        <x:v>Heavy metal with social commentary.</x:v>
      </x:c>
      <x:c r="H898" s="30" t="str">
        <x:v>deepseek-v4-flash</x:v>
      </x:c>
      <x:c r="I898" s="30" t="str">
        <x:v>deepseek-v4-flash</x:v>
      </x:c>
      <x:c r="J898" s="30" t="str">
        <x:v>c622c3afa7f4db6a07d4c2a094b74feb024a6adb1e43aeb430e28258b43f44f4</x:v>
      </x:c>
      <x:c r="K898" s="30" t="str">
        <x:v>c820b9a369e790cd76e2416d442aadc23dd56bed5a00017858376a82cbe08f8f</x:v>
      </x:c>
      <x:c r="L898" s="30" t="n">
        <x:v>809.17</x:v>
      </x:c>
      <x:c r="M898" s="30" t="str">
        <x:v>{"completion_tokens": 7, "prompt_tokens": 619, "total_tokens": 626, "completion_tokens_details": null, "prompt_tokens_details": {"audio_tokens": null, "cached_tokens": 512}, "prompt_cache_hit_tokens": 512, "prompt_cache_miss_tokens": 107}</x:v>
      </x:c>
      <x:c r="N898" s="30" t="str">
        <x:v>hallucination</x:v>
      </x:c>
      <x:c r="O898" s="30" t="str">
        <x:v>The model answer proposes 'heavy metal with social commentary' as a new genre for Oleksandr to explore. This is a concrete, specific suggestion that directly contradicts the gold answer of 'protest folk music'. Since the model provided an incorrect and unsupported genre instead of the correct one, it constitutes a hallucination.</x:v>
      </x:c>
      <x:c r="P898" s="30" t="str">
        <x:v>LongCat-2.0</x:v>
      </x:c>
      <x:c r="Q898" s="30" t="str">
        <x:v>LongCat-2.0</x:v>
      </x:c>
      <x:c r="R898" s="30" t="n">
        <x:v>2950.71</x:v>
      </x:c>
      <x:c r="S898" s="30" t="str">
        <x:v>{"completion_tokens": 76, "prompt_tokens": 151,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899">
      <x:c r="A899" s="30" t="str">
        <x:v>memos_medium:2634</x:v>
      </x:c>
      <x:c r="B899" s="30" t="str">
        <x:v>medium</x:v>
      </x:c>
      <x:c r="C899" s="30" t="str">
        <x:v>Multi-hop Inference</x:v>
      </x:c>
      <x:c r="D899" s="30" t="n">
        <x:v>1</x:v>
      </x:c>
      <x:c r="E899" s="30" t="str">
        <x:v>What changes in Oleksandr's health and professional performance were observed by Apr 10, 2028?</x:v>
      </x:c>
      <x:c r="F899" s="30" t="str">
        <x:v>Improved health and renewed vigor in tackling cases.</x:v>
      </x:c>
      <x:c r="G899" s="30" t="str">
        <x:v>Improved health and performance.</x:v>
      </x:c>
      <x:c r="H899" s="30" t="str">
        <x:v>deepseek-v4-flash</x:v>
      </x:c>
      <x:c r="I899" s="30" t="str">
        <x:v>deepseek-v4-flash</x:v>
      </x:c>
      <x:c r="J899" s="30" t="str">
        <x:v>8456e2e0e6114dac42fa9b8af7be1e096c8afbe827ca3bfa66d0e7f2386be6c5</x:v>
      </x:c>
      <x:c r="K899" s="30" t="str">
        <x:v>8afc93b6cbaad985c242097939055721477a28f39b16c13b249182eead0c8656</x:v>
      </x:c>
      <x:c r="L899" s="30" t="n">
        <x:v>611.26</x:v>
      </x:c>
      <x:c r="M899" s="30" t="str">
        <x:v>{"completion_tokens": 5, "prompt_tokens": 614, "total_tokens": 619, "completion_tokens_details": null, "prompt_tokens_details": {"audio_tokens": null, "cached_tokens": 512}, "prompt_cache_hit_tokens": 512, "prompt_cache_miss_tokens": 102}</x:v>
      </x:c>
      <x:c r="N899" s="30" t="str">
        <x:v>omission</x:v>
      </x:c>
      <x:c r="O899" s="30" t="str">
        <x:v>The model answer captures 'improved health' but omits the specific detail about 'renewed vigor in tackling cases,' providing only a vague 'performance' instead. This is an incomplete subset of the gold answer.</x:v>
      </x:c>
      <x:c r="P899" s="30" t="str">
        <x:v>LongCat-2.0</x:v>
      </x:c>
      <x:c r="Q899" s="30" t="str">
        <x:v>LongCat-2.0</x:v>
      </x:c>
      <x:c r="R899" s="30" t="n">
        <x:v>2400.13</x:v>
      </x:c>
      <x:c r="S899" s="30" t="str">
        <x:v>{"completion_tokens": 55, "prompt_tokens": 158,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00">
      <x:c r="A900" s="30" t="str">
        <x:v>memos_medium:2634</x:v>
      </x:c>
      <x:c r="B900" s="30" t="str">
        <x:v>medium</x:v>
      </x:c>
      <x:c r="C900" s="30" t="str">
        <x:v>Multi-hop Inference</x:v>
      </x:c>
      <x:c r="D900" s="30" t="n">
        <x:v>2</x:v>
      </x:c>
      <x:c r="E900" s="30" t="str">
        <x:v>What changes in Oleksandr's health and professional performance were observed by Apr 10, 2028?</x:v>
      </x:c>
      <x:c r="F900" s="30" t="str">
        <x:v>Improved health and renewed vigor in tackling cases.</x:v>
      </x:c>
      <x:c r="G900" s="30" t="str">
        <x:v>Improved health and performance.</x:v>
      </x:c>
      <x:c r="H900" s="30" t="str">
        <x:v>deepseek-v4-flash</x:v>
      </x:c>
      <x:c r="I900" s="30" t="str">
        <x:v>deepseek-v4-flash</x:v>
      </x:c>
      <x:c r="J900" s="30" t="str">
        <x:v>8456e2e0e6114dac42fa9b8af7be1e096c8afbe827ca3bfa66d0e7f2386be6c5</x:v>
      </x:c>
      <x:c r="K900" s="30" t="str">
        <x:v>8afc93b6cbaad985c242097939055721477a28f39b16c13b249182eead0c8656</x:v>
      </x:c>
      <x:c r="L900" s="30" t="n">
        <x:v>567.67</x:v>
      </x:c>
      <x:c r="M900" s="30" t="str">
        <x:v>{"completion_tokens": 5, "prompt_tokens": 614, "total_tokens": 619, "completion_tokens_details": null, "prompt_tokens_details": {"audio_tokens": null, "cached_tokens": 512}, "prompt_cache_hit_tokens": 512, "prompt_cache_miss_tokens": 102}</x:v>
      </x:c>
      <x:c r="N900" s="30" t="str">
        <x:v>omission</x:v>
      </x:c>
      <x:c r="O900" s="30" t="str">
        <x:v>The model answer captures 'improved health' but omits the specific detail about 'renewed vigor in tackling cases,' which is a key part of the gold answer describing the professional performance change. While not false, the answer is incomplete.</x:v>
      </x:c>
      <x:c r="P900" s="30" t="str">
        <x:v>LongCat-2.0</x:v>
      </x:c>
      <x:c r="Q900" s="30" t="str">
        <x:v>LongCat-2.0</x:v>
      </x:c>
      <x:c r="R900" s="30" t="n">
        <x:v>20321.75</x:v>
      </x:c>
      <x:c r="S900" s="30" t="str">
        <x:v>{"completion_tokens": 60, "prompt_tokens": 158,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1">
      <x:c r="A901" s="30" t="str">
        <x:v>memos_medium:2634</x:v>
      </x:c>
      <x:c r="B901" s="30" t="str">
        <x:v>medium</x:v>
      </x:c>
      <x:c r="C901" s="30" t="str">
        <x:v>Multi-hop Inference</x:v>
      </x:c>
      <x:c r="D901" s="30" t="n">
        <x:v>3</x:v>
      </x:c>
      <x:c r="E901" s="30" t="str">
        <x:v>What changes in Oleksandr's health and professional performance were observed by Apr 10, 2028?</x:v>
      </x:c>
      <x:c r="F901" s="30" t="str">
        <x:v>Improved health and renewed vigor in tackling cases.</x:v>
      </x:c>
      <x:c r="G901" s="30" t="str">
        <x:v>Improved health and performance.</x:v>
      </x:c>
      <x:c r="H901" s="30" t="str">
        <x:v>deepseek-v4-flash</x:v>
      </x:c>
      <x:c r="I901" s="30" t="str">
        <x:v>deepseek-v4-flash</x:v>
      </x:c>
      <x:c r="J901" s="30" t="str">
        <x:v>8456e2e0e6114dac42fa9b8af7be1e096c8afbe827ca3bfa66d0e7f2386be6c5</x:v>
      </x:c>
      <x:c r="K901" s="30" t="str">
        <x:v>8afc93b6cbaad985c242097939055721477a28f39b16c13b249182eead0c8656</x:v>
      </x:c>
      <x:c r="L901" s="30" t="n">
        <x:v>559.1</x:v>
      </x:c>
      <x:c r="M901" s="30" t="str">
        <x:v>{"completion_tokens": 5, "prompt_tokens": 614, "total_tokens": 619, "completion_tokens_details": null, "prompt_tokens_details": {"audio_tokens": null, "cached_tokens": 512}, "prompt_cache_hit_tokens": 512, "prompt_cache_miss_tokens": 102}</x:v>
      </x:c>
      <x:c r="N901" s="30" t="str">
        <x:v>omission</x:v>
      </x:c>
      <x:c r="O901" s="30" t="str">
        <x:v>The model answer captures 'improved health' but omits the specific detail about 'renewed vigor in tackling cases,' which is a key part of the gold answer describing the professional performance change. While not false, the answer is incomplete.</x:v>
      </x:c>
      <x:c r="P901" s="30" t="str">
        <x:v>LongCat-2.0</x:v>
      </x:c>
      <x:c r="Q901" s="30" t="str">
        <x:v>LongCat-2.0</x:v>
      </x:c>
      <x:c r="R901" s="30" t="n">
        <x:v>20257.89</x:v>
      </x:c>
      <x:c r="S901" s="30" t="str">
        <x:v>{"completion_tokens": 60, "prompt_tokens": 158,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2">
      <x:c r="A902" s="30" t="str">
        <x:v>memos_medium:2636</x:v>
      </x:c>
      <x:c r="B902" s="30" t="str">
        <x:v>medium</x:v>
      </x:c>
      <x:c r="C902" s="30" t="str">
        <x:v>Multi-hop Inference</x:v>
      </x:c>
      <x:c r="D902" s="30" t="n">
        <x:v>1</x:v>
      </x:c>
      <x:c r="E902" s="30" t="str">
        <x:v>How did Oleksandr's improved health influence his engagement with peers by Jun 20, 2028?</x:v>
      </x:c>
      <x:c r="F902" s="30" t="str">
        <x:v>Enabled more active engagement with peers.</x:v>
      </x:c>
      <x:c r="G902" s="30" t="str">
        <x:v>More active engagement.</x:v>
      </x:c>
      <x:c r="H902" s="30" t="str">
        <x:v>deepseek-v4-flash</x:v>
      </x:c>
      <x:c r="I902" s="30" t="str">
        <x:v>deepseek-v4-flash</x:v>
      </x:c>
      <x:c r="J902" s="30" t="str">
        <x:v>34e704cde706c6d48859b1769b11604951b1838baeb3ae4fbf703171369efd6c</x:v>
      </x:c>
      <x:c r="K902" s="30" t="str">
        <x:v>26a617e17f28cff511176dffbe021e1e713d2a10471f8910907fd70498911720</x:v>
      </x:c>
      <x:c r="L902" s="30" t="n">
        <x:v>561.78</x:v>
      </x:c>
      <x:c r="M902" s="30" t="str">
        <x:v>{"completion_tokens": 4, "prompt_tokens": 612, "total_tokens": 616, "completion_tokens_details": null, "prompt_tokens_details": {"audio_tokens": null, "cached_tokens": 512}, "prompt_cache_hit_tokens": 512, "prompt_cache_miss_tokens": 100}</x:v>
      </x:c>
      <x:c r="N902" s="30" t="str">
        <x:v>correct</x:v>
      </x:c>
      <x:c r="O902" s="30" t="str">
        <x:v>The model answer 'More active engagement' is a concise restatement of the gold answer 'Enabled more active engagement with peers.' It captures the complete semantic meaning without adding false or unsupported information, and the wording difference is acceptable.</x:v>
      </x:c>
      <x:c r="P902" s="30" t="str">
        <x:v>LongCat-2.0</x:v>
      </x:c>
      <x:c r="Q902" s="30" t="str">
        <x:v>LongCat-2.0</x:v>
      </x:c>
      <x:c r="R902" s="30" t="n">
        <x:v>2705.98</x:v>
      </x:c>
      <x:c r="S902" s="30" t="str">
        <x:v>{"completion_tokens": 56, "prompt_tokens": 153, "total_tokens": 209,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03">
      <x:c r="A903" s="30" t="str">
        <x:v>memos_medium:2636</x:v>
      </x:c>
      <x:c r="B903" s="30" t="str">
        <x:v>medium</x:v>
      </x:c>
      <x:c r="C903" s="30" t="str">
        <x:v>Multi-hop Inference</x:v>
      </x:c>
      <x:c r="D903" s="30" t="n">
        <x:v>2</x:v>
      </x:c>
      <x:c r="E903" s="30" t="str">
        <x:v>How did Oleksandr's improved health influence his engagement with peers by Jun 20, 2028?</x:v>
      </x:c>
      <x:c r="F903" s="30" t="str">
        <x:v>Enabled more active engagement with peers.</x:v>
      </x:c>
      <x:c r="G903" s="30" t="str">
        <x:v>More active engagement.</x:v>
      </x:c>
      <x:c r="H903" s="30" t="str">
        <x:v>deepseek-v4-flash</x:v>
      </x:c>
      <x:c r="I903" s="30" t="str">
        <x:v>deepseek-v4-flash</x:v>
      </x:c>
      <x:c r="J903" s="30" t="str">
        <x:v>34e704cde706c6d48859b1769b11604951b1838baeb3ae4fbf703171369efd6c</x:v>
      </x:c>
      <x:c r="K903" s="30" t="str">
        <x:v>26a617e17f28cff511176dffbe021e1e713d2a10471f8910907fd70498911720</x:v>
      </x:c>
      <x:c r="L903" s="30" t="n">
        <x:v>748.76</x:v>
      </x:c>
      <x:c r="M903" s="30" t="str">
        <x:v>{"completion_tokens": 4, "prompt_tokens": 612, "total_tokens": 616, "completion_tokens_details": null, "prompt_tokens_details": {"audio_tokens": null, "cached_tokens": 512}, "prompt_cache_hit_tokens": 512, "prompt_cache_miss_tokens": 100}</x:v>
      </x:c>
      <x:c r="N903" s="30" t="str">
        <x:v>correct</x:v>
      </x:c>
      <x:c r="O903" s="30" t="str">
        <x:v>The model answer 'More active engagement' is a concise restatement of the gold answer 'Enabled more active engagement with peers,' conveying the same semantic meaning without adding false or unsupported information.</x:v>
      </x:c>
      <x:c r="P903" s="30" t="str">
        <x:v>LongCat-2.0</x:v>
      </x:c>
      <x:c r="Q903" s="30" t="str">
        <x:v>LongCat-2.0</x:v>
      </x:c>
      <x:c r="R903" s="30" t="n">
        <x:v>2465.28</x:v>
      </x:c>
      <x:c r="S903" s="30" t="str">
        <x:v>{"completion_tokens": 48, "prompt_tokens": 153, "total_tokens": 201,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04">
      <x:c r="A904" s="30" t="str">
        <x:v>memos_medium:2636</x:v>
      </x:c>
      <x:c r="B904" s="30" t="str">
        <x:v>medium</x:v>
      </x:c>
      <x:c r="C904" s="30" t="str">
        <x:v>Multi-hop Inference</x:v>
      </x:c>
      <x:c r="D904" s="30" t="n">
        <x:v>3</x:v>
      </x:c>
      <x:c r="E904" s="30" t="str">
        <x:v>How did Oleksandr's improved health influence his engagement with peers by Jun 20, 2028?</x:v>
      </x:c>
      <x:c r="F904" s="30" t="str">
        <x:v>Enabled more active engagement with peers.</x:v>
      </x:c>
      <x:c r="G904" s="30" t="str">
        <x:v>More active engagement.</x:v>
      </x:c>
      <x:c r="H904" s="30" t="str">
        <x:v>deepseek-v4-flash</x:v>
      </x:c>
      <x:c r="I904" s="30" t="str">
        <x:v>deepseek-v4-flash</x:v>
      </x:c>
      <x:c r="J904" s="30" t="str">
        <x:v>34e704cde706c6d48859b1769b11604951b1838baeb3ae4fbf703171369efd6c</x:v>
      </x:c>
      <x:c r="K904" s="30" t="str">
        <x:v>26a617e17f28cff511176dffbe021e1e713d2a10471f8910907fd70498911720</x:v>
      </x:c>
      <x:c r="L904" s="30" t="n">
        <x:v>686.21</x:v>
      </x:c>
      <x:c r="M904" s="30" t="str">
        <x:v>{"completion_tokens": 4, "prompt_tokens": 612, "total_tokens": 616, "completion_tokens_details": null, "prompt_tokens_details": {"audio_tokens": null, "cached_tokens": 512}, "prompt_cache_hit_tokens": 512, "prompt_cache_miss_tokens": 100}</x:v>
      </x:c>
      <x:c r="N904" s="30" t="str">
        <x:v>correct</x:v>
      </x:c>
      <x:c r="O904" s="30" t="str">
        <x:v>The model answer 'More active engagement' is a concise restatement of the gold answer 'Enabled more active engagement with peers.' It captures the complete semantic meaning without adding false or unsupported information.</x:v>
      </x:c>
      <x:c r="P904" s="30" t="str">
        <x:v>LongCat-2.0</x:v>
      </x:c>
      <x:c r="Q904" s="30" t="str">
        <x:v>LongCat-2.0</x:v>
      </x:c>
      <x:c r="R904" s="30" t="n">
        <x:v>2248.86</x:v>
      </x:c>
      <x:c r="S904" s="30" t="str">
        <x:v>{"completion_tokens": 49, "prompt_tokens": 153,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5">
      <x:c r="A905" s="30" t="str">
        <x:v>memos_medium:2656</x:v>
      </x:c>
      <x:c r="B905" s="30" t="str">
        <x:v>medium</x:v>
      </x:c>
      <x:c r="C905" s="30" t="str">
        <x:v>Generalization &amp; Application</x:v>
      </x:c>
      <x:c r="D905" s="30" t="n">
        <x:v>1</x:v>
      </x:c>
      <x:c r="E905" s="30" t="str">
        <x:v>Given Oleksandr's appreciation for techno music, what new genre might he explore next for creative inspiration after July 10, 2030?</x:v>
      </x:c>
      <x:c r="F905" s="30" t="str">
        <x:v>Ambient music for its emotional depth and complexity.</x:v>
      </x:c>
      <x:c r="G905" s="30" t="str">
        <x:v>Ambient or experimental music.</x:v>
      </x:c>
      <x:c r="H905" s="30" t="str">
        <x:v>deepseek-v4-flash</x:v>
      </x:c>
      <x:c r="I905" s="30" t="str">
        <x:v>deepseek-v4-flash</x:v>
      </x:c>
      <x:c r="J905" s="30" t="str">
        <x:v>4e750a451560ea8cc768ceef5446717cb2cc6aca413008a08032b7911013d0ca</x:v>
      </x:c>
      <x:c r="K905" s="30" t="str">
        <x:v>84260a009ed5f608410c9184f38699984993cc2d66370d208afcfa26dc63c086</x:v>
      </x:c>
      <x:c r="L905" s="30" t="n">
        <x:v>871.67</x:v>
      </x:c>
      <x:c r="M905" s="30" t="str">
        <x:v>{"completion_tokens": 6, "prompt_tokens": 615, "total_tokens": 621, "completion_tokens_details": null, "prompt_tokens_details": {"audio_tokens": null, "cached_tokens": 512}, "prompt_cache_hit_tokens": 512, "prompt_cache_miss_tokens": 103}</x:v>
      </x:c>
      <x:c r="N905" s="30" t="str">
        <x:v>omission</x:v>
      </x:c>
      <x:c r="O905" s="30" t="str">
        <x:v>The gold answer specifies 'Ambient music for its emotional depth and complexity.' The model answer provides 'Ambient or experimental music,' which includes only a partial match (ambient) but omits the key reasoning about emotional depth and complexity, and adds 'experimental music' which is not part of the gold answer. Since the model fails to convey the complete semantic content of the gold answer, it is an omission.</x:v>
      </x:c>
      <x:c r="P905" s="30" t="str">
        <x:v>LongCat-2.0</x:v>
      </x:c>
      <x:c r="Q905" s="30" t="str">
        <x:v>LongCat-2.0</x:v>
      </x:c>
      <x:c r="R905" s="30" t="n">
        <x:v>3887.71</x:v>
      </x:c>
      <x:c r="S905" s="30" t="str">
        <x:v>{"completion_tokens": 92, "prompt_tokens": 164, "total_tokens": 256,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6">
      <x:c r="A906" s="30" t="str">
        <x:v>memos_medium:2656</x:v>
      </x:c>
      <x:c r="B906" s="30" t="str">
        <x:v>medium</x:v>
      </x:c>
      <x:c r="C906" s="30" t="str">
        <x:v>Generalization &amp; Application</x:v>
      </x:c>
      <x:c r="D906" s="30" t="n">
        <x:v>2</x:v>
      </x:c>
      <x:c r="E906" s="30" t="str">
        <x:v>Given Oleksandr's appreciation for techno music, what new genre might he explore next for creative inspiration after July 10, 2030?</x:v>
      </x:c>
      <x:c r="F906" s="30" t="str">
        <x:v>Ambient music for its emotional depth and complexity.</x:v>
      </x:c>
      <x:c r="G906" s="30" t="str">
        <x:v>Ambient or experimental music.</x:v>
      </x:c>
      <x:c r="H906" s="30" t="str">
        <x:v>deepseek-v4-flash</x:v>
      </x:c>
      <x:c r="I906" s="30" t="str">
        <x:v>deepseek-v4-flash</x:v>
      </x:c>
      <x:c r="J906" s="30" t="str">
        <x:v>4e750a451560ea8cc768ceef5446717cb2cc6aca413008a08032b7911013d0ca</x:v>
      </x:c>
      <x:c r="K906" s="30" t="str">
        <x:v>84260a009ed5f608410c9184f38699984993cc2d66370d208afcfa26dc63c086</x:v>
      </x:c>
      <x:c r="L906" s="30" t="n">
        <x:v>662.83</x:v>
      </x:c>
      <x:c r="M906" s="30" t="str">
        <x:v>{"completion_tokens": 6, "prompt_tokens": 615, "total_tokens": 621, "completion_tokens_details": null, "prompt_tokens_details": {"audio_tokens": null, "cached_tokens": 512}, "prompt_cache_hit_tokens": 512, "prompt_cache_miss_tokens": 103}</x:v>
      </x:c>
      <x:c r="N906" s="30" t="str">
        <x:v>correct</x:v>
      </x:c>
      <x:c r="O906" s="30" t="str">
        <x:v>The model answer includes 'Ambient music' which matches the gold answer's core recommendation, and adds 'experimental music' as an additional suggestion without contradicting the gold answer. The key element (ambient music) is present, making it semantically complete.</x:v>
      </x:c>
      <x:c r="P906" s="30" t="str">
        <x:v>LongCat-2.0</x:v>
      </x:c>
      <x:c r="Q906" s="30" t="str">
        <x:v>LongCat-2.0</x:v>
      </x:c>
      <x:c r="R906" s="30" t="n">
        <x:v>3124.52</x:v>
      </x:c>
      <x:c r="S906" s="30" t="str">
        <x:v>{"completion_tokens": 61, "prompt_tokens": 164,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7">
      <x:c r="A907" s="30" t="str">
        <x:v>memos_medium:2656</x:v>
      </x:c>
      <x:c r="B907" s="30" t="str">
        <x:v>medium</x:v>
      </x:c>
      <x:c r="C907" s="30" t="str">
        <x:v>Generalization &amp; Application</x:v>
      </x:c>
      <x:c r="D907" s="30" t="n">
        <x:v>3</x:v>
      </x:c>
      <x:c r="E907" s="30" t="str">
        <x:v>Given Oleksandr's appreciation for techno music, what new genre might he explore next for creative inspiration after July 10, 2030?</x:v>
      </x:c>
      <x:c r="F907" s="30" t="str">
        <x:v>Ambient music for its emotional depth and complexity.</x:v>
      </x:c>
      <x:c r="G907" s="30" t="str">
        <x:v>Ambient or experimental music.</x:v>
      </x:c>
      <x:c r="H907" s="30" t="str">
        <x:v>deepseek-v4-flash</x:v>
      </x:c>
      <x:c r="I907" s="30" t="str">
        <x:v>deepseek-v4-flash</x:v>
      </x:c>
      <x:c r="J907" s="30" t="str">
        <x:v>4e750a451560ea8cc768ceef5446717cb2cc6aca413008a08032b7911013d0ca</x:v>
      </x:c>
      <x:c r="K907" s="30" t="str">
        <x:v>84260a009ed5f608410c9184f38699984993cc2d66370d208afcfa26dc63c086</x:v>
      </x:c>
      <x:c r="L907" s="30" t="n">
        <x:v>870.74</x:v>
      </x:c>
      <x:c r="M907" s="30" t="str">
        <x:v>{"completion_tokens": 6, "prompt_tokens": 615, "total_tokens": 621, "completion_tokens_details": null, "prompt_tokens_details": {"audio_tokens": null, "cached_tokens": 512}, "prompt_cache_hit_tokens": 512, "prompt_cache_miss_tokens": 103}</x:v>
      </x:c>
      <x:c r="N907" s="30" t="str">
        <x:v>omission</x:v>
      </x:c>
      <x:c r="O907" s="30" t="str">
        <x:v>The model answer includes 'ambient music' which matches the gold answer, but it also adds 'experimental music' as an alternative. Since the gold answer specifies only ambient music, the model's response provides an incomplete subset of the gold answer by not fully committing to the specific genre mentioned, and the addition of 'experimental music' is not supported by the gold answer.</x:v>
      </x:c>
      <x:c r="P907" s="30" t="str">
        <x:v>LongCat-2.0</x:v>
      </x:c>
      <x:c r="Q907" s="30" t="str">
        <x:v>LongCat-2.0</x:v>
      </x:c>
      <x:c r="R907" s="30" t="n">
        <x:v>3486.06</x:v>
      </x:c>
      <x:c r="S907" s="30" t="str">
        <x:v>{"completion_tokens": 85, "prompt_tokens": 164, "total_tokens": 249,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08">
      <x:c r="A908" s="30" t="str">
        <x:v>memos_medium:2657</x:v>
      </x:c>
      <x:c r="B908" s="30" t="str">
        <x:v>medium</x:v>
      </x:c>
      <x:c r="C908" s="30" t="str">
        <x:v>Generalization &amp; Application</x:v>
      </x:c>
      <x:c r="D908" s="30" t="n">
        <x:v>1</x:v>
      </x:c>
      <x:c r="E908" s="30" t="str">
        <x:v>Given Oleksandr Shevchenko's lifestyle, what type of pet might he consider on Nov 21, 2030?</x:v>
      </x:c>
      <x:c r="F908" s="30" t="str">
        <x:v>A pet requiring less time commitment than a dog.</x:v>
      </x:c>
      <x:c r="G908" s="30" t="str">
        <x:v>A low-maintenance pet</x:v>
      </x:c>
      <x:c r="H908" s="30" t="str">
        <x:v>deepseek-v4-flash</x:v>
      </x:c>
      <x:c r="I908" s="30" t="str">
        <x:v>deepseek-v4-flash</x:v>
      </x:c>
      <x:c r="J908" s="30" t="str">
        <x:v>8b6da98b307b237b049fb7bc882a85367355a4f04518c672fe6864f5799d8b0f</x:v>
      </x:c>
      <x:c r="K908" s="30" t="str">
        <x:v>17b61d3e036c06cb6bb135111670baf3a8a0befcd169f72ed5ce4823e854c46a</x:v>
      </x:c>
      <x:c r="L908" s="30" t="n">
        <x:v>529.95</x:v>
      </x:c>
      <x:c r="M908" s="30" t="str">
        <x:v>{"completion_tokens": 5, "prompt_tokens": 620, "total_tokens": 625, "completion_tokens_details": null, "prompt_tokens_details": {"audio_tokens": null, "cached_tokens": 512}, "prompt_cache_hit_tokens": 512, "prompt_cache_miss_tokens": 108}</x:v>
      </x:c>
      <x:c r="N908" s="30" t="str">
        <x:v>correct</x:v>
      </x:c>
      <x:c r="O908" s="30" t="str">
        <x:v>The model answer 'A low-maintenance pet' is semantically equivalent to the gold answer 'A pet requiring less time commitment than a dog.' Both convey the same core idea of a pet that demands minimal care or time, with only a difference in wording.</x:v>
      </x:c>
      <x:c r="P908" s="30" t="str">
        <x:v>LongCat-2.0</x:v>
      </x:c>
      <x:c r="Q908" s="30" t="str">
        <x:v>LongCat-2.0</x:v>
      </x:c>
      <x:c r="R908" s="30" t="n">
        <x:v>4402.7</x:v>
      </x:c>
      <x:c r="S908" s="30" t="str">
        <x:v>{"completion_tokens": 63, "prompt_tokens": 162,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09">
      <x:c r="A909" s="30" t="str">
        <x:v>memos_medium:2657</x:v>
      </x:c>
      <x:c r="B909" s="30" t="str">
        <x:v>medium</x:v>
      </x:c>
      <x:c r="C909" s="30" t="str">
        <x:v>Generalization &amp; Application</x:v>
      </x:c>
      <x:c r="D909" s="30" t="n">
        <x:v>2</x:v>
      </x:c>
      <x:c r="E909" s="30" t="str">
        <x:v>Given Oleksandr Shevchenko's lifestyle, what type of pet might he consider on Nov 21, 2030?</x:v>
      </x:c>
      <x:c r="F909" s="30" t="str">
        <x:v>A pet requiring less time commitment than a dog.</x:v>
      </x:c>
      <x:c r="G909" s="30" t="str">
        <x:v>A low-maintenance pet.</x:v>
      </x:c>
      <x:c r="H909" s="30" t="str">
        <x:v>deepseek-v4-flash</x:v>
      </x:c>
      <x:c r="I909" s="30" t="str">
        <x:v>deepseek-v4-flash</x:v>
      </x:c>
      <x:c r="J909" s="30" t="str">
        <x:v>8b6da98b307b237b049fb7bc882a85367355a4f04518c672fe6864f5799d8b0f</x:v>
      </x:c>
      <x:c r="K909" s="30" t="str">
        <x:v>17b61d3e036c06cb6bb135111670baf3a8a0befcd169f72ed5ce4823e854c46a</x:v>
      </x:c>
      <x:c r="L909" s="30" t="n">
        <x:v>626.99</x:v>
      </x:c>
      <x:c r="M909" s="30" t="str">
        <x:v>{"completion_tokens": 6, "prompt_tokens": 620, "total_tokens": 626, "completion_tokens_details": null, "prompt_tokens_details": {"audio_tokens": null, "cached_tokens": 512}, "prompt_cache_hit_tokens": 512, "prompt_cache_miss_tokens": 108}</x:v>
      </x:c>
      <x:c r="N909" s="30" t="str">
        <x:v>correct</x:v>
      </x:c>
      <x:c r="O909" s="30" t="str">
        <x:v>The gold answer states 'A pet requiring less time commitment than a dog,' which is semantically equivalent to 'A low-maintenance pet.' Both convey the same meaning—a pet that demands minimal care and time—with only a difference in wording.</x:v>
      </x:c>
      <x:c r="P909" s="30" t="str">
        <x:v>LongCat-2.0</x:v>
      </x:c>
      <x:c r="Q909" s="30" t="str">
        <x:v>LongCat-2.0</x:v>
      </x:c>
      <x:c r="R909" s="30" t="n">
        <x:v>2908.87</x:v>
      </x:c>
      <x:c r="S909" s="30" t="str">
        <x:v>{"completion_tokens": 61, "prompt_tokens": 162, "total_tokens": 223,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10">
      <x:c r="A910" s="30" t="str">
        <x:v>memos_medium:2657</x:v>
      </x:c>
      <x:c r="B910" s="30" t="str">
        <x:v>medium</x:v>
      </x:c>
      <x:c r="C910" s="30" t="str">
        <x:v>Generalization &amp; Application</x:v>
      </x:c>
      <x:c r="D910" s="30" t="n">
        <x:v>3</x:v>
      </x:c>
      <x:c r="E910" s="30" t="str">
        <x:v>Given Oleksandr Shevchenko's lifestyle, what type of pet might he consider on Nov 21, 2030?</x:v>
      </x:c>
      <x:c r="F910" s="30" t="str">
        <x:v>A pet requiring less time commitment than a dog.</x:v>
      </x:c>
      <x:c r="G910" s="30" t="str">
        <x:v>A low-maintenance pet.</x:v>
      </x:c>
      <x:c r="H910" s="30" t="str">
        <x:v>deepseek-v4-flash</x:v>
      </x:c>
      <x:c r="I910" s="30" t="str">
        <x:v>deepseek-v4-flash</x:v>
      </x:c>
      <x:c r="J910" s="30" t="str">
        <x:v>8b6da98b307b237b049fb7bc882a85367355a4f04518c672fe6864f5799d8b0f</x:v>
      </x:c>
      <x:c r="K910" s="30" t="str">
        <x:v>17b61d3e036c06cb6bb135111670baf3a8a0befcd169f72ed5ce4823e854c46a</x:v>
      </x:c>
      <x:c r="L910" s="30" t="n">
        <x:v>663.14</x:v>
      </x:c>
      <x:c r="M910" s="30" t="str">
        <x:v>{"completion_tokens": 6, "prompt_tokens": 620, "total_tokens": 626, "completion_tokens_details": null, "prompt_tokens_details": {"audio_tokens": null, "cached_tokens": 512}, "prompt_cache_hit_tokens": 512, "prompt_cache_miss_tokens": 108}</x:v>
      </x:c>
      <x:c r="N910" s="30" t="str">
        <x:v>correct</x:v>
      </x:c>
      <x:c r="O910" s="30" t="str">
        <x:v>The model answer 'A low-maintenance pet' is semantically equivalent to the gold answer 'A pet requiring less time commitment than a dog.' Both convey the same core idea of a pet that demands minimal care and time, with only a difference in wording.</x:v>
      </x:c>
      <x:c r="P910" s="30" t="str">
        <x:v>LongCat-2.0</x:v>
      </x:c>
      <x:c r="Q910" s="30" t="str">
        <x:v>LongCat-2.0</x:v>
      </x:c>
      <x:c r="R910" s="30" t="n">
        <x:v>2711.8</x:v>
      </x:c>
      <x:c r="S910" s="30" t="str">
        <x:v>{"completion_tokens": 63, "prompt_tokens": 162,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1">
      <x:c r="A911" s="30" t="str">
        <x:v>memos_medium:2662</x:v>
      </x:c>
      <x:c r="B911" s="30" t="str">
        <x:v>medium</x:v>
      </x:c>
      <x:c r="C911" s="30" t="str">
        <x:v>Generalization &amp; Application</x:v>
      </x:c>
      <x:c r="D911" s="30" t="n">
        <x:v>1</x:v>
      </x:c>
      <x:c r="E911" s="30" t="str">
        <x:v>What type of travel itinerary might Oleksandr prefer for a trip after Apr 04, 2031, based on his recent experiences?</x:v>
      </x:c>
      <x:c r="F911" s="30" t="str">
        <x:v>A balanced itinerary with room for spontaneous activities.</x:v>
      </x:c>
      <x:c r="G911" s="30" t="str">
        <x:v>Balanced, flexible itinerary</x:v>
      </x:c>
      <x:c r="H911" s="30" t="str">
        <x:v>deepseek-v4-flash</x:v>
      </x:c>
      <x:c r="I911" s="30" t="str">
        <x:v>deepseek-v4-flash</x:v>
      </x:c>
      <x:c r="J911" s="30" t="str">
        <x:v>33c7228f0e38ae4af1203a93c284c3696b5f8dddc6f5734ced1d62841af7a382</x:v>
      </x:c>
      <x:c r="K911" s="30" t="str">
        <x:v>190d38e147b4fec6990701fcbb431d5182b5cac404f00c4b20eddcddce4a04e3</x:v>
      </x:c>
      <x:c r="L911" s="30" t="n">
        <x:v>678.29</x:v>
      </x:c>
      <x:c r="M911" s="30" t="str">
        <x:v>{"completion_tokens": 5, "prompt_tokens": 603, "total_tokens": 608, "completion_tokens_details": null, "prompt_tokens_details": {"audio_tokens": null, "cached_tokens": 512}, "prompt_cache_hit_tokens": 512, "prompt_cache_miss_tokens": 91}</x:v>
      </x:c>
      <x:c r="N911" s="30" t="str">
        <x:v>correct</x:v>
      </x:c>
      <x:c r="O911" s="30" t="str">
        <x:v>The model answer 'Balanced, flexible itinerary' semantically captures the complete meaning of the gold answer 'A balanced itinerary with room for spontaneous activities.' 'Flexible' is a reasonable paraphrase for 'room for spontaneous activities,' and 'balanced' is directly retained. No information is omitted or contradicted.</x:v>
      </x:c>
      <x:c r="P911" s="30" t="str">
        <x:v>LongCat-2.0</x:v>
      </x:c>
      <x:c r="Q911" s="30" t="str">
        <x:v>LongCat-2.0</x:v>
      </x:c>
      <x:c r="R911" s="30" t="n">
        <x:v>3834.18</x:v>
      </x:c>
      <x:c r="S911" s="30" t="str">
        <x:v>{"completion_tokens": 76, "prompt_tokens": 166,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2">
      <x:c r="A912" s="30" t="str">
        <x:v>memos_medium:2662</x:v>
      </x:c>
      <x:c r="B912" s="30" t="str">
        <x:v>medium</x:v>
      </x:c>
      <x:c r="C912" s="30" t="str">
        <x:v>Generalization &amp; Application</x:v>
      </x:c>
      <x:c r="D912" s="30" t="n">
        <x:v>2</x:v>
      </x:c>
      <x:c r="E912" s="30" t="str">
        <x:v>What type of travel itinerary might Oleksandr prefer for a trip after Apr 04, 2031, based on his recent experiences?</x:v>
      </x:c>
      <x:c r="F912" s="30" t="str">
        <x:v>A balanced itinerary with room for spontaneous activities.</x:v>
      </x:c>
      <x:c r="G912" s="30" t="str">
        <x:v>Balanced, flexible itinerary</x:v>
      </x:c>
      <x:c r="H912" s="30" t="str">
        <x:v>deepseek-v4-flash</x:v>
      </x:c>
      <x:c r="I912" s="30" t="str">
        <x:v>deepseek-v4-flash</x:v>
      </x:c>
      <x:c r="J912" s="30" t="str">
        <x:v>33c7228f0e38ae4af1203a93c284c3696b5f8dddc6f5734ced1d62841af7a382</x:v>
      </x:c>
      <x:c r="K912" s="30" t="str">
        <x:v>190d38e147b4fec6990701fcbb431d5182b5cac404f00c4b20eddcddce4a04e3</x:v>
      </x:c>
      <x:c r="L912" s="30" t="n">
        <x:v>615.27</x:v>
      </x:c>
      <x:c r="M912" s="30" t="str">
        <x:v>{"completion_tokens": 5, "prompt_tokens": 603, "total_tokens": 608, "completion_tokens_details": null, "prompt_tokens_details": {"audio_tokens": null, "cached_tokens": 512}, "prompt_cache_hit_tokens": 512, "prompt_cache_miss_tokens": 91}</x:v>
      </x:c>
      <x:c r="N912" s="30" t="str">
        <x:v>correct</x:v>
      </x:c>
      <x:c r="O912" s="30" t="str">
        <x:v>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x:v>
      </x:c>
      <x:c r="P912" s="30" t="str">
        <x:v>LongCat-2.0</x:v>
      </x:c>
      <x:c r="Q912" s="30" t="str">
        <x:v>LongCat-2.0</x:v>
      </x:c>
      <x:c r="R912" s="30" t="n">
        <x:v>3018.27</x:v>
      </x:c>
      <x:c r="S912" s="30" t="str">
        <x:v>{"completion_tokens": 77, "prompt_tokens": 166, "total_tokens": 243,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13">
      <x:c r="A913" s="30" t="str">
        <x:v>memos_medium:2662</x:v>
      </x:c>
      <x:c r="B913" s="30" t="str">
        <x:v>medium</x:v>
      </x:c>
      <x:c r="C913" s="30" t="str">
        <x:v>Generalization &amp; Application</x:v>
      </x:c>
      <x:c r="D913" s="30" t="n">
        <x:v>3</x:v>
      </x:c>
      <x:c r="E913" s="30" t="str">
        <x:v>What type of travel itinerary might Oleksandr prefer for a trip after Apr 04, 2031, based on his recent experiences?</x:v>
      </x:c>
      <x:c r="F913" s="30" t="str">
        <x:v>A balanced itinerary with room for spontaneous activities.</x:v>
      </x:c>
      <x:c r="G913" s="30" t="str">
        <x:v>Balanced, flexible itinerary</x:v>
      </x:c>
      <x:c r="H913" s="30" t="str">
        <x:v>deepseek-v4-flash</x:v>
      </x:c>
      <x:c r="I913" s="30" t="str">
        <x:v>deepseek-v4-flash</x:v>
      </x:c>
      <x:c r="J913" s="30" t="str">
        <x:v>33c7228f0e38ae4af1203a93c284c3696b5f8dddc6f5734ced1d62841af7a382</x:v>
      </x:c>
      <x:c r="K913" s="30" t="str">
        <x:v>190d38e147b4fec6990701fcbb431d5182b5cac404f00c4b20eddcddce4a04e3</x:v>
      </x:c>
      <x:c r="L913" s="30" t="n">
        <x:v>609.79</x:v>
      </x:c>
      <x:c r="M913" s="30" t="str">
        <x:v>{"completion_tokens": 5, "prompt_tokens": 603, "total_tokens": 608, "completion_tokens_details": null, "prompt_tokens_details": {"audio_tokens": null, "cached_tokens": 512}, "prompt_cache_hit_tokens": 512, "prompt_cache_miss_tokens": 91}</x:v>
      </x:c>
      <x:c r="N913" s="30" t="str">
        <x:v>correct</x:v>
      </x:c>
      <x:c r="O913" s="30" t="str">
        <x:v>The model answer 'Balanced, flexible itinerary' semantically captures the complete meaning of the gold answer 'A balanced itinerary with room for spontaneous activities.' 'Flexible' effectively conveys the idea of 'room for spontaneous activities,' and 'balanced' is directly preserved. The wording differs slightly but the full meaning is intact.</x:v>
      </x:c>
      <x:c r="P913" s="30" t="str">
        <x:v>LongCat-2.0</x:v>
      </x:c>
      <x:c r="Q913" s="30" t="str">
        <x:v>LongCat-2.0</x:v>
      </x:c>
      <x:c r="R913" s="30" t="n">
        <x:v>4518.68</x:v>
      </x:c>
      <x:c r="S913" s="30" t="str">
        <x:v>{"completion_tokens": 77, "prompt_tokens": 166, "total_tokens": 243,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4">
      <x:c r="A914" s="30" t="str">
        <x:v>memos_medium:2670</x:v>
      </x:c>
      <x:c r="B914" s="30" t="str">
        <x:v>medium</x:v>
      </x:c>
      <x:c r="C914" s="30" t="str">
        <x:v>Generalization &amp; Application</x:v>
      </x:c>
      <x:c r="D914" s="30" t="n">
        <x:v>1</x:v>
      </x:c>
      <x:c r="E914" s="30" t="str">
        <x:v>Given Oleksandr's recent decision to avoid varenyky, what type of restaurant should he consider visiting after May 09, 2032?</x:v>
      </x:c>
      <x:c r="F914" s="30" t="str">
        <x:v>A restaurant offering allergen-free and health-conscious options.</x:v>
      </x:c>
      <x:c r="G914" s="30" t="str">
        <x:v>A non-varenyky restaurant.</x:v>
      </x:c>
      <x:c r="H914" s="30" t="str">
        <x:v>deepseek-v4-flash</x:v>
      </x:c>
      <x:c r="I914" s="30" t="str">
        <x:v>deepseek-v4-flash</x:v>
      </x:c>
      <x:c r="J914" s="30" t="str">
        <x:v>96e69856aac4351925782bf2027a57fe2ff48f03e9f8dfb6a9d184097aa29539</x:v>
      </x:c>
      <x:c r="K914" s="30" t="str">
        <x:v>c401879c23507384e271f415f059b85c5fb8e7fcf6e8011353b88a901a4dc9d8</x:v>
      </x:c>
      <x:c r="L914" s="30" t="n">
        <x:v>796.66</x:v>
      </x:c>
      <x:c r="M914" s="30" t="str">
        <x:v>{"completion_tokens": 8, "prompt_tokens": 614, "total_tokens": 622, "completion_tokens_details": null, "prompt_tokens_details": {"audio_tokens": null, "cached_tokens": 512}, "prompt_cache_hit_tokens": 512, "prompt_cache_miss_tokens": 102}</x:v>
      </x:c>
      <x:c r="N914" s="30" t="str">
        <x:v>omission</x:v>
      </x:c>
      <x:c r="O914" s="30" t="str">
        <x:v>The model answer 'A non-varenyky restaurant' is technically true but only provides an incomplete subset of the gold answer. The gold answer specifies 'allergen-free and health-conscious options,' which gives the meaningful reason behind avoiding varenyky. The model's answer merely restates the avoidance without capturing the substantive recommendation, making it an incomplete answer that omits the key information.</x:v>
      </x:c>
      <x:c r="P914" s="30" t="str">
        <x:v>LongCat-2.0</x:v>
      </x:c>
      <x:c r="Q914" s="30" t="str">
        <x:v>LongCat-2.0</x:v>
      </x:c>
      <x:c r="R914" s="30" t="n">
        <x:v>3745.65</x:v>
      </x:c>
      <x:c r="S914" s="30" t="str">
        <x:v>{"completion_tokens": 91, "prompt_tokens": 170, "total_tokens": 261,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5">
      <x:c r="A915" s="30" t="str">
        <x:v>memos_medium:2670</x:v>
      </x:c>
      <x:c r="B915" s="30" t="str">
        <x:v>medium</x:v>
      </x:c>
      <x:c r="C915" s="30" t="str">
        <x:v>Generalization &amp; Application</x:v>
      </x:c>
      <x:c r="D915" s="30" t="n">
        <x:v>2</x:v>
      </x:c>
      <x:c r="E915" s="30" t="str">
        <x:v>Given Oleksandr's recent decision to avoid varenyky, what type of restaurant should he consider visiting after May 09, 2032?</x:v>
      </x:c>
      <x:c r="F915" s="30" t="str">
        <x:v>A restaurant offering allergen-free and health-conscious options.</x:v>
      </x:c>
      <x:c r="G915" s="30" t="str">
        <x:v>A non-varenyky restaurant.</x:v>
      </x:c>
      <x:c r="H915" s="30" t="str">
        <x:v>deepseek-v4-flash</x:v>
      </x:c>
      <x:c r="I915" s="30" t="str">
        <x:v>deepseek-v4-flash</x:v>
      </x:c>
      <x:c r="J915" s="30" t="str">
        <x:v>96e69856aac4351925782bf2027a57fe2ff48f03e9f8dfb6a9d184097aa29539</x:v>
      </x:c>
      <x:c r="K915" s="30" t="str">
        <x:v>c401879c23507384e271f415f059b85c5fb8e7fcf6e8011353b88a901a4dc9d8</x:v>
      </x:c>
      <x:c r="L915" s="30" t="n">
        <x:v>816.52</x:v>
      </x:c>
      <x:c r="M915" s="30" t="str">
        <x:v>{"completion_tokens": 8, "prompt_tokens": 614, "total_tokens": 622, "completion_tokens_details": null, "prompt_tokens_details": {"audio_tokens": null, "cached_tokens": 512}, "prompt_cache_hit_tokens": 512, "prompt_cache_miss_tokens": 102}</x:v>
      </x:c>
      <x:c r="N915" s="30" t="str">
        <x:v>omission</x:v>
      </x:c>
      <x:c r="O915" s="30" t="str">
        <x:v>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but fails to give the complete semantic content of the gold answer.</x:v>
      </x:c>
      <x:c r="P915" s="30" t="str">
        <x:v>LongCat-2.0</x:v>
      </x:c>
      <x:c r="Q915" s="30" t="str">
        <x:v>LongCat-2.0</x:v>
      </x:c>
      <x:c r="R915" s="30" t="n">
        <x:v>4350.37</x:v>
      </x:c>
      <x:c r="S915" s="30" t="str">
        <x:v>{"completion_tokens": 84, "prompt_tokens": 170, "total_tokens": 254,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6">
      <x:c r="A916" s="30" t="str">
        <x:v>memos_medium:2670</x:v>
      </x:c>
      <x:c r="B916" s="30" t="str">
        <x:v>medium</x:v>
      </x:c>
      <x:c r="C916" s="30" t="str">
        <x:v>Generalization &amp; Application</x:v>
      </x:c>
      <x:c r="D916" s="30" t="n">
        <x:v>3</x:v>
      </x:c>
      <x:c r="E916" s="30" t="str">
        <x:v>Given Oleksandr's recent decision to avoid varenyky, what type of restaurant should he consider visiting after May 09, 2032?</x:v>
      </x:c>
      <x:c r="F916" s="30" t="str">
        <x:v>A restaurant offering allergen-free and health-conscious options.</x:v>
      </x:c>
      <x:c r="G916" s="30" t="str">
        <x:v>A non-varenyky restaurant.</x:v>
      </x:c>
      <x:c r="H916" s="30" t="str">
        <x:v>deepseek-v4-flash</x:v>
      </x:c>
      <x:c r="I916" s="30" t="str">
        <x:v>deepseek-v4-flash</x:v>
      </x:c>
      <x:c r="J916" s="30" t="str">
        <x:v>96e69856aac4351925782bf2027a57fe2ff48f03e9f8dfb6a9d184097aa29539</x:v>
      </x:c>
      <x:c r="K916" s="30" t="str">
        <x:v>c401879c23507384e271f415f059b85c5fb8e7fcf6e8011353b88a901a4dc9d8</x:v>
      </x:c>
      <x:c r="L916" s="30" t="n">
        <x:v>720.12</x:v>
      </x:c>
      <x:c r="M916" s="30" t="str">
        <x:v>{"completion_tokens": 8, "prompt_tokens": 614, "total_tokens": 622, "completion_tokens_details": null, "prompt_tokens_details": {"audio_tokens": null, "cached_tokens": 512}, "prompt_cache_hit_tokens": 512, "prompt_cache_miss_tokens": 102}</x:v>
      </x:c>
      <x:c r="N916" s="30" t="str">
        <x:v>omission</x:v>
      </x:c>
      <x:c r="O916" s="30" t="str">
        <x:v>The model answer 'A non-varenyky restaurant' is technically true but only provides an incomplete subset of the gold answer. It does not capture the key information about allergen-free and health-conscious options, which is the substantive reason for the restaurant recommendation. The answer avoids the specific false claim of hallucination but fails to deliver the complete semantic content of the gold answer.</x:v>
      </x:c>
      <x:c r="P916" s="30" t="str">
        <x:v>LongCat-2.0</x:v>
      </x:c>
      <x:c r="Q916" s="30" t="str">
        <x:v>LongCat-2.0</x:v>
      </x:c>
      <x:c r="R916" s="30" t="n">
        <x:v>3197.58</x:v>
      </x:c>
      <x:c r="S916" s="30" t="str">
        <x:v>{"completion_tokens": 87, "prompt_tokens": 170, "total_tokens": 257,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17">
      <x:c r="A917" s="30" t="str">
        <x:v>memos_medium:2688</x:v>
      </x:c>
      <x:c r="B917" s="30" t="str">
        <x:v>medium</x:v>
      </x:c>
      <x:c r="C917" s="30" t="str">
        <x:v>Generalization &amp; Application</x:v>
      </x:c>
      <x:c r="D917" s="30" t="n">
        <x:v>1</x:v>
      </x:c>
      <x:c r="E917" s="30" t="str">
        <x:v>What type of experiences might Oleksandr prioritize during his travels to coastal regions after June 15, 2033?</x:v>
      </x:c>
      <x:c r="F917" s="30" t="str">
        <x:v>Cultural experiences and events.</x:v>
      </x:c>
      <x:c r="G917" s="30" t="str">
        <x:v>Cultural and social justice experiences.</x:v>
      </x:c>
      <x:c r="H917" s="30" t="str">
        <x:v>deepseek-v4-flash</x:v>
      </x:c>
      <x:c r="I917" s="30" t="str">
        <x:v>deepseek-v4-flash</x:v>
      </x:c>
      <x:c r="J917" s="30" t="str">
        <x:v>494ca8ef75f707e290cca75f116f7ce42ad9374d9a31d7225a963f64883c90a4</x:v>
      </x:c>
      <x:c r="K917" s="30" t="str">
        <x:v>057b0e4d933ccecb93ab58e2cb355ff378c3575cb8c4d1481ef9daa970ef1794</x:v>
      </x:c>
      <x:c r="L917" s="30" t="n">
        <x:v>749.49</x:v>
      </x:c>
      <x:c r="M917" s="30" t="str">
        <x:v>{"completion_tokens": 6, "prompt_tokens": 609, "total_tokens": 615, "completion_tokens_details": null, "prompt_tokens_details": {"audio_tokens": null, "cached_tokens": 512}, "prompt_cache_hit_tokens": 512, "prompt_cache_miss_tokens": 97}</x:v>
      </x:c>
      <x:c r="N917" s="30" t="str">
        <x:v>hallucination</x:v>
      </x:c>
      <x:c r="O917" s="30" t="str">
        <x:v>The gold answer specifies 'Cultural experiences and events.' The model answer adds 'social justice,' which is unsupported and not present in the gold answer, making it a concrete addition that goes beyond the benchmark.</x:v>
      </x:c>
      <x:c r="P917" s="30" t="str">
        <x:v>LongCat-2.0</x:v>
      </x:c>
      <x:c r="Q917" s="30" t="str">
        <x:v>LongCat-2.0</x:v>
      </x:c>
      <x:c r="R917" s="30" t="n">
        <x:v>12542.79</x:v>
      </x:c>
      <x:c r="S917" s="30" t="str">
        <x:v>{"completion_tokens": 53, "prompt_tokens": 155,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8">
      <x:c r="A918" s="30" t="str">
        <x:v>memos_medium:2688</x:v>
      </x:c>
      <x:c r="B918" s="30" t="str">
        <x:v>medium</x:v>
      </x:c>
      <x:c r="C918" s="30" t="str">
        <x:v>Generalization &amp; Application</x:v>
      </x:c>
      <x:c r="D918" s="30" t="n">
        <x:v>2</x:v>
      </x:c>
      <x:c r="E918" s="30" t="str">
        <x:v>What type of experiences might Oleksandr prioritize during his travels to coastal regions after June 15, 2033?</x:v>
      </x:c>
      <x:c r="F918" s="30" t="str">
        <x:v>Cultural experiences and events.</x:v>
      </x:c>
      <x:c r="G918" s="30" t="str">
        <x:v>Cultural and social justice experiences.</x:v>
      </x:c>
      <x:c r="H918" s="30" t="str">
        <x:v>deepseek-v4-flash</x:v>
      </x:c>
      <x:c r="I918" s="30" t="str">
        <x:v>deepseek-v4-flash</x:v>
      </x:c>
      <x:c r="J918" s="30" t="str">
        <x:v>494ca8ef75f707e290cca75f116f7ce42ad9374d9a31d7225a963f64883c90a4</x:v>
      </x:c>
      <x:c r="K918" s="30" t="str">
        <x:v>057b0e4d933ccecb93ab58e2cb355ff378c3575cb8c4d1481ef9daa970ef1794</x:v>
      </x:c>
      <x:c r="L918" s="30" t="n">
        <x:v>759.82</x:v>
      </x:c>
      <x:c r="M918" s="30" t="str">
        <x:v>{"completion_tokens": 6, "prompt_tokens": 609, "total_tokens": 615, "completion_tokens_details": null, "prompt_tokens_details": {"audio_tokens": null, "cached_tokens": 512}, "prompt_cache_hit_tokens": 512, "prompt_cache_miss_tokens": 97}</x:v>
      </x:c>
      <x:c r="N918" s="30" t="str">
        <x:v>hallucination</x:v>
      </x:c>
      <x:c r="O918" s="30" t="str">
        <x:v>The gold answer specifies 'Cultural experiences and events.' The model answer adds 'social justice,' which is unsupported and not present in the gold answer, making it a concrete addition that goes beyond the benchmark.</x:v>
      </x:c>
      <x:c r="P918" s="30" t="str">
        <x:v>LongCat-2.0</x:v>
      </x:c>
      <x:c r="Q918" s="30" t="str">
        <x:v>LongCat-2.0</x:v>
      </x:c>
      <x:c r="R918" s="30" t="n">
        <x:v>9254.94</x:v>
      </x:c>
      <x:c r="S918" s="30" t="str">
        <x:v>{"completion_tokens": 53, "prompt_tokens": 155,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19">
      <x:c r="A919" s="30" t="str">
        <x:v>memos_medium:2688</x:v>
      </x:c>
      <x:c r="B919" s="30" t="str">
        <x:v>medium</x:v>
      </x:c>
      <x:c r="C919" s="30" t="str">
        <x:v>Generalization &amp; Application</x:v>
      </x:c>
      <x:c r="D919" s="30" t="n">
        <x:v>3</x:v>
      </x:c>
      <x:c r="E919" s="30" t="str">
        <x:v>What type of experiences might Oleksandr prioritize during his travels to coastal regions after June 15, 2033?</x:v>
      </x:c>
      <x:c r="F919" s="30" t="str">
        <x:v>Cultural experiences and events.</x:v>
      </x:c>
      <x:c r="G919" s="30" t="str">
        <x:v>Cultural and social justice experiences.</x:v>
      </x:c>
      <x:c r="H919" s="30" t="str">
        <x:v>deepseek-v4-flash</x:v>
      </x:c>
      <x:c r="I919" s="30" t="str">
        <x:v>deepseek-v4-flash</x:v>
      </x:c>
      <x:c r="J919" s="30" t="str">
        <x:v>494ca8ef75f707e290cca75f116f7ce42ad9374d9a31d7225a963f64883c90a4</x:v>
      </x:c>
      <x:c r="K919" s="30" t="str">
        <x:v>057b0e4d933ccecb93ab58e2cb355ff378c3575cb8c4d1481ef9daa970ef1794</x:v>
      </x:c>
      <x:c r="L919" s="30" t="n">
        <x:v>536.02</x:v>
      </x:c>
      <x:c r="M919" s="30" t="str">
        <x:v>{"completion_tokens": 6, "prompt_tokens": 609, "total_tokens": 615, "completion_tokens_details": null, "prompt_tokens_details": {"audio_tokens": null, "cached_tokens": 512}, "prompt_cache_hit_tokens": 512, "prompt_cache_miss_tokens": 97}</x:v>
      </x:c>
      <x:c r="N919" s="30" t="str">
        <x:v>hallucination</x:v>
      </x:c>
      <x:c r="O919" s="30" t="str">
        <x:v>The gold answer specifies 'Cultural experiences and events.' The model answer adds 'social justice,' which is unsupported and not present in the gold answer, making it a concrete addition that goes beyond the benchmark.</x:v>
      </x:c>
      <x:c r="P919" s="30" t="str">
        <x:v>LongCat-2.0</x:v>
      </x:c>
      <x:c r="Q919" s="30" t="str">
        <x:v>LongCat-2.0</x:v>
      </x:c>
      <x:c r="R919" s="30" t="n">
        <x:v>12647.27</x:v>
      </x:c>
      <x:c r="S919" s="30" t="str">
        <x:v>{"completion_tokens": 53, "prompt_tokens": 155,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20">
      <x:c r="A920" s="30" t="str">
        <x:v>memos_medium:2755</x:v>
      </x:c>
      <x:c r="B920" s="30" t="str">
        <x:v>medium</x:v>
      </x:c>
      <x:c r="C920" s="30" t="str">
        <x:v>Generalization &amp; Application</x:v>
      </x:c>
      <x:c r="D920" s="30" t="n">
        <x:v>1</x:v>
      </x:c>
      <x:c r="E920" s="30" t="str">
        <x:v>What strategies might Donald consider for sustainable growth in his consulting firm after 2026-01-05?</x:v>
      </x:c>
      <x:c r="F920" s="30" t="str">
        <x:v>Innovative strategies and nurturing relationships.</x:v>
      </x:c>
      <x:c r="G920" s="30" t="str">
        <x:v>Nurturing relationships and brainstorming strategies.</x:v>
      </x:c>
      <x:c r="H920" s="30" t="str">
        <x:v>deepseek-v4-flash</x:v>
      </x:c>
      <x:c r="I920" s="30" t="str">
        <x:v>deepseek-v4-flash</x:v>
      </x:c>
      <x:c r="J920" s="30" t="str">
        <x:v>8f3c953e8d30fcb51aed9645677077fa674d01ad5493a3aa33526ffb12477688</x:v>
      </x:c>
      <x:c r="K920" s="30" t="str">
        <x:v>1ca3b82684ae957f9c6d3729bd38366d769130a32f5a44a94a3717359f35957c</x:v>
      </x:c>
      <x:c r="L920" s="30" t="n">
        <x:v>917.7</x:v>
      </x:c>
      <x:c r="M920" s="30" t="str">
        <x:v>{"completion_tokens": 8, "prompt_tokens": 567, "total_tokens": 575, "completion_tokens_details": null, "prompt_tokens_details": {"audio_tokens": null, "cached_tokens": 512}, "prompt_cache_hit_tokens": 512, "prompt_cache_miss_tokens": 55}</x:v>
      </x:c>
      <x:c r="N920" s="30" t="str">
        <x:v>correct</x:v>
      </x:c>
      <x:c r="O920" s="30" t="str">
        <x:v>The model answer contains both key components from the gold answer: 'nurturing relationships' and 'brainstorming strategies' (which is a semantically equivalent way of expressing 'innovative strategies'). The wording differs slightly but the complete meaning is preserved.</x:v>
      </x:c>
      <x:c r="P920" s="30" t="str">
        <x:v>LongCat-2.0</x:v>
      </x:c>
      <x:c r="Q920" s="30" t="str">
        <x:v>LongCat-2.0</x:v>
      </x:c>
      <x:c r="R920" s="30" t="n">
        <x:v>6200.36</x:v>
      </x:c>
      <x:c r="S920" s="30" t="str">
        <x:v>{"completion_tokens": 63, "prompt_tokens": 161,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1">
      <x:c r="A921" s="30" t="str">
        <x:v>memos_medium:2755</x:v>
      </x:c>
      <x:c r="B921" s="30" t="str">
        <x:v>medium</x:v>
      </x:c>
      <x:c r="C921" s="30" t="str">
        <x:v>Generalization &amp; Application</x:v>
      </x:c>
      <x:c r="D921" s="30" t="n">
        <x:v>2</x:v>
      </x:c>
      <x:c r="E921" s="30" t="str">
        <x:v>What strategies might Donald consider for sustainable growth in his consulting firm after 2026-01-05?</x:v>
      </x:c>
      <x:c r="F921" s="30" t="str">
        <x:v>Innovative strategies and nurturing relationships.</x:v>
      </x:c>
      <x:c r="G921" s="30" t="str">
        <x:v>Nurturing relationships and sustainable growth.</x:v>
      </x:c>
      <x:c r="H921" s="30" t="str">
        <x:v>deepseek-v4-flash</x:v>
      </x:c>
      <x:c r="I921" s="30" t="str">
        <x:v>deepseek-v4-flash</x:v>
      </x:c>
      <x:c r="J921" s="30" t="str">
        <x:v>8f3c953e8d30fcb51aed9645677077fa674d01ad5493a3aa33526ffb12477688</x:v>
      </x:c>
      <x:c r="K921" s="30" t="str">
        <x:v>1ca3b82684ae957f9c6d3729bd38366d769130a32f5a44a94a3717359f35957c</x:v>
      </x:c>
      <x:c r="L921" s="30" t="n">
        <x:v>832.71</x:v>
      </x:c>
      <x:c r="M921" s="30" t="str">
        <x:v>{"completion_tokens": 8, "prompt_tokens": 567, "total_tokens": 575, "completion_tokens_details": null, "prompt_tokens_details": {"audio_tokens": null, "cached_tokens": 512}, "prompt_cache_hit_tokens": 512, "prompt_cache_miss_tokens": 55}</x:v>
      </x:c>
      <x:c r="N921" s="30" t="str">
        <x:v>omission</x:v>
      </x:c>
      <x:c r="O921" s="30" t="str">
        <x:v>The model answer mentions 'nurturing relationships' and 'sustainable growth' but omits 'innovative strategies', which is a key component of the gold answer. It does not add any false claims, so it is an omission rather than a hallucination.</x:v>
      </x:c>
      <x:c r="P921" s="30" t="str">
        <x:v>LongCat-2.0</x:v>
      </x:c>
      <x:c r="Q921" s="30" t="str">
        <x:v>LongCat-2.0</x:v>
      </x:c>
      <x:c r="R921" s="30" t="n">
        <x:v>18281.33</x:v>
      </x:c>
      <x:c r="S921" s="30" t="str">
        <x:v>{"completion_tokens": 66, "prompt_tokens": 159,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22">
      <x:c r="A922" s="30" t="str">
        <x:v>memos_medium:2755</x:v>
      </x:c>
      <x:c r="B922" s="30" t="str">
        <x:v>medium</x:v>
      </x:c>
      <x:c r="C922" s="30" t="str">
        <x:v>Generalization &amp; Application</x:v>
      </x:c>
      <x:c r="D922" s="30" t="n">
        <x:v>3</x:v>
      </x:c>
      <x:c r="E922" s="30" t="str">
        <x:v>What strategies might Donald consider for sustainable growth in his consulting firm after 2026-01-05?</x:v>
      </x:c>
      <x:c r="F922" s="30" t="str">
        <x:v>Innovative strategies and nurturing relationships.</x:v>
      </x:c>
      <x:c r="G922" s="30" t="str">
        <x:v>Nurturing relationships and brainstorming strategies.</x:v>
      </x:c>
      <x:c r="H922" s="30" t="str">
        <x:v>deepseek-v4-flash</x:v>
      </x:c>
      <x:c r="I922" s="30" t="str">
        <x:v>deepseek-v4-flash</x:v>
      </x:c>
      <x:c r="J922" s="30" t="str">
        <x:v>8f3c953e8d30fcb51aed9645677077fa674d01ad5493a3aa33526ffb12477688</x:v>
      </x:c>
      <x:c r="K922" s="30" t="str">
        <x:v>1ca3b82684ae957f9c6d3729bd38366d769130a32f5a44a94a3717359f35957c</x:v>
      </x:c>
      <x:c r="L922" s="30" t="n">
        <x:v>608.41</x:v>
      </x:c>
      <x:c r="M922" s="30" t="str">
        <x:v>{"completion_tokens": 8, "prompt_tokens": 567, "total_tokens": 575, "completion_tokens_details": null, "prompt_tokens_details": {"audio_tokens": null, "cached_tokens": 512}, "prompt_cache_hit_tokens": 512, "prompt_cache_miss_tokens": 55}</x:v>
      </x:c>
      <x:c r="N922" s="30" t="str">
        <x:v>correct</x:v>
      </x:c>
      <x:c r="O922" s="30" t="str">
        <x:v>The model answer includes both 'nurturing relationships' and 'brainstorming strategies,' which semantically covers the two key components of the gold answer ('nurturing relationships' and 'innovative strategies'). 'Brainstorming strategies' is a reasonable paraphrase of 'innovative strategies,' and no false or unsupported claims are added.</x:v>
      </x:c>
      <x:c r="P922" s="30" t="str">
        <x:v>LongCat-2.0</x:v>
      </x:c>
      <x:c r="Q922" s="30" t="str">
        <x:v>LongCat-2.0</x:v>
      </x:c>
      <x:c r="R922" s="30" t="n">
        <x:v>4594.29</x:v>
      </x:c>
      <x:c r="S922" s="30" t="str">
        <x:v>{"completion_tokens": 82, "prompt_tokens": 161, "total_tokens": 243,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23">
      <x:c r="A923" s="30" t="str">
        <x:v>memos_medium:2758</x:v>
      </x:c>
      <x:c r="B923" s="30" t="str">
        <x:v>medium</x:v>
      </x:c>
      <x:c r="C923" s="30" t="str">
        <x:v>Generalization &amp; Application</x:v>
      </x:c>
      <x:c r="D923" s="30" t="n">
        <x:v>1</x:v>
      </x:c>
      <x:c r="E923" s="30" t="str">
        <x:v>How might Donald Smith approach his wardrobe choices to support his relative's political campaign on Mar 18, 2026?</x:v>
      </x:c>
      <x:c r="F923" s="30" t="str">
        <x:v>Align personal preferences with professional goals for credibility.</x:v>
      </x:c>
      <x:c r="G923" s="30" t="str">
        <x:v>Align with professional goals.</x:v>
      </x:c>
      <x:c r="H923" s="30" t="str">
        <x:v>deepseek-v4-flash</x:v>
      </x:c>
      <x:c r="I923" s="30" t="str">
        <x:v>deepseek-v4-flash</x:v>
      </x:c>
      <x:c r="J923" s="30" t="str">
        <x:v>77df66c2a91d21e3de2119f876c82029a303280edd8e1b7b5ce8de28659c251f</x:v>
      </x:c>
      <x:c r="K923" s="30" t="str">
        <x:v>e7e1c082efdf8118d8315281933adf40ac93341543034c560d7186bde940d714</x:v>
      </x:c>
      <x:c r="L923" s="30" t="n">
        <x:v>850.05</x:v>
      </x:c>
      <x:c r="M923" s="30" t="str">
        <x:v>{"completion_tokens": 5, "prompt_tokens": 590, "total_tokens": 595, "completion_tokens_details": null, "prompt_tokens_details": {"audio_tokens": null, "cached_tokens": 512}, "prompt_cache_hit_tokens": 512, "prompt_cache_miss_tokens": 78}</x:v>
      </x:c>
      <x:c r="N923" s="30" t="str">
        <x:v>omission</x:v>
      </x:c>
      <x:c r="O923" s="30" t="str">
        <x:v>The model answer 'Align with professional goals' captures only part of the gold answer, which also includes 'personal preferences' and 'for credibility.' By omitting these key components without adding false information, the response is an incomplete subset of the gold answer.</x:v>
      </x:c>
      <x:c r="P923" s="30" t="str">
        <x:v>LongCat-2.0</x:v>
      </x:c>
      <x:c r="Q923" s="30" t="str">
        <x:v>LongCat-2.0</x:v>
      </x:c>
      <x:c r="R923" s="30" t="n">
        <x:v>2792.21</x:v>
      </x:c>
      <x:c r="S923" s="30" t="str">
        <x:v>{"completion_tokens": 63, "prompt_tokens": 158, "total_tokens": 221,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4">
      <x:c r="A924" s="30" t="str">
        <x:v>memos_medium:2758</x:v>
      </x:c>
      <x:c r="B924" s="30" t="str">
        <x:v>medium</x:v>
      </x:c>
      <x:c r="C924" s="30" t="str">
        <x:v>Generalization &amp; Application</x:v>
      </x:c>
      <x:c r="D924" s="30" t="n">
        <x:v>2</x:v>
      </x:c>
      <x:c r="E924" s="30" t="str">
        <x:v>How might Donald Smith approach his wardrobe choices to support his relative's political campaign on Mar 18, 2026?</x:v>
      </x:c>
      <x:c r="F924" s="30" t="str">
        <x:v>Align personal preferences with professional goals for credibility.</x:v>
      </x:c>
      <x:c r="G924" s="30" t="str">
        <x:v>Align with professional goals.</x:v>
      </x:c>
      <x:c r="H924" s="30" t="str">
        <x:v>deepseek-v4-flash</x:v>
      </x:c>
      <x:c r="I924" s="30" t="str">
        <x:v>deepseek-v4-flash</x:v>
      </x:c>
      <x:c r="J924" s="30" t="str">
        <x:v>77df66c2a91d21e3de2119f876c82029a303280edd8e1b7b5ce8de28659c251f</x:v>
      </x:c>
      <x:c r="K924" s="30" t="str">
        <x:v>e7e1c082efdf8118d8315281933adf40ac93341543034c560d7186bde940d714</x:v>
      </x:c>
      <x:c r="L924" s="30" t="n">
        <x:v>678.41</x:v>
      </x:c>
      <x:c r="M924" s="30" t="str">
        <x:v>{"completion_tokens": 5, "prompt_tokens": 590, "total_tokens": 595, "completion_tokens_details": null, "prompt_tokens_details": {"audio_tokens": null, "cached_tokens": 512}, "prompt_cache_hit_tokens": 512, "prompt_cache_miss_tokens": 78}</x:v>
      </x:c>
      <x:c r="N924" s="30" t="str">
        <x:v>omission</x:v>
      </x:c>
      <x:c r="O924" s="30" t="str">
        <x:v>The model answer 'Align with professional goals' captures only part of the gold answer, which also includes 'personal preferences' and 'for credibility.' The model omits these key components without adding false information, making it an incomplete subset.</x:v>
      </x:c>
      <x:c r="P924" s="30" t="str">
        <x:v>LongCat-2.0</x:v>
      </x:c>
      <x:c r="Q924" s="30" t="str">
        <x:v>LongCat-2.0</x:v>
      </x:c>
      <x:c r="R924" s="30" t="n">
        <x:v>2560.1</x:v>
      </x:c>
      <x:c r="S924" s="30" t="str">
        <x:v>{"completion_tokens": 59, "prompt_tokens": 158,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25">
      <x:c r="A925" s="30" t="str">
        <x:v>memos_medium:2758</x:v>
      </x:c>
      <x:c r="B925" s="30" t="str">
        <x:v>medium</x:v>
      </x:c>
      <x:c r="C925" s="30" t="str">
        <x:v>Generalization &amp; Application</x:v>
      </x:c>
      <x:c r="D925" s="30" t="n">
        <x:v>3</x:v>
      </x:c>
      <x:c r="E925" s="30" t="str">
        <x:v>How might Donald Smith approach his wardrobe choices to support his relative's political campaign on Mar 18, 2026?</x:v>
      </x:c>
      <x:c r="F925" s="30" t="str">
        <x:v>Align personal preferences with professional goals for credibility.</x:v>
      </x:c>
      <x:c r="G925" s="30" t="str">
        <x:v>Align with professional goals.</x:v>
      </x:c>
      <x:c r="H925" s="30" t="str">
        <x:v>deepseek-v4-flash</x:v>
      </x:c>
      <x:c r="I925" s="30" t="str">
        <x:v>deepseek-v4-flash</x:v>
      </x:c>
      <x:c r="J925" s="30" t="str">
        <x:v>77df66c2a91d21e3de2119f876c82029a303280edd8e1b7b5ce8de28659c251f</x:v>
      </x:c>
      <x:c r="K925" s="30" t="str">
        <x:v>e7e1c082efdf8118d8315281933adf40ac93341543034c560d7186bde940d714</x:v>
      </x:c>
      <x:c r="L925" s="30" t="n">
        <x:v>853.41</x:v>
      </x:c>
      <x:c r="M925" s="30" t="str">
        <x:v>{"completion_tokens": 5, "prompt_tokens": 590, "total_tokens": 595, "completion_tokens_details": null, "prompt_tokens_details": {"audio_tokens": null, "cached_tokens": 512}, "prompt_cache_hit_tokens": 512, "prompt_cache_miss_tokens": 78}</x:v>
      </x:c>
      <x:c r="N925" s="30" t="str">
        <x:v>omission</x:v>
      </x:c>
      <x:c r="O925" s="30" t="str">
        <x:v>The model answer 'Align with professional goals' captures only part of the gold answer, which also includes 'personal preferences' and 'for credibility.' By omitting these key components without adding a false claim, the response is an incomplete subset of the gold answer.</x:v>
      </x:c>
      <x:c r="P925" s="30" t="str">
        <x:v>LongCat-2.0</x:v>
      </x:c>
      <x:c r="Q925" s="30" t="str">
        <x:v>LongCat-2.0</x:v>
      </x:c>
      <x:c r="R925" s="30" t="n">
        <x:v>2461.35</x:v>
      </x:c>
      <x:c r="S925" s="30" t="str">
        <x:v>{"completion_tokens": 64, "prompt_tokens": 158,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6">
      <x:c r="A926" s="30" t="str">
        <x:v>memos_medium:2781</x:v>
      </x:c>
      <x:c r="B926" s="30" t="str">
        <x:v>medium</x:v>
      </x:c>
      <x:c r="C926" s="30" t="str">
        <x:v>Generalization &amp; Application</x:v>
      </x:c>
      <x:c r="D926" s="30" t="n">
        <x:v>1</x:v>
      </x:c>
      <x:c r="E926" s="30" t="str">
        <x:v>How might Donald Smith utilize his increased income to enhance his firm's digital campaign strategies in 2028?</x:v>
      </x:c>
      <x:c r="F926" s="30" t="str">
        <x:v>Invest in data analysis and digital tools.</x:v>
      </x:c>
      <x:c r="G926" s="30" t="str">
        <x:v>Support relative's political campaigns.</x:v>
      </x:c>
      <x:c r="H926" s="30" t="str">
        <x:v>deepseek-v4-flash</x:v>
      </x:c>
      <x:c r="I926" s="30" t="str">
        <x:v>deepseek-v4-flash</x:v>
      </x:c>
      <x:c r="J926" s="30" t="str">
        <x:v>3cab1014b579348da42618ec5862127eedb01dce18bde37e6d20a7075c8925ac</x:v>
      </x:c>
      <x:c r="K926" s="30" t="str">
        <x:v>fbbc97fe94ce7d511c414aa20bcdad08a931664c651ae6090f3e27e3d73cd055</x:v>
      </x:c>
      <x:c r="L926" s="30" t="n">
        <x:v>638.77</x:v>
      </x:c>
      <x:c r="M926" s="30" t="str">
        <x:v>{"completion_tokens": 6, "prompt_tokens": 570, "total_tokens": 576, "completion_tokens_details": null, "prompt_tokens_details": {"audio_tokens": null, "cached_tokens": 512}, "prompt_cache_hit_tokens": 512, "prompt_cache_miss_tokens": 58}</x:v>
      </x:c>
      <x:c r="N926" s="30" t="str">
        <x:v>hallucination</x:v>
      </x:c>
      <x:c r="O926" s="30" t="str">
        <x:v>The model answer 'Support relative's political campaigns' is a concrete claim that is unrelated to and contradicts the gold answer 'Invest in data analysis and digital tools.' It introduces unsupported material about political campaigns instead of addressing digital campaign strategies for the firm.</x:v>
      </x:c>
      <x:c r="P926" s="30" t="str">
        <x:v>LongCat-2.0</x:v>
      </x:c>
      <x:c r="Q926" s="30" t="str">
        <x:v>LongCat-2.0</x:v>
      </x:c>
      <x:c r="R926" s="30" t="n">
        <x:v>3198.51</x:v>
      </x:c>
      <x:c r="S926" s="30" t="str">
        <x:v>{"completion_tokens": 62, "prompt_tokens": 154,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27">
      <x:c r="A927" s="30" t="str">
        <x:v>memos_medium:2781</x:v>
      </x:c>
      <x:c r="B927" s="30" t="str">
        <x:v>medium</x:v>
      </x:c>
      <x:c r="C927" s="30" t="str">
        <x:v>Generalization &amp; Application</x:v>
      </x:c>
      <x:c r="D927" s="30" t="n">
        <x:v>2</x:v>
      </x:c>
      <x:c r="E927" s="30" t="str">
        <x:v>How might Donald Smith utilize his increased income to enhance his firm's digital campaign strategies in 2028?</x:v>
      </x:c>
      <x:c r="F927" s="30" t="str">
        <x:v>Invest in data analysis and digital tools.</x:v>
      </x:c>
      <x:c r="G927" s="30" t="str">
        <x:v>Support relative's political campaigns.</x:v>
      </x:c>
      <x:c r="H927" s="30" t="str">
        <x:v>deepseek-v4-flash</x:v>
      </x:c>
      <x:c r="I927" s="30" t="str">
        <x:v>deepseek-v4-flash</x:v>
      </x:c>
      <x:c r="J927" s="30" t="str">
        <x:v>3cab1014b579348da42618ec5862127eedb01dce18bde37e6d20a7075c8925ac</x:v>
      </x:c>
      <x:c r="K927" s="30" t="str">
        <x:v>fbbc97fe94ce7d511c414aa20bcdad08a931664c651ae6090f3e27e3d73cd055</x:v>
      </x:c>
      <x:c r="L927" s="30" t="n">
        <x:v>834.15</x:v>
      </x:c>
      <x:c r="M927" s="30" t="str">
        <x:v>{"completion_tokens": 6, "prompt_tokens": 570, "total_tokens": 576, "completion_tokens_details": null, "prompt_tokens_details": {"audio_tokens": null, "cached_tokens": 512}, "prompt_cache_hit_tokens": 512, "prompt_cache_miss_tokens": 58}</x:v>
      </x:c>
      <x:c r="N927" s="30" t="str">
        <x:v>hallucination</x:v>
      </x:c>
      <x:c r="O927" s="30" t="str">
        <x:v>The model answer provides a concrete claim ('Support relative's political campaigns') that is unrelated to and contradicts the gold answer's focus on investing in data analysis and digital tools for the firm's digital campaign strategies.</x:v>
      </x:c>
      <x:c r="P927" s="30" t="str">
        <x:v>LongCat-2.0</x:v>
      </x:c>
      <x:c r="Q927" s="30" t="str">
        <x:v>LongCat-2.0</x:v>
      </x:c>
      <x:c r="R927" s="30" t="n">
        <x:v>2105.49</x:v>
      </x:c>
      <x:c r="S927" s="30" t="str">
        <x:v>{"completion_tokens": 54, "prompt_tokens": 154,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8">
      <x:c r="A928" s="30" t="str">
        <x:v>memos_medium:2781</x:v>
      </x:c>
      <x:c r="B928" s="30" t="str">
        <x:v>medium</x:v>
      </x:c>
      <x:c r="C928" s="30" t="str">
        <x:v>Generalization &amp; Application</x:v>
      </x:c>
      <x:c r="D928" s="30" t="n">
        <x:v>3</x:v>
      </x:c>
      <x:c r="E928" s="30" t="str">
        <x:v>How might Donald Smith utilize his increased income to enhance his firm's digital campaign strategies in 2028?</x:v>
      </x:c>
      <x:c r="F928" s="30" t="str">
        <x:v>Invest in data analysis and digital tools.</x:v>
      </x:c>
      <x:c r="G928" s="30" t="str">
        <x:v>Support relative's political campaigns.</x:v>
      </x:c>
      <x:c r="H928" s="30" t="str">
        <x:v>deepseek-v4-flash</x:v>
      </x:c>
      <x:c r="I928" s="30" t="str">
        <x:v>deepseek-v4-flash</x:v>
      </x:c>
      <x:c r="J928" s="30" t="str">
        <x:v>3cab1014b579348da42618ec5862127eedb01dce18bde37e6d20a7075c8925ac</x:v>
      </x:c>
      <x:c r="K928" s="30" t="str">
        <x:v>fbbc97fe94ce7d511c414aa20bcdad08a931664c651ae6090f3e27e3d73cd055</x:v>
      </x:c>
      <x:c r="L928" s="30" t="n">
        <x:v>635.41</x:v>
      </x:c>
      <x:c r="M928" s="30" t="str">
        <x:v>{"completion_tokens": 6, "prompt_tokens": 570, "total_tokens": 576, "completion_tokens_details": null, "prompt_tokens_details": {"audio_tokens": null, "cached_tokens": 512}, "prompt_cache_hit_tokens": 512, "prompt_cache_miss_tokens": 58}</x:v>
      </x:c>
      <x:c r="N928" s="30" t="str">
        <x:v>hallucination</x:v>
      </x:c>
      <x:c r="O928" s="30" t="str">
        <x:v>The model answer provides a concrete claim ('Support relative's political campaigns') that is unrelated to the gold answer ('Invest in data analysis and digital tools') and introduces unsupported material not present in the benchmark.</x:v>
      </x:c>
      <x:c r="P928" s="30" t="str">
        <x:v>LongCat-2.0</x:v>
      </x:c>
      <x:c r="Q928" s="30" t="str">
        <x:v>LongCat-2.0</x:v>
      </x:c>
      <x:c r="R928" s="30" t="n">
        <x:v>2314.86</x:v>
      </x:c>
      <x:c r="S928" s="30" t="str">
        <x:v>{"completion_tokens": 53, "prompt_tokens": 154,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29">
      <x:c r="A929" s="30" t="str">
        <x:v>memos_medium:2785</x:v>
      </x:c>
      <x:c r="B929" s="30" t="str">
        <x:v>medium</x:v>
      </x:c>
      <x:c r="C929" s="30" t="str">
        <x:v>Generalization &amp; Application</x:v>
      </x:c>
      <x:c r="D929" s="30" t="n">
        <x:v>1</x:v>
      </x:c>
      <x:c r="E929" s="30" t="str">
        <x:v>How might Donald Smith's evolving responsibilities in political consulting influence his music choices after Jun 20, 2028?</x:v>
      </x:c>
      <x:c r="F929" s="30" t="str">
        <x:v>He may prefer calming genres for better focus.</x:v>
      </x:c>
      <x:c r="G929" s="30" t="str">
        <x:v>Explore calming music genres.</x:v>
      </x:c>
      <x:c r="H929" s="30" t="str">
        <x:v>deepseek-v4-flash</x:v>
      </x:c>
      <x:c r="I929" s="30" t="str">
        <x:v>deepseek-v4-flash</x:v>
      </x:c>
      <x:c r="J929" s="30" t="str">
        <x:v>eeb54f8eeccbbbbf9e0417e04ba3cfc4ab4788eed4c0fbe0c08d877a5f92ca6d</x:v>
      </x:c>
      <x:c r="K929" s="30" t="str">
        <x:v>b123b7ae7ec1184ed64443f08ef70bc65fa93942a13eefe6e4f85a1ec03213b9</x:v>
      </x:c>
      <x:c r="L929" s="30" t="n">
        <x:v>617.5</x:v>
      </x:c>
      <x:c r="M929" s="30" t="str">
        <x:v>{"completion_tokens": 5, "prompt_tokens": 571, "total_tokens": 576, "completion_tokens_details": null, "prompt_tokens_details": {"audio_tokens": null, "cached_tokens": 512}, "prompt_cache_hit_tokens": 512, "prompt_cache_miss_tokens": 59}</x:v>
      </x:c>
      <x:c r="N929" s="30" t="str">
        <x:v>correct</x:v>
      </x:c>
      <x:c r="O929" s="30" t="str">
        <x:v>The model answer 'Explore calming music genres' semantically conveys the same meaning as the gold answer 'He may prefer calming genres for better focus,' as both indicate a shift toward calming music due to his evolving responsibilities. The wording differs slightly, but the core idea is complete and consistent.</x:v>
      </x:c>
      <x:c r="P929" s="30" t="str">
        <x:v>LongCat-2.0</x:v>
      </x:c>
      <x:c r="Q929" s="30" t="str">
        <x:v>LongCat-2.0</x:v>
      </x:c>
      <x:c r="R929" s="30" t="n">
        <x:v>5871.8</x:v>
      </x:c>
      <x:c r="S929" s="30" t="str">
        <x:v>{"completion_tokens": 68, "prompt_tokens": 157, "total_tokens": 225,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30">
      <x:c r="A930" s="30" t="str">
        <x:v>memos_medium:2785</x:v>
      </x:c>
      <x:c r="B930" s="30" t="str">
        <x:v>medium</x:v>
      </x:c>
      <x:c r="C930" s="30" t="str">
        <x:v>Generalization &amp; Application</x:v>
      </x:c>
      <x:c r="D930" s="30" t="n">
        <x:v>2</x:v>
      </x:c>
      <x:c r="E930" s="30" t="str">
        <x:v>How might Donald Smith's evolving responsibilities in political consulting influence his music choices after Jun 20, 2028?</x:v>
      </x:c>
      <x:c r="F930" s="30" t="str">
        <x:v>He may prefer calming genres for better focus.</x:v>
      </x:c>
      <x:c r="G930" s="30" t="str">
        <x:v>Explore calming music genres.</x:v>
      </x:c>
      <x:c r="H930" s="30" t="str">
        <x:v>deepseek-v4-flash</x:v>
      </x:c>
      <x:c r="I930" s="30" t="str">
        <x:v>deepseek-v4-flash</x:v>
      </x:c>
      <x:c r="J930" s="30" t="str">
        <x:v>eeb54f8eeccbbbbf9e0417e04ba3cfc4ab4788eed4c0fbe0c08d877a5f92ca6d</x:v>
      </x:c>
      <x:c r="K930" s="30" t="str">
        <x:v>b123b7ae7ec1184ed64443f08ef70bc65fa93942a13eefe6e4f85a1ec03213b9</x:v>
      </x:c>
      <x:c r="L930" s="30" t="n">
        <x:v>833.8</x:v>
      </x:c>
      <x:c r="M930" s="30" t="str">
        <x:v>{"completion_tokens": 5, "prompt_tokens": 571, "total_tokens": 576, "completion_tokens_details": null, "prompt_tokens_details": {"audio_tokens": null, "cached_tokens": 512}, "prompt_cache_hit_tokens": 512, "prompt_cache_miss_tokens": 59}</x:v>
      </x:c>
      <x:c r="N930" s="30" t="str">
        <x:v>correct</x:v>
      </x:c>
      <x:c r="O930" s="30" t="str">
        <x:v>The model answer 'Explore calming music genres' semantically conveys the same meaning as the gold answer 'He may prefer calming genres for better focus,' as both indicate a shift toward calming music due to his responsibilities. The wording differs but the core idea is complete and not contradicted.</x:v>
      </x:c>
      <x:c r="P930" s="30" t="str">
        <x:v>LongCat-2.0</x:v>
      </x:c>
      <x:c r="Q930" s="30" t="str">
        <x:v>LongCat-2.0</x:v>
      </x:c>
      <x:c r="R930" s="30" t="n">
        <x:v>5145.44</x:v>
      </x:c>
      <x:c r="S930" s="30" t="str">
        <x:v>{"completion_tokens": 67, "prompt_tokens": 157, "total_tokens": 224,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1">
      <x:c r="A931" s="30" t="str">
        <x:v>memos_medium:2785</x:v>
      </x:c>
      <x:c r="B931" s="30" t="str">
        <x:v>medium</x:v>
      </x:c>
      <x:c r="C931" s="30" t="str">
        <x:v>Generalization &amp; Application</x:v>
      </x:c>
      <x:c r="D931" s="30" t="n">
        <x:v>3</x:v>
      </x:c>
      <x:c r="E931" s="30" t="str">
        <x:v>How might Donald Smith's evolving responsibilities in political consulting influence his music choices after Jun 20, 2028?</x:v>
      </x:c>
      <x:c r="F931" s="30" t="str">
        <x:v>He may prefer calming genres for better focus.</x:v>
      </x:c>
      <x:c r="G931" s="30" t="str">
        <x:v>Explore calming music genres.</x:v>
      </x:c>
      <x:c r="H931" s="30" t="str">
        <x:v>deepseek-v4-flash</x:v>
      </x:c>
      <x:c r="I931" s="30" t="str">
        <x:v>deepseek-v4-flash</x:v>
      </x:c>
      <x:c r="J931" s="30" t="str">
        <x:v>eeb54f8eeccbbbbf9e0417e04ba3cfc4ab4788eed4c0fbe0c08d877a5f92ca6d</x:v>
      </x:c>
      <x:c r="K931" s="30" t="str">
        <x:v>b123b7ae7ec1184ed64443f08ef70bc65fa93942a13eefe6e4f85a1ec03213b9</x:v>
      </x:c>
      <x:c r="L931" s="30" t="n">
        <x:v>720.04</x:v>
      </x:c>
      <x:c r="M931" s="30" t="str">
        <x:v>{"completion_tokens": 5, "prompt_tokens": 571, "total_tokens": 576, "completion_tokens_details": null, "prompt_tokens_details": {"audio_tokens": null, "cached_tokens": 512}, "prompt_cache_hit_tokens": 512, "prompt_cache_miss_tokens": 59}</x:v>
      </x:c>
      <x:c r="N931" s="30" t="str">
        <x:v>correct</x:v>
      </x:c>
      <x:c r="O931" s="30" t="str">
        <x:v>The model answer 'Explore calming music genres' semantically conveys the same meaning as the gold answer 'He may prefer calming genres for better focus,' as both indicate a preference for calming music. The wording differs but the core idea is complete and not contradicted.</x:v>
      </x:c>
      <x:c r="P931" s="30" t="str">
        <x:v>LongCat-2.0</x:v>
      </x:c>
      <x:c r="Q931" s="30" t="str">
        <x:v>LongCat-2.0</x:v>
      </x:c>
      <x:c r="R931" s="30" t="n">
        <x:v>5904.46</x:v>
      </x:c>
      <x:c r="S931" s="30" t="str">
        <x:v>{"completion_tokens": 63, "prompt_tokens": 157,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2">
      <x:c r="A932" s="30" t="str">
        <x:v>memos_medium:2793</x:v>
      </x:c>
      <x:c r="B932" s="30" t="str">
        <x:v>medium</x:v>
      </x:c>
      <x:c r="C932" s="30" t="str">
        <x:v>Generalization &amp; Application</x:v>
      </x:c>
      <x:c r="D932" s="30" t="n">
        <x:v>1</x:v>
      </x:c>
      <x:c r="E932" s="30" t="str">
        <x:v>What type of cuisine might Donald Smith enjoy exploring after October 28, 2029, based on his evolving preferences?</x:v>
      </x:c>
      <x:c r="F932" s="30" t="str">
        <x:v>Complex and diverse flavors.</x:v>
      </x:c>
      <x:c r="G932" s="30" t="str">
        <x:v>Diverse or complex cuisines</x:v>
      </x:c>
      <x:c r="H932" s="30" t="str">
        <x:v>deepseek-v4-flash</x:v>
      </x:c>
      <x:c r="I932" s="30" t="str">
        <x:v>deepseek-v4-flash</x:v>
      </x:c>
      <x:c r="J932" s="30" t="str">
        <x:v>c6afd6f39042e3e01d1749b45a187d1e2a0c6ef476638306d51c1da03381f910</x:v>
      </x:c>
      <x:c r="K932" s="30" t="str">
        <x:v>e48949aed2805b3866b526ac9af7b4ed985dd7c683cdb7aa9860405bd04a5dbe</x:v>
      </x:c>
      <x:c r="L932" s="30" t="n">
        <x:v>874.4</x:v>
      </x:c>
      <x:c r="M932" s="30" t="str">
        <x:v>{"completion_tokens": 7, "prompt_tokens": 582, "total_tokens": 589, "completion_tokens_details": null, "prompt_tokens_details": {"audio_tokens": null, "cached_tokens": 512}, "prompt_cache_hit_tokens": 512, "prompt_cache_miss_tokens": 70}</x:v>
      </x:c>
      <x:c r="N932" s="30" t="str">
        <x:v>correct</x:v>
      </x:c>
      <x:c r="O932" s="30" t="str">
        <x:v>The model answer 'Diverse or complex cuisines' semantically captures the complete gold answer 'Complex and diverse flavors.' Both convey the same core idea of cuisines with varied and intricate flavor profiles, with only minor wording differences.</x:v>
      </x:c>
      <x:c r="P932" s="30" t="str">
        <x:v>LongCat-2.0</x:v>
      </x:c>
      <x:c r="Q932" s="30" t="str">
        <x:v>LongCat-2.0</x:v>
      </x:c>
      <x:c r="R932" s="30" t="n">
        <x:v>2356.15</x:v>
      </x:c>
      <x:c r="S932" s="30" t="str">
        <x:v>{"completion_tokens": 59, "prompt_tokens": 157,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3">
      <x:c r="A933" s="30" t="str">
        <x:v>memos_medium:2793</x:v>
      </x:c>
      <x:c r="B933" s="30" t="str">
        <x:v>medium</x:v>
      </x:c>
      <x:c r="C933" s="30" t="str">
        <x:v>Generalization &amp; Application</x:v>
      </x:c>
      <x:c r="D933" s="30" t="n">
        <x:v>2</x:v>
      </x:c>
      <x:c r="E933" s="30" t="str">
        <x:v>What type of cuisine might Donald Smith enjoy exploring after October 28, 2029, based on his evolving preferences?</x:v>
      </x:c>
      <x:c r="F933" s="30" t="str">
        <x:v>Complex and diverse flavors.</x:v>
      </x:c>
      <x:c r="G933" s="30" t="str">
        <x:v>Diverse or complex cuisines</x:v>
      </x:c>
      <x:c r="H933" s="30" t="str">
        <x:v>deepseek-v4-flash</x:v>
      </x:c>
      <x:c r="I933" s="30" t="str">
        <x:v>deepseek-v4-flash</x:v>
      </x:c>
      <x:c r="J933" s="30" t="str">
        <x:v>c6afd6f39042e3e01d1749b45a187d1e2a0c6ef476638306d51c1da03381f910</x:v>
      </x:c>
      <x:c r="K933" s="30" t="str">
        <x:v>e48949aed2805b3866b526ac9af7b4ed985dd7c683cdb7aa9860405bd04a5dbe</x:v>
      </x:c>
      <x:c r="L933" s="30" t="n">
        <x:v>909.83</x:v>
      </x:c>
      <x:c r="M933" s="30" t="str">
        <x:v>{"completion_tokens": 7, "prompt_tokens": 582, "total_tokens": 589, "completion_tokens_details": null, "prompt_tokens_details": {"audio_tokens": null, "cached_tokens": 512}, "prompt_cache_hit_tokens": 512, "prompt_cache_miss_tokens": 70}</x:v>
      </x:c>
      <x:c r="N933" s="30" t="str">
        <x:v>correct</x:v>
      </x:c>
      <x:c r="O933" s="30" t="str">
        <x:v>The model answer 'Diverse or complex cuisines' semantically captures the complete gold answer 'Complex and diverse flavors,' conveying the same meaning with slightly different wording.</x:v>
      </x:c>
      <x:c r="P933" s="30" t="str">
        <x:v>LongCat-2.0</x:v>
      </x:c>
      <x:c r="Q933" s="30" t="str">
        <x:v>LongCat-2.0</x:v>
      </x:c>
      <x:c r="R933" s="30" t="n">
        <x:v>3582.5</x:v>
      </x:c>
      <x:c r="S933" s="30" t="str">
        <x:v>{"completion_tokens": 45, "prompt_tokens": 157,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4">
      <x:c r="A934" s="30" t="str">
        <x:v>memos_medium:2793</x:v>
      </x:c>
      <x:c r="B934" s="30" t="str">
        <x:v>medium</x:v>
      </x:c>
      <x:c r="C934" s="30" t="str">
        <x:v>Generalization &amp; Application</x:v>
      </x:c>
      <x:c r="D934" s="30" t="n">
        <x:v>3</x:v>
      </x:c>
      <x:c r="E934" s="30" t="str">
        <x:v>What type of cuisine might Donald Smith enjoy exploring after October 28, 2029, based on his evolving preferences?</x:v>
      </x:c>
      <x:c r="F934" s="30" t="str">
        <x:v>Complex and diverse flavors.</x:v>
      </x:c>
      <x:c r="G934" s="30" t="str">
        <x:v>Diverse or complex cuisines</x:v>
      </x:c>
      <x:c r="H934" s="30" t="str">
        <x:v>deepseek-v4-flash</x:v>
      </x:c>
      <x:c r="I934" s="30" t="str">
        <x:v>deepseek-v4-flash</x:v>
      </x:c>
      <x:c r="J934" s="30" t="str">
        <x:v>c6afd6f39042e3e01d1749b45a187d1e2a0c6ef476638306d51c1da03381f910</x:v>
      </x:c>
      <x:c r="K934" s="30" t="str">
        <x:v>e48949aed2805b3866b526ac9af7b4ed985dd7c683cdb7aa9860405bd04a5dbe</x:v>
      </x:c>
      <x:c r="L934" s="30" t="n">
        <x:v>804.38</x:v>
      </x:c>
      <x:c r="M934" s="30" t="str">
        <x:v>{"completion_tokens": 7, "prompt_tokens": 582, "total_tokens": 589, "completion_tokens_details": null, "prompt_tokens_details": {"audio_tokens": null, "cached_tokens": 512}, "prompt_cache_hit_tokens": 512, "prompt_cache_miss_tokens": 70}</x:v>
      </x:c>
      <x:c r="N934" s="30" t="str">
        <x:v>correct</x:v>
      </x:c>
      <x:c r="O934" s="30" t="str">
        <x:v>The model answer 'Diverse or complex cuisines' semantically captures the complete meaning of the gold answer 'Complex and diverse flavors,' with only minor wording differences and no added false claims.</x:v>
      </x:c>
      <x:c r="P934" s="30" t="str">
        <x:v>LongCat-2.0</x:v>
      </x:c>
      <x:c r="Q934" s="30" t="str">
        <x:v>LongCat-2.0</x:v>
      </x:c>
      <x:c r="R934" s="30" t="n">
        <x:v>2196.08</x:v>
      </x:c>
      <x:c r="S934" s="30" t="str">
        <x:v>{"completion_tokens": 50, "prompt_tokens": 157, "total_tokens": 207,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5">
      <x:c r="A935" s="30" t="str">
        <x:v>memos_medium:2802</x:v>
      </x:c>
      <x:c r="B935" s="30" t="str">
        <x:v>medium</x:v>
      </x:c>
      <x:c r="C935" s="30" t="str">
        <x:v>Dynamic Update</x:v>
      </x:c>
      <x:c r="D935" s="30" t="n">
        <x:v>1</x:v>
      </x:c>
      <x:c r="E935" s="30" t="str">
        <x:v>What is Donald Smith's emotional motivation related to his AI assistant as of Nov 20, 2029?</x:v>
      </x:c>
      <x:c r="F935" s="30" t="str">
        <x:v>Emotional fulfillment and gratitude</x:v>
      </x:c>
      <x:c r="G935" s="30" t="str">
        <x:v>Emotional fulfillment and gratitude.</x:v>
      </x:c>
      <x:c r="H935" s="30" t="str">
        <x:v>deepseek-v4-flash</x:v>
      </x:c>
      <x:c r="I935" s="30" t="str">
        <x:v>deepseek-v4-flash</x:v>
      </x:c>
      <x:c r="J935" s="30" t="str">
        <x:v>89540b388f3762b21c2e7c60f6c009083a51f9c04a574a87cdc53eef9b165b69</x:v>
      </x:c>
      <x:c r="K935" s="30" t="str">
        <x:v>1eb6699b821527dff3f09b82bf7ec48f59c94c01795209def2dd7db508a1b122</x:v>
      </x:c>
      <x:c r="L935" s="30" t="n">
        <x:v>666</x:v>
      </x:c>
      <x:c r="M935" s="30" t="str">
        <x:v>{"completion_tokens": 6, "prompt_tokens": 544, "total_tokens": 550, "completion_tokens_details": null, "prompt_tokens_details": {"audio_tokens": null, "cached_tokens": 512}, "prompt_cache_hit_tokens": 512, "prompt_cache_miss_tokens": 32}</x:v>
      </x:c>
      <x:c r="N935" s="30" t="str">
        <x:v>correct</x:v>
      </x:c>
      <x:c r="O935" s="30" t="str">
        <x:v>The model answer 'Emotional fulfillment and gratitude.' is semantically identical to the benchmark gold answer 'Emotional fulfillment and gratitude', with only a minor punctuation difference (a period at the end). It provides the complete answer without any contradiction or unsupported material.</x:v>
      </x:c>
      <x:c r="P935" s="30" t="str">
        <x:v>LongCat-2.0</x:v>
      </x:c>
      <x:c r="Q935" s="30" t="str">
        <x:v>LongCat-2.0</x:v>
      </x:c>
      <x:c r="R935" s="30" t="n">
        <x:v>2963.74</x:v>
      </x:c>
      <x:c r="S935" s="30" t="str">
        <x:v>{"completion_tokens": 62, "prompt_tokens": 154,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6">
      <x:c r="A936" s="30" t="str">
        <x:v>memos_medium:2802</x:v>
      </x:c>
      <x:c r="B936" s="30" t="str">
        <x:v>medium</x:v>
      </x:c>
      <x:c r="C936" s="30" t="str">
        <x:v>Dynamic Update</x:v>
      </x:c>
      <x:c r="D936" s="30" t="n">
        <x:v>2</x:v>
      </x:c>
      <x:c r="E936" s="30" t="str">
        <x:v>What is Donald Smith's emotional motivation related to his AI assistant as of Nov 20, 2029?</x:v>
      </x:c>
      <x:c r="F936" s="30" t="str">
        <x:v>Emotional fulfillment and gratitude</x:v>
      </x:c>
      <x:c r="G936" s="30" t="str">
        <x:v>Emotional fulfillment and gratitude.</x:v>
      </x:c>
      <x:c r="H936" s="30" t="str">
        <x:v>deepseek-v4-flash</x:v>
      </x:c>
      <x:c r="I936" s="30" t="str">
        <x:v>deepseek-v4-flash</x:v>
      </x:c>
      <x:c r="J936" s="30" t="str">
        <x:v>89540b388f3762b21c2e7c60f6c009083a51f9c04a574a87cdc53eef9b165b69</x:v>
      </x:c>
      <x:c r="K936" s="30" t="str">
        <x:v>1eb6699b821527dff3f09b82bf7ec48f59c94c01795209def2dd7db508a1b122</x:v>
      </x:c>
      <x:c r="L936" s="30" t="n">
        <x:v>779.97</x:v>
      </x:c>
      <x:c r="M936" s="30" t="str">
        <x:v>{"completion_tokens": 6, "prompt_tokens": 544, "total_tokens": 550, "completion_tokens_details": null, "prompt_tokens_details": {"audio_tokens": null, "cached_tokens": 512}, "prompt_cache_hit_tokens": 512, "prompt_cache_miss_tokens": 32}</x:v>
      </x:c>
      <x:c r="N936" s="30" t="str">
        <x:v>correct</x:v>
      </x:c>
      <x:c r="O936"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P936" s="30" t="str">
        <x:v>LongCat-2.0</x:v>
      </x:c>
      <x:c r="Q936" s="30" t="str">
        <x:v>LongCat-2.0</x:v>
      </x:c>
      <x:c r="R936" s="30" t="n">
        <x:v>2236.24</x:v>
      </x:c>
      <x:c r="S936" s="30" t="str">
        <x:v>{"completion_tokens": 63, "prompt_tokens": 154,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7">
      <x:c r="A937" s="30" t="str">
        <x:v>memos_medium:2802</x:v>
      </x:c>
      <x:c r="B937" s="30" t="str">
        <x:v>medium</x:v>
      </x:c>
      <x:c r="C937" s="30" t="str">
        <x:v>Dynamic Update</x:v>
      </x:c>
      <x:c r="D937" s="30" t="n">
        <x:v>3</x:v>
      </x:c>
      <x:c r="E937" s="30" t="str">
        <x:v>What is Donald Smith's emotional motivation related to his AI assistant as of Nov 20, 2029?</x:v>
      </x:c>
      <x:c r="F937" s="30" t="str">
        <x:v>Emotional fulfillment and gratitude</x:v>
      </x:c>
      <x:c r="G937" s="30" t="str">
        <x:v>Emotional fulfillment and gratitude.</x:v>
      </x:c>
      <x:c r="H937" s="30" t="str">
        <x:v>deepseek-v4-flash</x:v>
      </x:c>
      <x:c r="I937" s="30" t="str">
        <x:v>deepseek-v4-flash</x:v>
      </x:c>
      <x:c r="J937" s="30" t="str">
        <x:v>89540b388f3762b21c2e7c60f6c009083a51f9c04a574a87cdc53eef9b165b69</x:v>
      </x:c>
      <x:c r="K937" s="30" t="str">
        <x:v>1eb6699b821527dff3f09b82bf7ec48f59c94c01795209def2dd7db508a1b122</x:v>
      </x:c>
      <x:c r="L937" s="30" t="n">
        <x:v>746.81</x:v>
      </x:c>
      <x:c r="M937" s="30" t="str">
        <x:v>{"completion_tokens": 6, "prompt_tokens": 544, "total_tokens": 550, "completion_tokens_details": null, "prompt_tokens_details": {"audio_tokens": null, "cached_tokens": 512}, "prompt_cache_hit_tokens": 512, "prompt_cache_miss_tokens": 32}</x:v>
      </x:c>
      <x:c r="N937" s="30" t="str">
        <x:v>correct</x:v>
      </x:c>
      <x:c r="O937" s="30" t="str">
        <x:v>The model answer 'Emotional fulfillment and gratitude.' is semantically identical to the benchmark gold answer 'Emotional fulfillment and gratitude', with only a minor punctuation difference (a period at the end). It provides the complete gold answer without any contradiction or unsupported material.</x:v>
      </x:c>
      <x:c r="P937" s="30" t="str">
        <x:v>LongCat-2.0</x:v>
      </x:c>
      <x:c r="Q937" s="30" t="str">
        <x:v>LongCat-2.0</x:v>
      </x:c>
      <x:c r="R937" s="30" t="n">
        <x:v>2216.98</x:v>
      </x:c>
      <x:c r="S937" s="30" t="str">
        <x:v>{"completion_tokens": 63, "prompt_tokens": 154,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38">
      <x:c r="A938" s="30" t="str">
        <x:v>memos_medium:2806</x:v>
      </x:c>
      <x:c r="B938" s="30" t="str">
        <x:v>medium</x:v>
      </x:c>
      <x:c r="C938" s="30" t="str">
        <x:v>Dynamic Update</x:v>
      </x:c>
      <x:c r="D938" s="30" t="n">
        <x:v>1</x:v>
      </x:c>
      <x:c r="E938" s="30" t="str">
        <x:v>What change in Donald Smith's career focus occurred by Jan 10, 2030?</x:v>
      </x:c>
      <x:c r="F938" s="30" t="str">
        <x:v>Focus on leveraging his position to drive meaningful change</x:v>
      </x:c>
      <x:c r="G938" s="30" t="str">
        <x:v>Senior Political Advisor role.</x:v>
      </x:c>
      <x:c r="H938" s="30" t="str">
        <x:v>deepseek-v4-flash</x:v>
      </x:c>
      <x:c r="I938" s="30" t="str">
        <x:v>deepseek-v4-flash</x:v>
      </x:c>
      <x:c r="J938" s="30" t="str">
        <x:v>982f9352e5de47799d977a4efc191219e676cc0cf2d6fa8cbaf6aeb520afd589</x:v>
      </x:c>
      <x:c r="K938" s="30" t="str">
        <x:v>4ce8d24d15cf281f8e2a660cdf6ebd7d99a50fa71888328499255893fe03f496</x:v>
      </x:c>
      <x:c r="L938" s="30" t="n">
        <x:v>612.03</x:v>
      </x:c>
      <x:c r="M938" s="30" t="str">
        <x:v>{"completion_tokens": 5, "prompt_tokens": 569, "total_tokens": 574, "completion_tokens_details": null, "prompt_tokens_details": {"audio_tokens": null, "cached_tokens": 512}, "prompt_cache_hit_tokens": 512, "prompt_cache_miss_tokens": 57}</x:v>
      </x:c>
      <x:c r="N938" s="30" t="str">
        <x:v>hallucination</x:v>
      </x:c>
      <x:c r="O938"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P938" s="30" t="str">
        <x:v>LongCat-2.0</x:v>
      </x:c>
      <x:c r="Q938" s="30" t="str">
        <x:v>LongCat-2.0</x:v>
      </x:c>
      <x:c r="R938" s="30" t="n">
        <x:v>10896.65</x:v>
      </x:c>
      <x:c r="S938" s="30" t="str">
        <x:v>{"completion_tokens": 87, "prompt_tokens": 153, "total_tokens": 240,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39">
      <x:c r="A939" s="30" t="str">
        <x:v>memos_medium:2806</x:v>
      </x:c>
      <x:c r="B939" s="30" t="str">
        <x:v>medium</x:v>
      </x:c>
      <x:c r="C939" s="30" t="str">
        <x:v>Dynamic Update</x:v>
      </x:c>
      <x:c r="D939" s="30" t="n">
        <x:v>2</x:v>
      </x:c>
      <x:c r="E939" s="30" t="str">
        <x:v>What change in Donald Smith's career focus occurred by Jan 10, 2030?</x:v>
      </x:c>
      <x:c r="F939" s="30" t="str">
        <x:v>Focus on leveraging his position to drive meaningful change</x:v>
      </x:c>
      <x:c r="G939" s="30" t="str">
        <x:v>Senior Political Advisor role.</x:v>
      </x:c>
      <x:c r="H939" s="30" t="str">
        <x:v>deepseek-v4-flash</x:v>
      </x:c>
      <x:c r="I939" s="30" t="str">
        <x:v>deepseek-v4-flash</x:v>
      </x:c>
      <x:c r="J939" s="30" t="str">
        <x:v>982f9352e5de47799d977a4efc191219e676cc0cf2d6fa8cbaf6aeb520afd589</x:v>
      </x:c>
      <x:c r="K939" s="30" t="str">
        <x:v>4ce8d24d15cf281f8e2a660cdf6ebd7d99a50fa71888328499255893fe03f496</x:v>
      </x:c>
      <x:c r="L939" s="30" t="n">
        <x:v>611.87</x:v>
      </x:c>
      <x:c r="M939" s="30" t="str">
        <x:v>{"completion_tokens": 5, "prompt_tokens": 569, "total_tokens": 574, "completion_tokens_details": null, "prompt_tokens_details": {"audio_tokens": null, "cached_tokens": 512}, "prompt_cache_hit_tokens": 512, "prompt_cache_miss_tokens": 57}</x:v>
      </x:c>
      <x:c r="N939" s="30" t="str">
        <x:v>hallucination</x:v>
      </x:c>
      <x:c r="O939"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P939" s="30" t="str">
        <x:v>LongCat-2.0</x:v>
      </x:c>
      <x:c r="Q939" s="30" t="str">
        <x:v>LongCat-2.0</x:v>
      </x:c>
      <x:c r="R939" s="30" t="n">
        <x:v>8619.88</x:v>
      </x:c>
      <x:c r="S939" s="30" t="str">
        <x:v>{"completion_tokens": 87, "prompt_tokens": 153,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0">
      <x:c r="A940" s="30" t="str">
        <x:v>memos_medium:2806</x:v>
      </x:c>
      <x:c r="B940" s="30" t="str">
        <x:v>medium</x:v>
      </x:c>
      <x:c r="C940" s="30" t="str">
        <x:v>Dynamic Update</x:v>
      </x:c>
      <x:c r="D940" s="30" t="n">
        <x:v>3</x:v>
      </x:c>
      <x:c r="E940" s="30" t="str">
        <x:v>What change in Donald Smith's career focus occurred by Jan 10, 2030?</x:v>
      </x:c>
      <x:c r="F940" s="30" t="str">
        <x:v>Focus on leveraging his position to drive meaningful change</x:v>
      </x:c>
      <x:c r="G940" s="30" t="str">
        <x:v>Senior Political Advisor role.</x:v>
      </x:c>
      <x:c r="H940" s="30" t="str">
        <x:v>deepseek-v4-flash</x:v>
      </x:c>
      <x:c r="I940" s="30" t="str">
        <x:v>deepseek-v4-flash</x:v>
      </x:c>
      <x:c r="J940" s="30" t="str">
        <x:v>982f9352e5de47799d977a4efc191219e676cc0cf2d6fa8cbaf6aeb520afd589</x:v>
      </x:c>
      <x:c r="K940" s="30" t="str">
        <x:v>4ce8d24d15cf281f8e2a660cdf6ebd7d99a50fa71888328499255893fe03f496</x:v>
      </x:c>
      <x:c r="L940" s="30" t="n">
        <x:v>581.41</x:v>
      </x:c>
      <x:c r="M940" s="30" t="str">
        <x:v>{"completion_tokens": 5, "prompt_tokens": 569, "total_tokens": 574, "completion_tokens_details": null, "prompt_tokens_details": {"audio_tokens": null, "cached_tokens": 512}, "prompt_cache_hit_tokens": 512, "prompt_cache_miss_tokens": 57}</x:v>
      </x:c>
      <x:c r="N940" s="30" t="str">
        <x:v>hallucination</x:v>
      </x:c>
      <x:c r="O940" s="30" t="str">
        <x:v>The gold answer states that Donald Smith's career focus changed to 'leveraging his position to drive meaningful change.' The model answer provides 'Senior Political Advisor role,' which is a specific job title rather than a description of a career focus or shift in focus. This is a concrete answer that does not match the gold answer and introduces unsupported material, making it a hallucination.</x:v>
      </x:c>
      <x:c r="P940" s="30" t="str">
        <x:v>LongCat-2.0</x:v>
      </x:c>
      <x:c r="Q940" s="30" t="str">
        <x:v>LongCat-2.0</x:v>
      </x:c>
      <x:c r="R940" s="30" t="n">
        <x:v>9375.57</x:v>
      </x:c>
      <x:c r="S940" s="30" t="str">
        <x:v>{"completion_tokens": 87, "prompt_tokens": 153, "total_tokens": 240,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41">
      <x:c r="A941" s="30" t="str">
        <x:v>memos_medium:2859</x:v>
      </x:c>
      <x:c r="B941" s="30" t="str">
        <x:v>medium</x:v>
      </x:c>
      <x:c r="C941" s="30" t="str">
        <x:v>Multi-hop Inference</x:v>
      </x:c>
      <x:c r="D941" s="30" t="n">
        <x:v>1</x:v>
      </x:c>
      <x:c r="E941" s="30" t="str">
        <x:v>How did Donald Smith's approach to managing health challenges change between June 15 and September 25, 2035?</x:v>
      </x:c>
      <x:c r="F941" s="30" t="str">
        <x:v>Adopted healthier routines and sought emotional support.</x:v>
      </x:c>
      <x:c r="G941" s="30" t="str">
        <x:v>Adopted healthier routines.</x:v>
      </x:c>
      <x:c r="H941" s="30" t="str">
        <x:v>deepseek-v4-flash</x:v>
      </x:c>
      <x:c r="I941" s="30" t="str">
        <x:v>deepseek-v4-flash</x:v>
      </x:c>
      <x:c r="J941" s="30" t="str">
        <x:v>73cb48c26d6373626bd35669f5ccd543116c88df0e85d040880ae6b0a4adf574</x:v>
      </x:c>
      <x:c r="K941" s="30" t="str">
        <x:v>89f6260d8e9938a401d881a9ea8a9c11f834f70ac663fb337babb95bbbee86be</x:v>
      </x:c>
      <x:c r="L941" s="30" t="n">
        <x:v>797.81</x:v>
      </x:c>
      <x:c r="M941" s="30" t="str">
        <x:v>{"completion_tokens": 5, "prompt_tokens": 587, "total_tokens": 592, "completion_tokens_details": null, "prompt_tokens_details": {"audio_tokens": null, "cached_tokens": 512}, "prompt_cache_hit_tokens": 512, "prompt_cache_miss_tokens": 75}</x:v>
      </x:c>
      <x:c r="N941" s="30" t="str">
        <x:v>omission</x:v>
      </x:c>
      <x:c r="O941" s="30" t="str">
        <x:v>The model answer only mentions 'adopted healthier routines' but omits the second part of the gold answer, 'sought emotional support.' Since it provides an incomplete subset without adding a false claim, it is an omission.</x:v>
      </x:c>
      <x:c r="P941" s="30" t="str">
        <x:v>LongCat-2.0</x:v>
      </x:c>
      <x:c r="Q941" s="30" t="str">
        <x:v>LongCat-2.0</x:v>
      </x:c>
      <x:c r="R941" s="30" t="n">
        <x:v>3074.09</x:v>
      </x:c>
      <x:c r="S941" s="30" t="str">
        <x:v>{"completion_tokens": 58, "prompt_tokens": 161,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2">
      <x:c r="A942" s="30" t="str">
        <x:v>memos_medium:2859</x:v>
      </x:c>
      <x:c r="B942" s="30" t="str">
        <x:v>medium</x:v>
      </x:c>
      <x:c r="C942" s="30" t="str">
        <x:v>Multi-hop Inference</x:v>
      </x:c>
      <x:c r="D942" s="30" t="n">
        <x:v>2</x:v>
      </x:c>
      <x:c r="E942" s="30" t="str">
        <x:v>How did Donald Smith's approach to managing health challenges change between June 15 and September 25, 2035?</x:v>
      </x:c>
      <x:c r="F942" s="30" t="str">
        <x:v>Adopted healthier routines and sought emotional support.</x:v>
      </x:c>
      <x:c r="G942" s="30" t="str">
        <x:v>Adopted healthier routines.</x:v>
      </x:c>
      <x:c r="H942" s="30" t="str">
        <x:v>deepseek-v4-flash</x:v>
      </x:c>
      <x:c r="I942" s="30" t="str">
        <x:v>deepseek-v4-flash</x:v>
      </x:c>
      <x:c r="J942" s="30" t="str">
        <x:v>73cb48c26d6373626bd35669f5ccd543116c88df0e85d040880ae6b0a4adf574</x:v>
      </x:c>
      <x:c r="K942" s="30" t="str">
        <x:v>89f6260d8e9938a401d881a9ea8a9c11f834f70ac663fb337babb95bbbee86be</x:v>
      </x:c>
      <x:c r="L942" s="30" t="n">
        <x:v>610.07</x:v>
      </x:c>
      <x:c r="M942" s="30" t="str">
        <x:v>{"completion_tokens": 5, "prompt_tokens": 587, "total_tokens": 592, "completion_tokens_details": null, "prompt_tokens_details": {"audio_tokens": null, "cached_tokens": 512}, "prompt_cache_hit_tokens": 512, "prompt_cache_miss_tokens": 75}</x:v>
      </x:c>
      <x:c r="N942" s="30" t="str">
        <x:v>omission</x:v>
      </x:c>
      <x:c r="O942" s="30" t="str">
        <x:v>The model answer only mentions 'adopted healthier routines' but omits the second part of the gold answer, 'sought emotional support.' It does not add any false information, so it is an incomplete subset rather than a hallucination.</x:v>
      </x:c>
      <x:c r="P942" s="30" t="str">
        <x:v>LongCat-2.0</x:v>
      </x:c>
      <x:c r="Q942" s="30" t="str">
        <x:v>LongCat-2.0</x:v>
      </x:c>
      <x:c r="R942" s="30" t="n">
        <x:v>3476.45</x:v>
      </x:c>
      <x:c r="S942" s="30" t="str">
        <x:v>{"completion_tokens": 61, "prompt_tokens": 161,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3">
      <x:c r="A943" s="30" t="str">
        <x:v>memos_medium:2859</x:v>
      </x:c>
      <x:c r="B943" s="30" t="str">
        <x:v>medium</x:v>
      </x:c>
      <x:c r="C943" s="30" t="str">
        <x:v>Multi-hop Inference</x:v>
      </x:c>
      <x:c r="D943" s="30" t="n">
        <x:v>3</x:v>
      </x:c>
      <x:c r="E943" s="30" t="str">
        <x:v>How did Donald Smith's approach to managing health challenges change between June 15 and September 25, 2035?</x:v>
      </x:c>
      <x:c r="F943" s="30" t="str">
        <x:v>Adopted healthier routines and sought emotional support.</x:v>
      </x:c>
      <x:c r="G943" s="30" t="str">
        <x:v>Adopted healthier routines.</x:v>
      </x:c>
      <x:c r="H943" s="30" t="str">
        <x:v>deepseek-v4-flash</x:v>
      </x:c>
      <x:c r="I943" s="30" t="str">
        <x:v>deepseek-v4-flash</x:v>
      </x:c>
      <x:c r="J943" s="30" t="str">
        <x:v>73cb48c26d6373626bd35669f5ccd543116c88df0e85d040880ae6b0a4adf574</x:v>
      </x:c>
      <x:c r="K943" s="30" t="str">
        <x:v>89f6260d8e9938a401d881a9ea8a9c11f834f70ac663fb337babb95bbbee86be</x:v>
      </x:c>
      <x:c r="L943" s="30" t="n">
        <x:v>567.73</x:v>
      </x:c>
      <x:c r="M943" s="30" t="str">
        <x:v>{"completion_tokens": 5, "prompt_tokens": 587, "total_tokens": 592, "completion_tokens_details": null, "prompt_tokens_details": {"audio_tokens": null, "cached_tokens": 512}, "prompt_cache_hit_tokens": 512, "prompt_cache_miss_tokens": 75}</x:v>
      </x:c>
      <x:c r="N943" s="30" t="str">
        <x:v>omission</x:v>
      </x:c>
      <x:c r="O943" s="30" t="str">
        <x:v>The model answer only mentions 'adopted healthier routines' but omits the second part of the gold answer, 'sought emotional support.' It does not add any false information, so it is an incomplete subset of the gold answer.</x:v>
      </x:c>
      <x:c r="P943" s="30" t="str">
        <x:v>LongCat-2.0</x:v>
      </x:c>
      <x:c r="Q943" s="30" t="str">
        <x:v>LongCat-2.0</x:v>
      </x:c>
      <x:c r="R943" s="30" t="n">
        <x:v>2662.1</x:v>
      </x:c>
      <x:c r="S943" s="30" t="str">
        <x:v>{"completion_tokens": 60, "prompt_tokens": 161, "total_tokens": 221,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44">
      <x:c r="A944" s="30" t="str">
        <x:v>memos_medium:2883</x:v>
      </x:c>
      <x:c r="B944" s="30" t="str">
        <x:v>medium</x:v>
      </x:c>
      <x:c r="C944" s="30" t="str">
        <x:v>Basic Fact Recall</x:v>
      </x:c>
      <x:c r="D944" s="30" t="n">
        <x:v>1</x:v>
      </x:c>
      <x:c r="E944" s="30" t="str">
        <x:v>What was the focus of Donald Smith's discussion on April 10, 2038?</x:v>
      </x:c>
      <x:c r="F944" s="30" t="str">
        <x:v>Enhancing his consultancy's reputation</x:v>
      </x:c>
      <x:c r="G944" s="30" t="str">
        <x:v>Enhancing consultancy reputation.</x:v>
      </x:c>
      <x:c r="H944" s="30" t="str">
        <x:v>deepseek-v4-flash</x:v>
      </x:c>
      <x:c r="I944" s="30" t="str">
        <x:v>deepseek-v4-flash</x:v>
      </x:c>
      <x:c r="J944" s="30" t="str">
        <x:v>c59e57cfc3c912f352884c6cb2f4173a81911ecefc21ea2565bc35bc1cbc4fe6</x:v>
      </x:c>
      <x:c r="K944" s="30" t="str">
        <x:v>d4fd6a18973203845d7e2cd9cc2dbb5c8a31c49ea38f55fa149a50b8d37c739a</x:v>
      </x:c>
      <x:c r="L944" s="30" t="n">
        <x:v>767.9</x:v>
      </x:c>
      <x:c r="M944" s="30" t="str">
        <x:v>{"completion_tokens": 5, "prompt_tokens": 537, "total_tokens": 542, "completion_tokens_details": null, "prompt_tokens_details": {"audio_tokens": null, "cached_tokens": 512}, "prompt_cache_hit_tokens": 512, "prompt_cache_miss_tokens": 25}</x:v>
      </x:c>
      <x:c r="N944" s="30" t="str">
        <x:v>correct</x:v>
      </x:c>
      <x:c r="O944" s="30" t="str">
        <x:v>The model answer 'Enhancing consultancy reputation' is a semantically complete match to the gold answer 'Enhancing his consultancy's reputation', with only minor wording differences (omission of 'his' and the possessive form) that do not change the meaning.</x:v>
      </x:c>
      <x:c r="P944" s="30" t="str">
        <x:v>LongCat-2.0</x:v>
      </x:c>
      <x:c r="Q944" s="30" t="str">
        <x:v>LongCat-2.0</x:v>
      </x:c>
      <x:c r="R944" s="30" t="n">
        <x:v>3481.96</x:v>
      </x:c>
      <x:c r="S944" s="30" t="str">
        <x:v>{"completion_tokens": 63, "prompt_tokens": 150,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5">
      <x:c r="A945" s="30" t="str">
        <x:v>memos_medium:2883</x:v>
      </x:c>
      <x:c r="B945" s="30" t="str">
        <x:v>medium</x:v>
      </x:c>
      <x:c r="C945" s="30" t="str">
        <x:v>Basic Fact Recall</x:v>
      </x:c>
      <x:c r="D945" s="30" t="n">
        <x:v>2</x:v>
      </x:c>
      <x:c r="E945" s="30" t="str">
        <x:v>What was the focus of Donald Smith's discussion on April 10, 2038?</x:v>
      </x:c>
      <x:c r="F945" s="30" t="str">
        <x:v>Enhancing his consultancy's reputation</x:v>
      </x:c>
      <x:c r="G945" s="30" t="str">
        <x:v>Enhancing consultancy reputation.</x:v>
      </x:c>
      <x:c r="H945" s="30" t="str">
        <x:v>deepseek-v4-flash</x:v>
      </x:c>
      <x:c r="I945" s="30" t="str">
        <x:v>deepseek-v4-flash</x:v>
      </x:c>
      <x:c r="J945" s="30" t="str">
        <x:v>c59e57cfc3c912f352884c6cb2f4173a81911ecefc21ea2565bc35bc1cbc4fe6</x:v>
      </x:c>
      <x:c r="K945" s="30" t="str">
        <x:v>d4fd6a18973203845d7e2cd9cc2dbb5c8a31c49ea38f55fa149a50b8d37c739a</x:v>
      </x:c>
      <x:c r="L945" s="30" t="n">
        <x:v>547.67</x:v>
      </x:c>
      <x:c r="M945" s="30" t="str">
        <x:v>{"completion_tokens": 5, "prompt_tokens": 537, "total_tokens": 542, "completion_tokens_details": null, "prompt_tokens_details": {"audio_tokens": null, "cached_tokens": 512}, "prompt_cache_hit_tokens": 512, "prompt_cache_miss_tokens": 25}</x:v>
      </x:c>
      <x:c r="N945" s="30" t="str">
        <x:v>correct</x:v>
      </x:c>
      <x:c r="O945" s="30" t="str">
        <x:v>The model answer 'Enhancing consultancy reputation' is a semantically complete match to the gold answer 'Enhancing his consultancy's reputation'. The wording differs slightly (omitting 'his' and using the singular form), but the core meaning is fully preserved without any contradiction or unsupported material.</x:v>
      </x:c>
      <x:c r="P945" s="30" t="str">
        <x:v>LongCat-2.0</x:v>
      </x:c>
      <x:c r="Q945" s="30" t="str">
        <x:v>LongCat-2.0</x:v>
      </x:c>
      <x:c r="R945" s="30" t="n">
        <x:v>3226.49</x:v>
      </x:c>
      <x:c r="S945" s="30" t="str">
        <x:v>{"completion_tokens": 68, "prompt_tokens": 150,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6">
      <x:c r="A946" s="30" t="str">
        <x:v>memos_medium:2883</x:v>
      </x:c>
      <x:c r="B946" s="30" t="str">
        <x:v>medium</x:v>
      </x:c>
      <x:c r="C946" s="30" t="str">
        <x:v>Basic Fact Recall</x:v>
      </x:c>
      <x:c r="D946" s="30" t="n">
        <x:v>3</x:v>
      </x:c>
      <x:c r="E946" s="30" t="str">
        <x:v>What was the focus of Donald Smith's discussion on April 10, 2038?</x:v>
      </x:c>
      <x:c r="F946" s="30" t="str">
        <x:v>Enhancing his consultancy's reputation</x:v>
      </x:c>
      <x:c r="G946" s="30" t="str">
        <x:v>Enhancing consultancy reputation.</x:v>
      </x:c>
      <x:c r="H946" s="30" t="str">
        <x:v>deepseek-v4-flash</x:v>
      </x:c>
      <x:c r="I946" s="30" t="str">
        <x:v>deepseek-v4-flash</x:v>
      </x:c>
      <x:c r="J946" s="30" t="str">
        <x:v>c59e57cfc3c912f352884c6cb2f4173a81911ecefc21ea2565bc35bc1cbc4fe6</x:v>
      </x:c>
      <x:c r="K946" s="30" t="str">
        <x:v>d4fd6a18973203845d7e2cd9cc2dbb5c8a31c49ea38f55fa149a50b8d37c739a</x:v>
      </x:c>
      <x:c r="L946" s="30" t="n">
        <x:v>565.2</x:v>
      </x:c>
      <x:c r="M946" s="30" t="str">
        <x:v>{"completion_tokens": 5, "prompt_tokens": 537, "total_tokens": 542, "completion_tokens_details": null, "prompt_tokens_details": {"audio_tokens": null, "cached_tokens": 512}, "prompt_cache_hit_tokens": 512, "prompt_cache_miss_tokens": 25}</x:v>
      </x:c>
      <x:c r="N946" s="30" t="str">
        <x:v>correct</x:v>
      </x:c>
      <x:c r="O946" s="30" t="str">
        <x:v>The model answer 'Enhancing consultancy reputation' is a semantically complete match to the gold answer 'Enhancing his consultancy's reputation'. The omission of the possessive 'his' does not change the meaning or introduce any false claim, and the core focus is fully captured.</x:v>
      </x:c>
      <x:c r="P946" s="30" t="str">
        <x:v>LongCat-2.0</x:v>
      </x:c>
      <x:c r="Q946" s="30" t="str">
        <x:v>LongCat-2.0</x:v>
      </x:c>
      <x:c r="R946" s="30" t="n">
        <x:v>2766.14</x:v>
      </x:c>
      <x:c r="S946" s="30" t="str">
        <x:v>{"completion_tokens": 66, "prompt_tokens": 150,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47">
      <x:c r="A947" s="30" t="str">
        <x:v>memos_medium:2885</x:v>
      </x:c>
      <x:c r="B947" s="30" t="str">
        <x:v>medium</x:v>
      </x:c>
      <x:c r="C947" s="30" t="str">
        <x:v>Generalization &amp; Application</x:v>
      </x:c>
      <x:c r="D947" s="30" t="n">
        <x:v>1</x:v>
      </x:c>
      <x:c r="E947" s="30" t="str">
        <x:v>What strategies might Donald use to attract new clients for his consultancy as of 2038-06-20?</x:v>
      </x:c>
      <x:c r="F947" s="30" t="str">
        <x:v>Leverage campaign strategies and client testimonials.</x:v>
      </x:c>
      <x:c r="G947" s="30" t="str">
        <x:v>Campaign strategies and testimonials.</x:v>
      </x:c>
      <x:c r="H947" s="30" t="str">
        <x:v>deepseek-v4-flash</x:v>
      </x:c>
      <x:c r="I947" s="30" t="str">
        <x:v>deepseek-v4-flash</x:v>
      </x:c>
      <x:c r="J947" s="30" t="str">
        <x:v>270f631ca6cc5a940476d61867579ee9fb5a6e2ba3b1c461445693deb55f283b</x:v>
      </x:c>
      <x:c r="K947" s="30" t="str">
        <x:v>860b44017438d94bc4405a109a40aa29e0f8de48df972bec56857902b81ea45e</x:v>
      </x:c>
      <x:c r="L947" s="30" t="n">
        <x:v>775.26</x:v>
      </x:c>
      <x:c r="M947" s="30" t="str">
        <x:v>{"completion_tokens": 7, "prompt_tokens": 601, "total_tokens": 608, "completion_tokens_details": null, "prompt_tokens_details": {"audio_tokens": null, "cached_tokens": 512}, "prompt_cache_hit_tokens": 512, "prompt_cache_miss_tokens": 89}</x:v>
      </x:c>
      <x:c r="N947" s="30" t="str">
        <x:v>correct</x:v>
      </x:c>
      <x:c r="O947" s="30" t="str">
        <x:v>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v>
      </x:c>
      <x:c r="P947" s="30" t="str">
        <x:v>LongCat-2.0</x:v>
      </x:c>
      <x:c r="Q947" s="30" t="str">
        <x:v>LongCat-2.0</x:v>
      </x:c>
      <x:c r="R947" s="30" t="n">
        <x:v>3165.36</x:v>
      </x:c>
      <x:c r="S947" s="30" t="str">
        <x:v>{"completion_tokens": 73, "prompt_tokens": 159,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48">
      <x:c r="A948" s="30" t="str">
        <x:v>memos_medium:2885</x:v>
      </x:c>
      <x:c r="B948" s="30" t="str">
        <x:v>medium</x:v>
      </x:c>
      <x:c r="C948" s="30" t="str">
        <x:v>Generalization &amp; Application</x:v>
      </x:c>
      <x:c r="D948" s="30" t="n">
        <x:v>2</x:v>
      </x:c>
      <x:c r="E948" s="30" t="str">
        <x:v>What strategies might Donald use to attract new clients for his consultancy as of 2038-06-20?</x:v>
      </x:c>
      <x:c r="F948" s="30" t="str">
        <x:v>Leverage campaign strategies and client testimonials.</x:v>
      </x:c>
      <x:c r="G948" s="30" t="str">
        <x:v>Campaign strategies and testimonials.</x:v>
      </x:c>
      <x:c r="H948" s="30" t="str">
        <x:v>deepseek-v4-flash</x:v>
      </x:c>
      <x:c r="I948" s="30" t="str">
        <x:v>deepseek-v4-flash</x:v>
      </x:c>
      <x:c r="J948" s="30" t="str">
        <x:v>270f631ca6cc5a940476d61867579ee9fb5a6e2ba3b1c461445693deb55f283b</x:v>
      </x:c>
      <x:c r="K948" s="30" t="str">
        <x:v>860b44017438d94bc4405a109a40aa29e0f8de48df972bec56857902b81ea45e</x:v>
      </x:c>
      <x:c r="L948" s="30" t="n">
        <x:v>598.28</x:v>
      </x:c>
      <x:c r="M948" s="30" t="str">
        <x:v>{"completion_tokens": 7, "prompt_tokens": 601, "total_tokens": 608, "completion_tokens_details": null, "prompt_tokens_details": {"audio_tokens": null, "cached_tokens": 512}, "prompt_cache_hit_tokens": 512, "prompt_cache_miss_tokens": 89}</x:v>
      </x:c>
      <x:c r="N948" s="30" t="str">
        <x:v>correct</x:v>
      </x:c>
      <x:c r="O948" s="30" t="str">
        <x:v>The model answer 'Campaign strategies and testimonials' semantically captures the complete gold answer 'Leverage campaign strategies and client testimonials.' The wording differs slightly (omitting 'leverage' and 'client'), but the core meaning and both key components are fully present without any false or unsupported claims.</x:v>
      </x:c>
      <x:c r="P948" s="30" t="str">
        <x:v>LongCat-2.0</x:v>
      </x:c>
      <x:c r="Q948" s="30" t="str">
        <x:v>LongCat-2.0</x:v>
      </x:c>
      <x:c r="R948" s="30" t="n">
        <x:v>3787.61</x:v>
      </x:c>
      <x:c r="S948" s="30" t="str">
        <x:v>{"completion_tokens": 72, "prompt_tokens": 159, "total_tokens": 231,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49">
      <x:c r="A949" s="30" t="str">
        <x:v>memos_medium:2885</x:v>
      </x:c>
      <x:c r="B949" s="30" t="str">
        <x:v>medium</x:v>
      </x:c>
      <x:c r="C949" s="30" t="str">
        <x:v>Generalization &amp; Application</x:v>
      </x:c>
      <x:c r="D949" s="30" t="n">
        <x:v>3</x:v>
      </x:c>
      <x:c r="E949" s="30" t="str">
        <x:v>What strategies might Donald use to attract new clients for his consultancy as of 2038-06-20?</x:v>
      </x:c>
      <x:c r="F949" s="30" t="str">
        <x:v>Leverage campaign strategies and client testimonials.</x:v>
      </x:c>
      <x:c r="G949" s="30" t="str">
        <x:v>Campaign strategies and testimonials.</x:v>
      </x:c>
      <x:c r="H949" s="30" t="str">
        <x:v>deepseek-v4-flash</x:v>
      </x:c>
      <x:c r="I949" s="30" t="str">
        <x:v>deepseek-v4-flash</x:v>
      </x:c>
      <x:c r="J949" s="30" t="str">
        <x:v>270f631ca6cc5a940476d61867579ee9fb5a6e2ba3b1c461445693deb55f283b</x:v>
      </x:c>
      <x:c r="K949" s="30" t="str">
        <x:v>860b44017438d94bc4405a109a40aa29e0f8de48df972bec56857902b81ea45e</x:v>
      </x:c>
      <x:c r="L949" s="30" t="n">
        <x:v>772.66</x:v>
      </x:c>
      <x:c r="M949" s="30" t="str">
        <x:v>{"completion_tokens": 7, "prompt_tokens": 601, "total_tokens": 608, "completion_tokens_details": null, "prompt_tokens_details": {"audio_tokens": null, "cached_tokens": 512}, "prompt_cache_hit_tokens": 512, "prompt_cache_miss_tokens": 89}</x:v>
      </x:c>
      <x:c r="N949" s="30" t="str">
        <x:v>correct</x:v>
      </x:c>
      <x:c r="O949" s="30" t="str">
        <x:v>The model answer 'Campaign strategies and testimonials' semantically captures the complete gold answer 'Leverage campaign strategies and client testimonials.' The wording differs slightly (omitting 'Leverage' and 'client'), but the core meaning is fully preserved without any false or unsupported claims.</x:v>
      </x:c>
      <x:c r="P949" s="30" t="str">
        <x:v>LongCat-2.0</x:v>
      </x:c>
      <x:c r="Q949" s="30" t="str">
        <x:v>LongCat-2.0</x:v>
      </x:c>
      <x:c r="R949" s="30" t="n">
        <x:v>3070.17</x:v>
      </x:c>
      <x:c r="S949" s="30" t="str">
        <x:v>{"completion_tokens": 69, "prompt_tokens": 159,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0">
      <x:c r="A950" s="30" t="str">
        <x:v>memos_medium:2935</x:v>
      </x:c>
      <x:c r="B950" s="30" t="str">
        <x:v>medium</x:v>
      </x:c>
      <x:c r="C950" s="30" t="str">
        <x:v>Dynamic Update</x:v>
      </x:c>
      <x:c r="D950" s="30" t="n">
        <x:v>1</x:v>
      </x:c>
      <x:c r="E950" s="30" t="str">
        <x:v>What is Karen Brown's current employment status as of February 15, 2026?</x:v>
      </x:c>
      <x:c r="F950" s="30" t="str">
        <x:v>Unemployed and exploring a venture in property management technology.</x:v>
      </x:c>
      <x:c r="G950" s="30" t="str">
        <x:v>Unemployed (laid off).</x:v>
      </x:c>
      <x:c r="H950" s="30" t="str">
        <x:v>deepseek-v4-flash</x:v>
      </x:c>
      <x:c r="I950" s="30" t="str">
        <x:v>deepseek-v4-flash</x:v>
      </x:c>
      <x:c r="J950" s="30" t="str">
        <x:v>1ce8e64f5e647e83890737d55bc8a7ebb2088264dcddaced3165417ffb4dad43</x:v>
      </x:c>
      <x:c r="K950" s="30" t="str">
        <x:v>cf8fe2c53b8aa0191f8ef26168e3d5d1a4daf102e85557fc0baae09f34b53a69</x:v>
      </x:c>
      <x:c r="L950" s="30" t="n">
        <x:v>712.01</x:v>
      </x:c>
      <x:c r="M950" s="30" t="str">
        <x:v>{"completion_tokens": 6, "prompt_tokens": 562, "total_tokens": 568, "completion_tokens_details": null, "prompt_tokens_details": {"audio_tokens": null, "cached_tokens": 512}, "prompt_cache_hit_tokens": 512, "prompt_cache_miss_tokens": 50}</x:v>
      </x:c>
      <x:c r="N950" s="30" t="str">
        <x:v>omission</x:v>
      </x:c>
      <x:c r="O950"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P950" s="30" t="str">
        <x:v>LongCat-2.0</x:v>
      </x:c>
      <x:c r="Q950" s="30" t="str">
        <x:v>LongCat-2.0</x:v>
      </x:c>
      <x:c r="R950" s="30" t="n">
        <x:v>6296.71</x:v>
      </x:c>
      <x:c r="S950" s="30" t="str">
        <x:v>{"completion_tokens": 76, "prompt_tokens": 156,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1">
      <x:c r="A951" s="30" t="str">
        <x:v>memos_medium:2935</x:v>
      </x:c>
      <x:c r="B951" s="30" t="str">
        <x:v>medium</x:v>
      </x:c>
      <x:c r="C951" s="30" t="str">
        <x:v>Dynamic Update</x:v>
      </x:c>
      <x:c r="D951" s="30" t="n">
        <x:v>2</x:v>
      </x:c>
      <x:c r="E951" s="30" t="str">
        <x:v>What is Karen Brown's current employment status as of February 15, 2026?</x:v>
      </x:c>
      <x:c r="F951" s="30" t="str">
        <x:v>Unemployed and exploring a venture in property management technology.</x:v>
      </x:c>
      <x:c r="G951" s="30" t="str">
        <x:v>Unemployed (laid off).</x:v>
      </x:c>
      <x:c r="H951" s="30" t="str">
        <x:v>deepseek-v4-flash</x:v>
      </x:c>
      <x:c r="I951" s="30" t="str">
        <x:v>deepseek-v4-flash</x:v>
      </x:c>
      <x:c r="J951" s="30" t="str">
        <x:v>1ce8e64f5e647e83890737d55bc8a7ebb2088264dcddaced3165417ffb4dad43</x:v>
      </x:c>
      <x:c r="K951" s="30" t="str">
        <x:v>cf8fe2c53b8aa0191f8ef26168e3d5d1a4daf102e85557fc0baae09f34b53a69</x:v>
      </x:c>
      <x:c r="L951" s="30" t="n">
        <x:v>612.48</x:v>
      </x:c>
      <x:c r="M951" s="30" t="str">
        <x:v>{"completion_tokens": 6, "prompt_tokens": 562, "total_tokens": 568, "completion_tokens_details": null, "prompt_tokens_details": {"audio_tokens": null, "cached_tokens": 512}, "prompt_cache_hit_tokens": 512, "prompt_cache_miss_tokens": 50}</x:v>
      </x:c>
      <x:c r="N951" s="30" t="str">
        <x:v>omission</x:v>
      </x:c>
      <x:c r="O951"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P951" s="30" t="str">
        <x:v>LongCat-2.0</x:v>
      </x:c>
      <x:c r="Q951" s="30" t="str">
        <x:v>LongCat-2.0</x:v>
      </x:c>
      <x:c r="R951" s="30" t="n">
        <x:v>6643.63</x:v>
      </x:c>
      <x:c r="S951" s="30" t="str">
        <x:v>{"completion_tokens": 76, "prompt_tokens": 156,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52">
      <x:c r="A952" s="30" t="str">
        <x:v>memos_medium:2935</x:v>
      </x:c>
      <x:c r="B952" s="30" t="str">
        <x:v>medium</x:v>
      </x:c>
      <x:c r="C952" s="30" t="str">
        <x:v>Dynamic Update</x:v>
      </x:c>
      <x:c r="D952" s="30" t="n">
        <x:v>3</x:v>
      </x:c>
      <x:c r="E952" s="30" t="str">
        <x:v>What is Karen Brown's current employment status as of February 15, 2026?</x:v>
      </x:c>
      <x:c r="F952" s="30" t="str">
        <x:v>Unemployed and exploring a venture in property management technology.</x:v>
      </x:c>
      <x:c r="G952" s="30" t="str">
        <x:v>Unemployed (laid off).</x:v>
      </x:c>
      <x:c r="H952" s="30" t="str">
        <x:v>deepseek-v4-flash</x:v>
      </x:c>
      <x:c r="I952" s="30" t="str">
        <x:v>deepseek-v4-flash</x:v>
      </x:c>
      <x:c r="J952" s="30" t="str">
        <x:v>1ce8e64f5e647e83890737d55bc8a7ebb2088264dcddaced3165417ffb4dad43</x:v>
      </x:c>
      <x:c r="K952" s="30" t="str">
        <x:v>cf8fe2c53b8aa0191f8ef26168e3d5d1a4daf102e85557fc0baae09f34b53a69</x:v>
      </x:c>
      <x:c r="L952" s="30" t="n">
        <x:v>620.25</x:v>
      </x:c>
      <x:c r="M952" s="30" t="str">
        <x:v>{"completion_tokens": 6, "prompt_tokens": 562, "total_tokens": 568, "completion_tokens_details": null, "prompt_tokens_details": {"audio_tokens": null, "cached_tokens": 512}, "prompt_cache_hit_tokens": 512, "prompt_cache_miss_tokens": 50}</x:v>
      </x:c>
      <x:c r="N952" s="30" t="str">
        <x:v>omission</x:v>
      </x:c>
      <x:c r="O952" s="30" t="str">
        <x:v>The model answer states 'Unemployed (laid off)', which captures the unemployment status but omits the key detail from the gold answer that Karen Brown is 'exploring a venture in property management technology'. Since the model provides only an incomplete subset of the gold answer without adding a false claim, this is an omission.</x:v>
      </x:c>
      <x:c r="P952" s="30" t="str">
        <x:v>LongCat-2.0</x:v>
      </x:c>
      <x:c r="Q952" s="30" t="str">
        <x:v>LongCat-2.0</x:v>
      </x:c>
      <x:c r="R952" s="30" t="n">
        <x:v>6471.11</x:v>
      </x:c>
      <x:c r="S952" s="30" t="str">
        <x:v>{"completion_tokens": 76, "prompt_tokens": 156,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3">
      <x:c r="A953" s="30" t="str">
        <x:v>memos_medium:2982</x:v>
      </x:c>
      <x:c r="B953" s="30" t="str">
        <x:v>medium</x:v>
      </x:c>
      <x:c r="C953" s="30" t="str">
        <x:v>Generalization &amp; Application</x:v>
      </x:c>
      <x:c r="D953" s="30" t="n">
        <x:v>1</x:v>
      </x:c>
      <x:c r="E953" s="30" t="str">
        <x:v>How might Karen's supportive network as of 2030-01-20 assist her in achieving her career goals?</x:v>
      </x:c>
      <x:c r="F953" s="30" t="str">
        <x:v>It offers emotional and practical assistance.</x:v>
      </x:c>
      <x:c r="G953" s="30" t="str">
        <x:v>Providing emotional and practical assistance.</x:v>
      </x:c>
      <x:c r="H953" s="30" t="str">
        <x:v>deepseek-v4-flash</x:v>
      </x:c>
      <x:c r="I953" s="30" t="str">
        <x:v>deepseek-v4-flash</x:v>
      </x:c>
      <x:c r="J953" s="30" t="str">
        <x:v>d6e4173e5828d5d4ba83372a958d0e35460498c3718e773674e87a5e46698a0b</x:v>
      </x:c>
      <x:c r="K953" s="30" t="str">
        <x:v>8925b65ac27d40ba53eeb87415a706c10d7b50108e3c2214f466ebaebd7f38ba</x:v>
      </x:c>
      <x:c r="L953" s="30" t="n">
        <x:v>811.73</x:v>
      </x:c>
      <x:c r="M953" s="30" t="str">
        <x:v>{"completion_tokens": 7, "prompt_tokens": 624, "total_tokens": 631, "completion_tokens_details": null, "prompt_tokens_details": {"audio_tokens": null, "cached_tokens": 512}, "prompt_cache_hit_tokens": 512, "prompt_cache_miss_tokens": 112}</x:v>
      </x:c>
      <x:c r="N953" s="30" t="str">
        <x:v>correct</x:v>
      </x:c>
      <x:c r="O953" s="30" t="str">
        <x:v>The model answer 'Providing emotional and practical assistance' semantically matches the gold answer 'It offers emotional and practical assistance.' Both convey the same complete meaning with only minor wording differences.</x:v>
      </x:c>
      <x:c r="P953" s="30" t="str">
        <x:v>LongCat-2.0</x:v>
      </x:c>
      <x:c r="Q953" s="30" t="str">
        <x:v>LongCat-2.0</x:v>
      </x:c>
      <x:c r="R953" s="30" t="n">
        <x:v>2509.75</x:v>
      </x:c>
      <x:c r="S953" s="30" t="str">
        <x:v>{"completion_tokens": 48, "prompt_tokens": 158,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4">
      <x:c r="A954" s="30" t="str">
        <x:v>memos_medium:2982</x:v>
      </x:c>
      <x:c r="B954" s="30" t="str">
        <x:v>medium</x:v>
      </x:c>
      <x:c r="C954" s="30" t="str">
        <x:v>Generalization &amp; Application</x:v>
      </x:c>
      <x:c r="D954" s="30" t="n">
        <x:v>2</x:v>
      </x:c>
      <x:c r="E954" s="30" t="str">
        <x:v>How might Karen's supportive network as of 2030-01-20 assist her in achieving her career goals?</x:v>
      </x:c>
      <x:c r="F954" s="30" t="str">
        <x:v>It offers emotional and practical assistance.</x:v>
      </x:c>
      <x:c r="G954" s="30" t="str">
        <x:v>Providing emotional and practical assistance.</x:v>
      </x:c>
      <x:c r="H954" s="30" t="str">
        <x:v>deepseek-v4-flash</x:v>
      </x:c>
      <x:c r="I954" s="30" t="str">
        <x:v>deepseek-v4-flash</x:v>
      </x:c>
      <x:c r="J954" s="30" t="str">
        <x:v>d6e4173e5828d5d4ba83372a958d0e35460498c3718e773674e87a5e46698a0b</x:v>
      </x:c>
      <x:c r="K954" s="30" t="str">
        <x:v>8925b65ac27d40ba53eeb87415a706c10d7b50108e3c2214f466ebaebd7f38ba</x:v>
      </x:c>
      <x:c r="L954" s="30" t="n">
        <x:v>582.4</x:v>
      </x:c>
      <x:c r="M954" s="30" t="str">
        <x:v>{"completion_tokens": 7, "prompt_tokens": 624, "total_tokens": 631, "completion_tokens_details": null, "prompt_tokens_details": {"audio_tokens": null, "cached_tokens": 512}, "prompt_cache_hit_tokens": 512, "prompt_cache_miss_tokens": 112}</x:v>
      </x:c>
      <x:c r="N954" s="30" t="str">
        <x:v>correct</x:v>
      </x:c>
      <x:c r="O954" s="30" t="str">
        <x:v>The model answer 'Providing emotional and practical assistance' semantically matches the gold answer 'It offers emotional and practical assistance,' conveying the same complete meaning with only minor wording differences.</x:v>
      </x:c>
      <x:c r="P954" s="30" t="str">
        <x:v>LongCat-2.0</x:v>
      </x:c>
      <x:c r="Q954" s="30" t="str">
        <x:v>LongCat-2.0</x:v>
      </x:c>
      <x:c r="R954" s="30" t="n">
        <x:v>1875.26</x:v>
      </x:c>
      <x:c r="S954"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5">
      <x:c r="A955" s="30" t="str">
        <x:v>memos_medium:2982</x:v>
      </x:c>
      <x:c r="B955" s="30" t="str">
        <x:v>medium</x:v>
      </x:c>
      <x:c r="C955" s="30" t="str">
        <x:v>Generalization &amp; Application</x:v>
      </x:c>
      <x:c r="D955" s="30" t="n">
        <x:v>3</x:v>
      </x:c>
      <x:c r="E955" s="30" t="str">
        <x:v>How might Karen's supportive network as of 2030-01-20 assist her in achieving her career goals?</x:v>
      </x:c>
      <x:c r="F955" s="30" t="str">
        <x:v>It offers emotional and practical assistance.</x:v>
      </x:c>
      <x:c r="G955" s="30" t="str">
        <x:v>Providing emotional and practical assistance.</x:v>
      </x:c>
      <x:c r="H955" s="30" t="str">
        <x:v>deepseek-v4-flash</x:v>
      </x:c>
      <x:c r="I955" s="30" t="str">
        <x:v>deepseek-v4-flash</x:v>
      </x:c>
      <x:c r="J955" s="30" t="str">
        <x:v>d6e4173e5828d5d4ba83372a958d0e35460498c3718e773674e87a5e46698a0b</x:v>
      </x:c>
      <x:c r="K955" s="30" t="str">
        <x:v>8925b65ac27d40ba53eeb87415a706c10d7b50108e3c2214f466ebaebd7f38ba</x:v>
      </x:c>
      <x:c r="L955" s="30" t="n">
        <x:v>766.95</x:v>
      </x:c>
      <x:c r="M955" s="30" t="str">
        <x:v>{"completion_tokens": 7, "prompt_tokens": 624, "total_tokens": 631, "completion_tokens_details": null, "prompt_tokens_details": {"audio_tokens": null, "cached_tokens": 512}, "prompt_cache_hit_tokens": 512, "prompt_cache_miss_tokens": 112}</x:v>
      </x:c>
      <x:c r="N955" s="30" t="str">
        <x:v>correct</x:v>
      </x:c>
      <x:c r="O955" s="30" t="str">
        <x:v>The model answer 'Providing emotional and practical assistance' semantically matches the gold answer 'It offers emotional and practical assistance,' conveying the same complete meaning with only minor wording differences.</x:v>
      </x:c>
      <x:c r="P955" s="30" t="str">
        <x:v>LongCat-2.0</x:v>
      </x:c>
      <x:c r="Q955" s="30" t="str">
        <x:v>LongCat-2.0</x:v>
      </x:c>
      <x:c r="R955" s="30" t="n">
        <x:v>2048.68</x:v>
      </x:c>
      <x:c r="S955" s="30" t="str">
        <x:v>{"completion_tokens": 47, "prompt_tokens": 158,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6">
      <x:c r="A956" s="30" t="str">
        <x:v>memos_medium:3008</x:v>
      </x:c>
      <x:c r="B956" s="30" t="str">
        <x:v>medium</x:v>
      </x:c>
      <x:c r="C956" s="30" t="str">
        <x:v>Generalization &amp; Application</x:v>
      </x:c>
      <x:c r="D956" s="30" t="n">
        <x:v>1</x:v>
      </x:c>
      <x:c r="E956" s="30" t="str">
        <x:v>Based on Karen Brown's recent culinary experiments, what new cuisine could she explore next?</x:v>
      </x:c>
      <x:c r="F956" s="30" t="str">
        <x:v>Karen might explore Italian cuisine.</x:v>
      </x:c>
      <x:c r="G956" s="30" t="str">
        <x:v>Asian or Mediterranean cuisine.</x:v>
      </x:c>
      <x:c r="H956" s="30" t="str">
        <x:v>deepseek-v4-flash</x:v>
      </x:c>
      <x:c r="I956" s="30" t="str">
        <x:v>deepseek-v4-flash</x:v>
      </x:c>
      <x:c r="J956" s="30" t="str">
        <x:v>8c96a64995c543bab0ab5b2f493f8a1eafa029576f649296462c5ab7b6850a5d</x:v>
      </x:c>
      <x:c r="K956" s="30" t="str">
        <x:v>631e09a50d99a1070944aefea4986e13c9f7063005fc9560b1faf96da6973867</x:v>
      </x:c>
      <x:c r="L956" s="30" t="n">
        <x:v>562.9</x:v>
      </x:c>
      <x:c r="M956" s="30" t="str">
        <x:v>{"completion_tokens": 5, "prompt_tokens": 614, "total_tokens": 619, "completion_tokens_details": null, "prompt_tokens_details": {"audio_tokens": null, "cached_tokens": 512}, "prompt_cache_hit_tokens": 512, "prompt_cache_miss_tokens": 102}</x:v>
      </x:c>
      <x:c r="N956" s="30" t="str">
        <x:v>hallucination</x:v>
      </x:c>
      <x:c r="O956" s="30" t="str">
        <x:v>The gold answer specifies Italian cuisine as the next cuisine Karen might explore. The model answer provides 'Asian or Mediterranean cuisine,' which are concrete suggestions that contradict the specific gold answer and are not supported by it.</x:v>
      </x:c>
      <x:c r="P956" s="30" t="str">
        <x:v>LongCat-2.0</x:v>
      </x:c>
      <x:c r="Q956" s="30" t="str">
        <x:v>LongCat-2.0</x:v>
      </x:c>
      <x:c r="R956" s="30" t="n">
        <x:v>2469.36</x:v>
      </x:c>
      <x:c r="S956" s="30" t="str">
        <x:v>{"completion_tokens": 54, "prompt_tokens": 145,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7">
      <x:c r="A957" s="30" t="str">
        <x:v>memos_medium:3008</x:v>
      </x:c>
      <x:c r="B957" s="30" t="str">
        <x:v>medium</x:v>
      </x:c>
      <x:c r="C957" s="30" t="str">
        <x:v>Generalization &amp; Application</x:v>
      </x:c>
      <x:c r="D957" s="30" t="n">
        <x:v>2</x:v>
      </x:c>
      <x:c r="E957" s="30" t="str">
        <x:v>Based on Karen Brown's recent culinary experiments, what new cuisine could she explore next?</x:v>
      </x:c>
      <x:c r="F957" s="30" t="str">
        <x:v>Karen might explore Italian cuisine.</x:v>
      </x:c>
      <x:c r="G957" s="30" t="str">
        <x:v>Asian or Mediterranean cuisine.</x:v>
      </x:c>
      <x:c r="H957" s="30" t="str">
        <x:v>deepseek-v4-flash</x:v>
      </x:c>
      <x:c r="I957" s="30" t="str">
        <x:v>deepseek-v4-flash</x:v>
      </x:c>
      <x:c r="J957" s="30" t="str">
        <x:v>8c96a64995c543bab0ab5b2f493f8a1eafa029576f649296462c5ab7b6850a5d</x:v>
      </x:c>
      <x:c r="K957" s="30" t="str">
        <x:v>631e09a50d99a1070944aefea4986e13c9f7063005fc9560b1faf96da6973867</x:v>
      </x:c>
      <x:c r="L957" s="30" t="n">
        <x:v>588.25</x:v>
      </x:c>
      <x:c r="M957" s="30" t="str">
        <x:v>{"completion_tokens": 5, "prompt_tokens": 614, "total_tokens": 619, "completion_tokens_details": null, "prompt_tokens_details": {"audio_tokens": null, "cached_tokens": 512}, "prompt_cache_hit_tokens": 512, "prompt_cache_miss_tokens": 102}</x:v>
      </x:c>
      <x:c r="N957" s="30" t="str">
        <x:v>hallucination</x:v>
      </x:c>
      <x:c r="O957" s="30" t="str">
        <x:v>The gold answer specifies Italian cuisine as the next exploration. The model answer provides 'Asian or Mediterranean cuisine,' which are concrete suggestions that contradict the specific gold answer and are unsupported by it.</x:v>
      </x:c>
      <x:c r="P957" s="30" t="str">
        <x:v>LongCat-2.0</x:v>
      </x:c>
      <x:c r="Q957" s="30" t="str">
        <x:v>LongCat-2.0</x:v>
      </x:c>
      <x:c r="R957" s="30" t="n">
        <x:v>2507.56</x:v>
      </x:c>
      <x:c r="S957" s="30" t="str">
        <x:v>{"completion_tokens": 50, "prompt_tokens": 145,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8">
      <x:c r="A958" s="30" t="str">
        <x:v>memos_medium:3008</x:v>
      </x:c>
      <x:c r="B958" s="30" t="str">
        <x:v>medium</x:v>
      </x:c>
      <x:c r="C958" s="30" t="str">
        <x:v>Generalization &amp; Application</x:v>
      </x:c>
      <x:c r="D958" s="30" t="n">
        <x:v>3</x:v>
      </x:c>
      <x:c r="E958" s="30" t="str">
        <x:v>Based on Karen Brown's recent culinary experiments, what new cuisine could she explore next?</x:v>
      </x:c>
      <x:c r="F958" s="30" t="str">
        <x:v>Karen might explore Italian cuisine.</x:v>
      </x:c>
      <x:c r="G958" s="30" t="str">
        <x:v>Asian or Mediterranean cuisine.</x:v>
      </x:c>
      <x:c r="H958" s="30" t="str">
        <x:v>deepseek-v4-flash</x:v>
      </x:c>
      <x:c r="I958" s="30" t="str">
        <x:v>deepseek-v4-flash</x:v>
      </x:c>
      <x:c r="J958" s="30" t="str">
        <x:v>8c96a64995c543bab0ab5b2f493f8a1eafa029576f649296462c5ab7b6850a5d</x:v>
      </x:c>
      <x:c r="K958" s="30" t="str">
        <x:v>631e09a50d99a1070944aefea4986e13c9f7063005fc9560b1faf96da6973867</x:v>
      </x:c>
      <x:c r="L958" s="30" t="n">
        <x:v>734.76</x:v>
      </x:c>
      <x:c r="M958" s="30" t="str">
        <x:v>{"completion_tokens": 5, "prompt_tokens": 614, "total_tokens": 619, "completion_tokens_details": null, "prompt_tokens_details": {"audio_tokens": null, "cached_tokens": 512}, "prompt_cache_hit_tokens": 512, "prompt_cache_miss_tokens": 102}</x:v>
      </x:c>
      <x:c r="N958" s="30" t="str">
        <x:v>hallucination</x:v>
      </x:c>
      <x:c r="O958" s="30" t="str">
        <x:v>The gold answer specifies Italian cuisine as the next cuisine Karen might explore. The model answer suggests Asian or Mediterranean cuisine, which are concrete alternatives that contradict the specific gold answer of Italian cuisine.</x:v>
      </x:c>
      <x:c r="P958" s="30" t="str">
        <x:v>LongCat-2.0</x:v>
      </x:c>
      <x:c r="Q958" s="30" t="str">
        <x:v>LongCat-2.0</x:v>
      </x:c>
      <x:c r="R958" s="30" t="n">
        <x:v>2423.71</x:v>
      </x:c>
      <x:c r="S958" s="30" t="str">
        <x:v>{"completion_tokens": 50, "prompt_tokens": 145,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59">
      <x:c r="A959" s="30" t="str">
        <x:v>memos_medium:3036</x:v>
      </x:c>
      <x:c r="B959" s="30" t="str">
        <x:v>medium</x:v>
      </x:c>
      <x:c r="C959" s="30" t="str">
        <x:v>Multi-hop Inference</x:v>
      </x:c>
      <x:c r="D959" s="30" t="n">
        <x:v>1</x:v>
      </x:c>
      <x:c r="E959" s="30" t="str">
        <x:v>How did Karen's savings buffer contribute to her entrepreneurial transition after February 28, 2035?</x:v>
      </x:c>
      <x:c r="F959" s="30" t="str">
        <x:v>Provided financial stability during career transition.</x:v>
      </x:c>
      <x:c r="G959" s="30" t="str">
        <x:v>Provided financial security.</x:v>
      </x:c>
      <x:c r="H959" s="30" t="str">
        <x:v>deepseek-v4-flash</x:v>
      </x:c>
      <x:c r="I959" s="30" t="str">
        <x:v>deepseek-v4-flash</x:v>
      </x:c>
      <x:c r="J959" s="30" t="str">
        <x:v>90fea1d83ee7f0a97ed35bf04f4cabe51684d9b161ebc421f0f6c13a9ee25f3c</x:v>
      </x:c>
      <x:c r="K959" s="30" t="str">
        <x:v>35b237c49d3a0eae611dad5385eb1f3da707b5b1d315ddd83ddb374eb7716f68</x:v>
      </x:c>
      <x:c r="L959" s="30" t="n">
        <x:v>817.7</x:v>
      </x:c>
      <x:c r="M959" s="30" t="str">
        <x:v>{"completion_tokens": 4, "prompt_tokens": 568, "total_tokens": 572, "completion_tokens_details": null, "prompt_tokens_details": {"audio_tokens": null, "cached_tokens": 512}, "prompt_cache_hit_tokens": 512, "prompt_cache_miss_tokens": 56}</x:v>
      </x:c>
      <x:c r="N959" s="30" t="str">
        <x:v>correct</x:v>
      </x:c>
      <x:c r="O959" s="30" t="str">
        <x:v>The model answer 'Provided financial security' is semantically equivalent to the gold answer 'Provided financial stability during career transition.' Both convey that the savings buffer offered a protective financial foundation during the entrepreneurial transition, with only minor wording differences and no contradiction or unsupported material.</x:v>
      </x:c>
      <x:c r="P959" s="30" t="str">
        <x:v>LongCat-2.0</x:v>
      </x:c>
      <x:c r="Q959" s="30" t="str">
        <x:v>LongCat-2.0</x:v>
      </x:c>
      <x:c r="R959" s="30" t="n">
        <x:v>3540.31</x:v>
      </x:c>
      <x:c r="S959"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0">
      <x:c r="A960" s="30" t="str">
        <x:v>memos_medium:3036</x:v>
      </x:c>
      <x:c r="B960" s="30" t="str">
        <x:v>medium</x:v>
      </x:c>
      <x:c r="C960" s="30" t="str">
        <x:v>Multi-hop Inference</x:v>
      </x:c>
      <x:c r="D960" s="30" t="n">
        <x:v>2</x:v>
      </x:c>
      <x:c r="E960" s="30" t="str">
        <x:v>How did Karen's savings buffer contribute to her entrepreneurial transition after February 28, 2035?</x:v>
      </x:c>
      <x:c r="F960" s="30" t="str">
        <x:v>Provided financial stability during career transition.</x:v>
      </x:c>
      <x:c r="G960" s="30" t="str">
        <x:v>Provided financial security.</x:v>
      </x:c>
      <x:c r="H960" s="30" t="str">
        <x:v>deepseek-v4-flash</x:v>
      </x:c>
      <x:c r="I960" s="30" t="str">
        <x:v>deepseek-v4-flash</x:v>
      </x:c>
      <x:c r="J960" s="30" t="str">
        <x:v>90fea1d83ee7f0a97ed35bf04f4cabe51684d9b161ebc421f0f6c13a9ee25f3c</x:v>
      </x:c>
      <x:c r="K960" s="30" t="str">
        <x:v>35b237c49d3a0eae611dad5385eb1f3da707b5b1d315ddd83ddb374eb7716f68</x:v>
      </x:c>
      <x:c r="L960" s="30" t="n">
        <x:v>670.51</x:v>
      </x:c>
      <x:c r="M960" s="30" t="str">
        <x:v>{"completion_tokens": 4, "prompt_tokens": 568, "total_tokens": 572, "completion_tokens_details": null, "prompt_tokens_details": {"audio_tokens": null, "cached_tokens": 512}, "prompt_cache_hit_tokens": 512, "prompt_cache_miss_tokens": 56}</x:v>
      </x:c>
      <x:c r="N960" s="30" t="str">
        <x:v>correct</x:v>
      </x:c>
      <x:c r="O960" s="30" t="str">
        <x:v>The model answer 'Provided financial security' is semantically equivalent to the gold answer 'Provided financial stability during career transition.' Both convey that the savings buffer offered a reliable financial foundation during the transition period, with only minor wording differences and no contradictory or unsupported claims.</x:v>
      </x:c>
      <x:c r="P960" s="30" t="str">
        <x:v>LongCat-2.0</x:v>
      </x:c>
      <x:c r="Q960" s="30" t="str">
        <x:v>LongCat-2.0</x:v>
      </x:c>
      <x:c r="R960" s="30" t="n">
        <x:v>3146.13</x:v>
      </x:c>
      <x:c r="S960" s="30" t="str">
        <x:v>{"completion_tokens": 63, "prompt_tokens": 151,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1">
      <x:c r="A961" s="30" t="str">
        <x:v>memos_medium:3036</x:v>
      </x:c>
      <x:c r="B961" s="30" t="str">
        <x:v>medium</x:v>
      </x:c>
      <x:c r="C961" s="30" t="str">
        <x:v>Multi-hop Inference</x:v>
      </x:c>
      <x:c r="D961" s="30" t="n">
        <x:v>3</x:v>
      </x:c>
      <x:c r="E961" s="30" t="str">
        <x:v>How did Karen's savings buffer contribute to her entrepreneurial transition after February 28, 2035?</x:v>
      </x:c>
      <x:c r="F961" s="30" t="str">
        <x:v>Provided financial stability during career transition.</x:v>
      </x:c>
      <x:c r="G961" s="30" t="str">
        <x:v>Provided financial security.</x:v>
      </x:c>
      <x:c r="H961" s="30" t="str">
        <x:v>deepseek-v4-flash</x:v>
      </x:c>
      <x:c r="I961" s="30" t="str">
        <x:v>deepseek-v4-flash</x:v>
      </x:c>
      <x:c r="J961" s="30" t="str">
        <x:v>90fea1d83ee7f0a97ed35bf04f4cabe51684d9b161ebc421f0f6c13a9ee25f3c</x:v>
      </x:c>
      <x:c r="K961" s="30" t="str">
        <x:v>35b237c49d3a0eae611dad5385eb1f3da707b5b1d315ddd83ddb374eb7716f68</x:v>
      </x:c>
      <x:c r="L961" s="30" t="n">
        <x:v>669.62</x:v>
      </x:c>
      <x:c r="M961" s="30" t="str">
        <x:v>{"completion_tokens": 4, "prompt_tokens": 568, "total_tokens": 572, "completion_tokens_details": null, "prompt_tokens_details": {"audio_tokens": null, "cached_tokens": 512}, "prompt_cache_hit_tokens": 512, "prompt_cache_miss_tokens": 56}</x:v>
      </x:c>
      <x:c r="N961" s="30" t="str">
        <x:v>correct</x:v>
      </x:c>
      <x:c r="O961" s="30" t="str">
        <x:v>The model answer 'Provided financial security' is semantically equivalent to the gold answer 'Provided financial stability during career transition.' Both convey that the savings buffer offered a protective financial foundation during the transition period. The wording differs slightly, but the core meaning is fully captured without contradiction or unsupported claims.</x:v>
      </x:c>
      <x:c r="P961" s="30" t="str">
        <x:v>LongCat-2.0</x:v>
      </x:c>
      <x:c r="Q961" s="30" t="str">
        <x:v>LongCat-2.0</x:v>
      </x:c>
      <x:c r="R961" s="30" t="n">
        <x:v>2553.75</x:v>
      </x:c>
      <x:c r="S961" s="30" t="str">
        <x:v>{"completion_tokens": 69, "prompt_tokens": 151,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2">
      <x:c r="A962" s="30" t="str">
        <x:v>memos_medium:3039</x:v>
      </x:c>
      <x:c r="B962" s="30" t="str">
        <x:v>medium</x:v>
      </x:c>
      <x:c r="C962" s="30" t="str">
        <x:v>Generalization &amp; Application</x:v>
      </x:c>
      <x:c r="D962" s="30" t="n">
        <x:v>1</x:v>
      </x:c>
      <x:c r="E962" s="30" t="str">
        <x:v>What new cooking method might Karen Brown explore after March 10, 2036, to enhance her meals?</x:v>
      </x:c>
      <x:c r="F962" s="30" t="str">
        <x:v>Karen might explore smoking other types of foods.</x:v>
      </x:c>
      <x:c r="G962" s="30" t="str">
        <x:v>Smoking salmon at home.</x:v>
      </x:c>
      <x:c r="H962" s="30" t="str">
        <x:v>deepseek-v4-flash</x:v>
      </x:c>
      <x:c r="I962" s="30" t="str">
        <x:v>deepseek-v4-flash</x:v>
      </x:c>
      <x:c r="J962" s="30" t="str">
        <x:v>537e8dba92c9ab8a6be0d41a93ca3dc9a0175b6bafe6c9559080a8d371aee671</x:v>
      </x:c>
      <x:c r="K962" s="30" t="str">
        <x:v>f4fc258907811cced28aa7f7b9ec0931fe0b8838e4ceb571a4747c8428b1f689</x:v>
      </x:c>
      <x:c r="L962" s="30" t="n">
        <x:v>587.94</x:v>
      </x:c>
      <x:c r="M962" s="30" t="str">
        <x:v>{"completion_tokens": 6, "prompt_tokens": 574, "total_tokens": 580, "completion_tokens_details": null, "prompt_tokens_details": {"audio_tokens": null, "cached_tokens": 512}, "prompt_cache_hit_tokens": 512, "prompt_cache_miss_tokens": 62}</x:v>
      </x:c>
      <x:c r="N962" s="30" t="str">
        <x:v>omission</x:v>
      </x:c>
      <x:c r="O962" s="30" t="str">
        <x:v>The gold answer is 'smoking other types of foods,' which is a general category of new cooking methods. The model answer 'smoking salmon at home' is a specific example that falls under this category but does not fully capture the breadth of the gold answer. It provides only a concrete subset without addressing the broader scope of 'other types of foods,' making it an incomplete answer.</x:v>
      </x:c>
      <x:c r="P962" s="30" t="str">
        <x:v>LongCat-2.0</x:v>
      </x:c>
      <x:c r="Q962" s="30" t="str">
        <x:v>LongCat-2.0</x:v>
      </x:c>
      <x:c r="R962" s="30" t="n">
        <x:v>4054.75</x:v>
      </x:c>
      <x:c r="S962" s="30" t="str">
        <x:v>{"completion_tokens": 89, "prompt_tokens": 157, "total_tokens": 246,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3">
      <x:c r="A963" s="30" t="str">
        <x:v>memos_medium:3039</x:v>
      </x:c>
      <x:c r="B963" s="30" t="str">
        <x:v>medium</x:v>
      </x:c>
      <x:c r="C963" s="30" t="str">
        <x:v>Generalization &amp; Application</x:v>
      </x:c>
      <x:c r="D963" s="30" t="n">
        <x:v>2</x:v>
      </x:c>
      <x:c r="E963" s="30" t="str">
        <x:v>What new cooking method might Karen Brown explore after March 10, 2036, to enhance her meals?</x:v>
      </x:c>
      <x:c r="F963" s="30" t="str">
        <x:v>Karen might explore smoking other types of foods.</x:v>
      </x:c>
      <x:c r="G963" s="30" t="str">
        <x:v>Smoking salmon at home.</x:v>
      </x:c>
      <x:c r="H963" s="30" t="str">
        <x:v>deepseek-v4-flash</x:v>
      </x:c>
      <x:c r="I963" s="30" t="str">
        <x:v>deepseek-v4-flash</x:v>
      </x:c>
      <x:c r="J963" s="30" t="str">
        <x:v>537e8dba92c9ab8a6be0d41a93ca3dc9a0175b6bafe6c9559080a8d371aee671</x:v>
      </x:c>
      <x:c r="K963" s="30" t="str">
        <x:v>f4fc258907811cced28aa7f7b9ec0931fe0b8838e4ceb571a4747c8428b1f689</x:v>
      </x:c>
      <x:c r="L963" s="30" t="n">
        <x:v>582.75</x:v>
      </x:c>
      <x:c r="M963" s="30" t="str">
        <x:v>{"completion_tokens": 6, "prompt_tokens": 574, "total_tokens": 580, "completion_tokens_details": null, "prompt_tokens_details": {"audio_tokens": null, "cached_tokens": 512}, "prompt_cache_hit_tokens": 512, "prompt_cache_miss_tokens": 62}</x:v>
      </x:c>
      <x:c r="N963" s="30" t="str">
        <x:v>omission</x:v>
      </x:c>
      <x:c r="O963" s="30" t="str">
        <x:v>The gold answer is 'smoking other types of foods,' which is a general category of new cooking methods. The model answer 'smoking salmon at home' is a specific example that falls under this category, but it does not semantically give the complete gold answer. It provides only a narrow subset (one specific food item) rather than the broader concept of exploring other types of foods to smoke. While not factually incorrect, it is an incomplete subset of the gold answer.</x:v>
      </x:c>
      <x:c r="P963" s="30" t="str">
        <x:v>LongCat-2.0</x:v>
      </x:c>
      <x:c r="Q963" s="30" t="str">
        <x:v>LongCat-2.0</x:v>
      </x:c>
      <x:c r="R963" s="30" t="n">
        <x:v>4512.05</x:v>
      </x:c>
      <x:c r="S963" s="30" t="str">
        <x:v>{"completion_tokens": 108, "prompt_tokens": 157, "total_tokens": 265,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4">
      <x:c r="A964" s="30" t="str">
        <x:v>memos_medium:3039</x:v>
      </x:c>
      <x:c r="B964" s="30" t="str">
        <x:v>medium</x:v>
      </x:c>
      <x:c r="C964" s="30" t="str">
        <x:v>Generalization &amp; Application</x:v>
      </x:c>
      <x:c r="D964" s="30" t="n">
        <x:v>3</x:v>
      </x:c>
      <x:c r="E964" s="30" t="str">
        <x:v>What new cooking method might Karen Brown explore after March 10, 2036, to enhance her meals?</x:v>
      </x:c>
      <x:c r="F964" s="30" t="str">
        <x:v>Karen might explore smoking other types of foods.</x:v>
      </x:c>
      <x:c r="G964" s="30" t="str">
        <x:v>Smoking salmon at home.</x:v>
      </x:c>
      <x:c r="H964" s="30" t="str">
        <x:v>deepseek-v4-flash</x:v>
      </x:c>
      <x:c r="I964" s="30" t="str">
        <x:v>deepseek-v4-flash</x:v>
      </x:c>
      <x:c r="J964" s="30" t="str">
        <x:v>537e8dba92c9ab8a6be0d41a93ca3dc9a0175b6bafe6c9559080a8d371aee671</x:v>
      </x:c>
      <x:c r="K964" s="30" t="str">
        <x:v>f4fc258907811cced28aa7f7b9ec0931fe0b8838e4ceb571a4747c8428b1f689</x:v>
      </x:c>
      <x:c r="L964" s="30" t="n">
        <x:v>833.59</x:v>
      </x:c>
      <x:c r="M964" s="30" t="str">
        <x:v>{"completion_tokens": 6, "prompt_tokens": 574, "total_tokens": 580, "completion_tokens_details": null, "prompt_tokens_details": {"audio_tokens": null, "cached_tokens": 512}, "prompt_cache_hit_tokens": 512, "prompt_cache_miss_tokens": 62}</x:v>
      </x:c>
      <x:c r="N964" s="30" t="str">
        <x:v>hallucination</x:v>
      </x:c>
      <x:c r="O964" s="30" t="str">
        <x:v>The gold answer states Karen might explore 'smoking other types of foods' (a general category), while the model answer specifies 'smoking salmon at home.' This is a concrete, unsupported claim that narrows the general answer to a specific food and location not mentioned in the gold answer, making it a hallucination.</x:v>
      </x:c>
      <x:c r="P964" s="30" t="str">
        <x:v>LongCat-2.0</x:v>
      </x:c>
      <x:c r="Q964" s="30" t="str">
        <x:v>LongCat-2.0</x:v>
      </x:c>
      <x:c r="R964" s="30" t="n">
        <x:v>3258.96</x:v>
      </x:c>
      <x:c r="S964" s="30" t="str">
        <x:v>{"completion_tokens": 77, "prompt_tokens": 157, "total_tokens": 234,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5">
      <x:c r="A965" s="30" t="str">
        <x:v>memos_medium:3049</x:v>
      </x:c>
      <x:c r="B965" s="30" t="str">
        <x:v>medium</x:v>
      </x:c>
      <x:c r="C965" s="30" t="str">
        <x:v>Generalization &amp; Application</x:v>
      </x:c>
      <x:c r="D965" s="30" t="n">
        <x:v>1</x:v>
      </x:c>
      <x:c r="E965" s="30" t="str">
        <x:v>What new sport could Karen Brown consider to further enhance her personal growth after November 1, 2037?</x:v>
      </x:c>
      <x:c r="F965" s="30" t="str">
        <x:v>Triathlon, as it includes swimming, running, and cycling.</x:v>
      </x:c>
      <x:c r="G965" s="30" t="str">
        <x:v>Competitive swimming</x:v>
      </x:c>
      <x:c r="H965" s="30" t="str">
        <x:v>deepseek-v4-flash</x:v>
      </x:c>
      <x:c r="I965" s="30" t="str">
        <x:v>deepseek-v4-flash</x:v>
      </x:c>
      <x:c r="J965" s="30" t="str">
        <x:v>da3121ca79e5dc1a8dc9c706e6de4c979788c7082a118f442a3bf4e7d95e0f2a</x:v>
      </x:c>
      <x:c r="K965" s="30" t="str">
        <x:v>0b664a538efdfa89a1d014fc37badcfa921facdd1037e417298fd519ab7afe36</x:v>
      </x:c>
      <x:c r="L965" s="30" t="n">
        <x:v>587.7</x:v>
      </x:c>
      <x:c r="M965" s="30" t="str">
        <x:v>{"completion_tokens": 3, "prompt_tokens": 602, "total_tokens": 605, "completion_tokens_details": null, "prompt_tokens_details": {"audio_tokens": null, "cached_tokens": 512}, "prompt_cache_hit_tokens": 512, "prompt_cache_miss_tokens": 90}</x:v>
      </x:c>
      <x:c r="N965" s="30" t="str">
        <x:v>omission</x:v>
      </x:c>
      <x:c r="O965"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965" s="30" t="str">
        <x:v>LongCat-2.0</x:v>
      </x:c>
      <x:c r="Q965" s="30" t="str">
        <x:v>LongCat-2.0</x:v>
      </x:c>
      <x:c r="R965" s="30" t="n">
        <x:v>2385.4</x:v>
      </x:c>
      <x:c r="S965" s="30" t="str">
        <x:v>{"completion_tokens": 90, "prompt_tokens": 158,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6">
      <x:c r="A966" s="30" t="str">
        <x:v>memos_medium:3049</x:v>
      </x:c>
      <x:c r="B966" s="30" t="str">
        <x:v>medium</x:v>
      </x:c>
      <x:c r="C966" s="30" t="str">
        <x:v>Generalization &amp; Application</x:v>
      </x:c>
      <x:c r="D966" s="30" t="n">
        <x:v>2</x:v>
      </x:c>
      <x:c r="E966" s="30" t="str">
        <x:v>What new sport could Karen Brown consider to further enhance her personal growth after November 1, 2037?</x:v>
      </x:c>
      <x:c r="F966" s="30" t="str">
        <x:v>Triathlon, as it includes swimming, running, and cycling.</x:v>
      </x:c>
      <x:c r="G966" s="30" t="str">
        <x:v>Competitive swimming</x:v>
      </x:c>
      <x:c r="H966" s="30" t="str">
        <x:v>deepseek-v4-flash</x:v>
      </x:c>
      <x:c r="I966" s="30" t="str">
        <x:v>deepseek-v4-flash</x:v>
      </x:c>
      <x:c r="J966" s="30" t="str">
        <x:v>da3121ca79e5dc1a8dc9c706e6de4c979788c7082a118f442a3bf4e7d95e0f2a</x:v>
      </x:c>
      <x:c r="K966" s="30" t="str">
        <x:v>0b664a538efdfa89a1d014fc37badcfa921facdd1037e417298fd519ab7afe36</x:v>
      </x:c>
      <x:c r="L966" s="30" t="n">
        <x:v>556.57</x:v>
      </x:c>
      <x:c r="M966" s="30" t="str">
        <x:v>{"completion_tokens": 3, "prompt_tokens": 602, "total_tokens": 605, "completion_tokens_details": null, "prompt_tokens_details": {"audio_tokens": null, "cached_tokens": 512}, "prompt_cache_hit_tokens": 512, "prompt_cache_miss_tokens": 90}</x:v>
      </x:c>
      <x:c r="N966" s="30" t="str">
        <x:v>omission</x:v>
      </x:c>
      <x:c r="O966"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966" s="30" t="str">
        <x:v>LongCat-2.0</x:v>
      </x:c>
      <x:c r="Q966" s="30" t="str">
        <x:v>LongCat-2.0</x:v>
      </x:c>
      <x:c r="R966" s="30" t="n">
        <x:v>3019.34</x:v>
      </x:c>
      <x:c r="S966" s="30" t="str">
        <x:v>{"completion_tokens": 90, "prompt_tokens": 158,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7">
      <x:c r="A967" s="30" t="str">
        <x:v>memos_medium:3049</x:v>
      </x:c>
      <x:c r="B967" s="30" t="str">
        <x:v>medium</x:v>
      </x:c>
      <x:c r="C967" s="30" t="str">
        <x:v>Generalization &amp; Application</x:v>
      </x:c>
      <x:c r="D967" s="30" t="n">
        <x:v>3</x:v>
      </x:c>
      <x:c r="E967" s="30" t="str">
        <x:v>What new sport could Karen Brown consider to further enhance her personal growth after November 1, 2037?</x:v>
      </x:c>
      <x:c r="F967" s="30" t="str">
        <x:v>Triathlon, as it includes swimming, running, and cycling.</x:v>
      </x:c>
      <x:c r="G967" s="30" t="str">
        <x:v>Competitive swimming</x:v>
      </x:c>
      <x:c r="H967" s="30" t="str">
        <x:v>deepseek-v4-flash</x:v>
      </x:c>
      <x:c r="I967" s="30" t="str">
        <x:v>deepseek-v4-flash</x:v>
      </x:c>
      <x:c r="J967" s="30" t="str">
        <x:v>da3121ca79e5dc1a8dc9c706e6de4c979788c7082a118f442a3bf4e7d95e0f2a</x:v>
      </x:c>
      <x:c r="K967" s="30" t="str">
        <x:v>0b664a538efdfa89a1d014fc37badcfa921facdd1037e417298fd519ab7afe36</x:v>
      </x:c>
      <x:c r="L967" s="30" t="n">
        <x:v>517.98</x:v>
      </x:c>
      <x:c r="M967" s="30" t="str">
        <x:v>{"completion_tokens": 3, "prompt_tokens": 602, "total_tokens": 605, "completion_tokens_details": null, "prompt_tokens_details": {"audio_tokens": null, "cached_tokens": 512}, "prompt_cache_hit_tokens": 512, "prompt_cache_miss_tokens": 90}</x:v>
      </x:c>
      <x:c r="N967" s="30" t="str">
        <x:v>omission</x:v>
      </x:c>
      <x:c r="O967" s="30" t="str">
        <x:v>The gold answer is 'Triathlon, as it includes swimming, running, and cycling.' The model answer only mentions 'Competitive swimming,' which is an incomplete subset of the full gold answer and omits the other components (running and cycling) and the specific sport name (Triathlon). It does not add a concrete false claim, so it is an omission rather than a hallucination.</x:v>
      </x:c>
      <x:c r="P967" s="30" t="str">
        <x:v>LongCat-2.0</x:v>
      </x:c>
      <x:c r="Q967" s="30" t="str">
        <x:v>LongCat-2.0</x:v>
      </x:c>
      <x:c r="R967" s="30" t="n">
        <x:v>3369.98</x:v>
      </x:c>
      <x:c r="S967" s="30" t="str">
        <x:v>{"completion_tokens": 90, "prompt_tokens": 158, "total_tokens": 248,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68">
      <x:c r="A968" s="30" t="str">
        <x:v>memos_medium:3074</x:v>
      </x:c>
      <x:c r="B968" s="30" t="str">
        <x:v>medium</x:v>
      </x:c>
      <x:c r="C968" s="30" t="str">
        <x:v>Multi-hop Inference</x:v>
      </x:c>
      <x:c r="D968" s="30" t="n">
        <x:v>1</x:v>
      </x:c>
      <x:c r="E968" s="30" t="str">
        <x:v>How did Karen's salary increase on Dec 12, 2039, influence her platform development strategy by Aug 12, 2040?</x:v>
      </x:c>
      <x:c r="F968" s="30" t="str">
        <x:v>It provided financial resources for global expansion and feature integration.</x:v>
      </x:c>
      <x:c r="G968" s="30" t="str">
        <x:v>Invested in platform features.</x:v>
      </x:c>
      <x:c r="H968" s="30" t="str">
        <x:v>deepseek-v4-flash</x:v>
      </x:c>
      <x:c r="I968" s="30" t="str">
        <x:v>deepseek-v4-flash</x:v>
      </x:c>
      <x:c r="J968" s="30" t="str">
        <x:v>76f106593065a8ffe587312fb94516bc9ecf0e5ae0d60e40ab1d304feb033cf1</x:v>
      </x:c>
      <x:c r="K968" s="30" t="str">
        <x:v>6059b16644ba914fa631719faf9d360a4e37b8f0c736dff7ecbdf54924ca38cc</x:v>
      </x:c>
      <x:c r="L968" s="30" t="n">
        <x:v>613.71</x:v>
      </x:c>
      <x:c r="M968" s="30" t="str">
        <x:v>{"completion_tokens": 6, "prompt_tokens": 614, "total_tokens": 620, "completion_tokens_details": null, "prompt_tokens_details": {"audio_tokens": null, "cached_tokens": 512}, "prompt_cache_hit_tokens": 512, "prompt_cache_miss_tokens": 102}</x:v>
      </x:c>
      <x:c r="N968" s="30" t="str">
        <x:v>omission</x:v>
      </x:c>
      <x:c r="O968"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P968" s="30" t="str">
        <x:v>LongCat-2.0</x:v>
      </x:c>
      <x:c r="Q968" s="30" t="str">
        <x:v>LongCat-2.0</x:v>
      </x:c>
      <x:c r="R968" s="30" t="n">
        <x:v>3167.48</x:v>
      </x:c>
      <x:c r="S968" s="30" t="str">
        <x:v>{"completion_tokens": 73, "prompt_tokens": 169, "total_tokens": 242,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69">
      <x:c r="A969" s="30" t="str">
        <x:v>memos_medium:3074</x:v>
      </x:c>
      <x:c r="B969" s="30" t="str">
        <x:v>medium</x:v>
      </x:c>
      <x:c r="C969" s="30" t="str">
        <x:v>Multi-hop Inference</x:v>
      </x:c>
      <x:c r="D969" s="30" t="n">
        <x:v>2</x:v>
      </x:c>
      <x:c r="E969" s="30" t="str">
        <x:v>How did Karen's salary increase on Dec 12, 2039, influence her platform development strategy by Aug 12, 2040?</x:v>
      </x:c>
      <x:c r="F969" s="30" t="str">
        <x:v>It provided financial resources for global expansion and feature integration.</x:v>
      </x:c>
      <x:c r="G969" s="30" t="str">
        <x:v>Invested in platform features.</x:v>
      </x:c>
      <x:c r="H969" s="30" t="str">
        <x:v>deepseek-v4-flash</x:v>
      </x:c>
      <x:c r="I969" s="30" t="str">
        <x:v>deepseek-v4-flash</x:v>
      </x:c>
      <x:c r="J969" s="30" t="str">
        <x:v>76f106593065a8ffe587312fb94516bc9ecf0e5ae0d60e40ab1d304feb033cf1</x:v>
      </x:c>
      <x:c r="K969" s="30" t="str">
        <x:v>6059b16644ba914fa631719faf9d360a4e37b8f0c736dff7ecbdf54924ca38cc</x:v>
      </x:c>
      <x:c r="L969" s="30" t="n">
        <x:v>626.75</x:v>
      </x:c>
      <x:c r="M969" s="30" t="str">
        <x:v>{"completion_tokens": 6, "prompt_tokens": 614, "total_tokens": 620, "completion_tokens_details": null, "prompt_tokens_details": {"audio_tokens": null, "cached_tokens": 512}, "prompt_cache_hit_tokens": 512, "prompt_cache_miss_tokens": 102}</x:v>
      </x:c>
      <x:c r="N969" s="30" t="str">
        <x:v>omission</x:v>
      </x:c>
      <x:c r="O969"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P969" s="30" t="str">
        <x:v>LongCat-2.0</x:v>
      </x:c>
      <x:c r="Q969" s="30" t="str">
        <x:v>LongCat-2.0</x:v>
      </x:c>
      <x:c r="R969" s="30" t="n">
        <x:v>2733.67</x:v>
      </x:c>
      <x:c r="S969" s="30" t="str">
        <x:v>{"completion_tokens": 73, "prompt_tokens": 169,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0">
      <x:c r="A970" s="30" t="str">
        <x:v>memos_medium:3074</x:v>
      </x:c>
      <x:c r="B970" s="30" t="str">
        <x:v>medium</x:v>
      </x:c>
      <x:c r="C970" s="30" t="str">
        <x:v>Multi-hop Inference</x:v>
      </x:c>
      <x:c r="D970" s="30" t="n">
        <x:v>3</x:v>
      </x:c>
      <x:c r="E970" s="30" t="str">
        <x:v>How did Karen's salary increase on Dec 12, 2039, influence her platform development strategy by Aug 12, 2040?</x:v>
      </x:c>
      <x:c r="F970" s="30" t="str">
        <x:v>It provided financial resources for global expansion and feature integration.</x:v>
      </x:c>
      <x:c r="G970" s="30" t="str">
        <x:v>Invested in platform features.</x:v>
      </x:c>
      <x:c r="H970" s="30" t="str">
        <x:v>deepseek-v4-flash</x:v>
      </x:c>
      <x:c r="I970" s="30" t="str">
        <x:v>deepseek-v4-flash</x:v>
      </x:c>
      <x:c r="J970" s="30" t="str">
        <x:v>76f106593065a8ffe587312fb94516bc9ecf0e5ae0d60e40ab1d304feb033cf1</x:v>
      </x:c>
      <x:c r="K970" s="30" t="str">
        <x:v>6059b16644ba914fa631719faf9d360a4e37b8f0c736dff7ecbdf54924ca38cc</x:v>
      </x:c>
      <x:c r="L970" s="30" t="n">
        <x:v>753.56</x:v>
      </x:c>
      <x:c r="M970" s="30" t="str">
        <x:v>{"completion_tokens": 6, "prompt_tokens": 614, "total_tokens": 620, "completion_tokens_details": null, "prompt_tokens_details": {"audio_tokens": null, "cached_tokens": 512}, "prompt_cache_hit_tokens": 512, "prompt_cache_miss_tokens": 102}</x:v>
      </x:c>
      <x:c r="N970" s="30" t="str">
        <x:v>omission</x:v>
      </x:c>
      <x:c r="O970" s="30" t="str">
        <x:v>The model answer 'Invested in platform features' captures only a partial aspect of the gold answer, which specifies both 'global expansion' and 'feature integration.' The model omits the global expansion component and does not mention the financial resources aspect, making it an incomplete subset without adding a concrete false claim.</x:v>
      </x:c>
      <x:c r="P970" s="30" t="str">
        <x:v>LongCat-2.0</x:v>
      </x:c>
      <x:c r="Q970" s="30" t="str">
        <x:v>LongCat-2.0</x:v>
      </x:c>
      <x:c r="R970" s="30" t="n">
        <x:v>2758.37</x:v>
      </x:c>
      <x:c r="S970" s="30" t="str">
        <x:v>{"completion_tokens": 73, "prompt_tokens": 169, "total_tokens": 242,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1">
      <x:c r="A971" s="30" t="str">
        <x:v>memos_medium:316</x:v>
      </x:c>
      <x:c r="B971" s="30" t="str">
        <x:v>medium</x:v>
      </x:c>
      <x:c r="C971" s="30" t="str">
        <x:v>Basic Fact Recall</x:v>
      </x:c>
      <x:c r="D971" s="30" t="n">
        <x:v>1</x:v>
      </x:c>
      <x:c r="E971" s="30" t="str">
        <x:v>What is Johnson Joseph's travel preference as of February 18, 2040?</x:v>
      </x:c>
      <x:c r="F971" s="30" t="str">
        <x:v>Tech-enhanced travel for efficiency and enjoyment.</x:v>
      </x:c>
      <x:c r="G971" s="30" t="str">
        <x:v>Tech-enhanced travel preference.</x:v>
      </x:c>
      <x:c r="H971" s="30" t="str">
        <x:v>deepseek-v4-flash</x:v>
      </x:c>
      <x:c r="I971" s="30" t="str">
        <x:v>deepseek-v4-flash</x:v>
      </x:c>
      <x:c r="J971" s="30" t="str">
        <x:v>92b506ad887ba9dc9d34beabdd2f5c68476bc876d19999467c897849f401bcf7</x:v>
      </x:c>
      <x:c r="K971" s="30" t="str">
        <x:v>46cf2448e1b4655793301c02e35810b2ebf7e7255bdb953e7d5d7ff44c4dcf96</x:v>
      </x:c>
      <x:c r="L971" s="30" t="n">
        <x:v>750.03</x:v>
      </x:c>
      <x:c r="M971" s="30" t="str">
        <x:v>{"completion_tokens": 5, "prompt_tokens": 540, "total_tokens": 545, "completion_tokens_details": null, "prompt_tokens_details": {"audio_tokens": null, "cached_tokens": 512}, "prompt_cache_hit_tokens": 512, "prompt_cache_miss_tokens": 28}</x:v>
      </x:c>
      <x:c r="N971" s="30" t="str">
        <x:v>omission</x:v>
      </x:c>
      <x:c r="O971" s="30" t="str">
        <x:v>The model answer 'Tech-enhanced travel preference' captures part of the gold answer but omits the key detail 'for efficiency and enjoyment,' which is a substantive component of the complete answer. Since it provides only an incomplete subset without adding a false claim, it qualifies as an omission.</x:v>
      </x:c>
      <x:c r="P971" s="30" t="str">
        <x:v>LongCat-2.0</x:v>
      </x:c>
      <x:c r="Q971" s="30" t="str">
        <x:v>LongCat-2.0</x:v>
      </x:c>
      <x:c r="R971" s="30" t="n">
        <x:v>2910.13</x:v>
      </x:c>
      <x:c r="S971" s="30" t="str">
        <x:v>{"completion_tokens": 68, "prompt_tokens": 150, "total_tokens": 218,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72">
      <x:c r="A972" s="30" t="str">
        <x:v>memos_medium:316</x:v>
      </x:c>
      <x:c r="B972" s="30" t="str">
        <x:v>medium</x:v>
      </x:c>
      <x:c r="C972" s="30" t="str">
        <x:v>Basic Fact Recall</x:v>
      </x:c>
      <x:c r="D972" s="30" t="n">
        <x:v>2</x:v>
      </x:c>
      <x:c r="E972" s="30" t="str">
        <x:v>What is Johnson Joseph's travel preference as of February 18, 2040?</x:v>
      </x:c>
      <x:c r="F972" s="30" t="str">
        <x:v>Tech-enhanced travel for efficiency and enjoyment.</x:v>
      </x:c>
      <x:c r="G972" s="30" t="str">
        <x:v>Tech-enhanced travel preference.</x:v>
      </x:c>
      <x:c r="H972" s="30" t="str">
        <x:v>deepseek-v4-flash</x:v>
      </x:c>
      <x:c r="I972" s="30" t="str">
        <x:v>deepseek-v4-flash</x:v>
      </x:c>
      <x:c r="J972" s="30" t="str">
        <x:v>92b506ad887ba9dc9d34beabdd2f5c68476bc876d19999467c897849f401bcf7</x:v>
      </x:c>
      <x:c r="K972" s="30" t="str">
        <x:v>46cf2448e1b4655793301c02e35810b2ebf7e7255bdb953e7d5d7ff44c4dcf96</x:v>
      </x:c>
      <x:c r="L972" s="30" t="n">
        <x:v>798.13</x:v>
      </x:c>
      <x:c r="M972" s="30" t="str">
        <x:v>{"completion_tokens": 5, "prompt_tokens": 540, "total_tokens": 545, "completion_tokens_details": null, "prompt_tokens_details": {"audio_tokens": null, "cached_tokens": 512}, "prompt_cache_hit_tokens": 512, "prompt_cache_miss_tokens": 28}</x:v>
      </x:c>
      <x:c r="N972" s="30" t="str">
        <x:v>omission</x:v>
      </x:c>
      <x:c r="O972" s="30" t="str">
        <x:v>The model answer captures 'tech-enhanced travel preference' but omits the specific purpose 'for efficiency and enjoyment' present in the gold answer, making it an incomplete subset.</x:v>
      </x:c>
      <x:c r="P972" s="30" t="str">
        <x:v>LongCat-2.0</x:v>
      </x:c>
      <x:c r="Q972" s="30" t="str">
        <x:v>LongCat-2.0</x:v>
      </x:c>
      <x:c r="R972" s="30" t="n">
        <x:v>1933.28</x:v>
      </x:c>
      <x:c r="S972" s="30" t="str">
        <x:v>{"completion_tokens": 46, "prompt_tokens": 150,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3">
      <x:c r="A973" s="30" t="str">
        <x:v>memos_medium:316</x:v>
      </x:c>
      <x:c r="B973" s="30" t="str">
        <x:v>medium</x:v>
      </x:c>
      <x:c r="C973" s="30" t="str">
        <x:v>Basic Fact Recall</x:v>
      </x:c>
      <x:c r="D973" s="30" t="n">
        <x:v>3</x:v>
      </x:c>
      <x:c r="E973" s="30" t="str">
        <x:v>What is Johnson Joseph's travel preference as of February 18, 2040?</x:v>
      </x:c>
      <x:c r="F973" s="30" t="str">
        <x:v>Tech-enhanced travel for efficiency and enjoyment.</x:v>
      </x:c>
      <x:c r="G973" s="30" t="str">
        <x:v>Tech-enhanced travel preference.</x:v>
      </x:c>
      <x:c r="H973" s="30" t="str">
        <x:v>deepseek-v4-flash</x:v>
      </x:c>
      <x:c r="I973" s="30" t="str">
        <x:v>deepseek-v4-flash</x:v>
      </x:c>
      <x:c r="J973" s="30" t="str">
        <x:v>92b506ad887ba9dc9d34beabdd2f5c68476bc876d19999467c897849f401bcf7</x:v>
      </x:c>
      <x:c r="K973" s="30" t="str">
        <x:v>46cf2448e1b4655793301c02e35810b2ebf7e7255bdb953e7d5d7ff44c4dcf96</x:v>
      </x:c>
      <x:c r="L973" s="30" t="n">
        <x:v>750.03</x:v>
      </x:c>
      <x:c r="M973" s="30" t="str">
        <x:v>{"completion_tokens": 5, "prompt_tokens": 540, "total_tokens": 545, "completion_tokens_details": null, "prompt_tokens_details": {"audio_tokens": null, "cached_tokens": 512}, "prompt_cache_hit_tokens": 512, "prompt_cache_miss_tokens": 28}</x:v>
      </x:c>
      <x:c r="N973" s="30" t="str">
        <x:v>omission</x:v>
      </x:c>
      <x:c r="O973" s="30" t="str">
        <x:v>The model answer captures 'tech-enhanced travel preference' but omits the specific purpose 'for efficiency and enjoyment' present in the gold answer, making it an incomplete subset.</x:v>
      </x:c>
      <x:c r="P973" s="30" t="str">
        <x:v>LongCat-2.0</x:v>
      </x:c>
      <x:c r="Q973" s="30" t="str">
        <x:v>LongCat-2.0</x:v>
      </x:c>
      <x:c r="R973" s="30" t="n">
        <x:v>2461.69</x:v>
      </x:c>
      <x:c r="S973" s="30" t="str">
        <x:v>{"completion_tokens": 46, "prompt_tokens": 150,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4">
      <x:c r="A974" s="30" t="str">
        <x:v>memos_medium:319</x:v>
      </x:c>
      <x:c r="B974" s="30" t="str">
        <x:v>medium</x:v>
      </x:c>
      <x:c r="C974" s="30" t="str">
        <x:v>Basic Fact Recall</x:v>
      </x:c>
      <x:c r="D974" s="30" t="n">
        <x:v>1</x:v>
      </x:c>
      <x:c r="E974" s="30" t="str">
        <x:v>What is Johnson Joseph's preference regarding pets at Albi B&amp;B as of August 23, 2040?</x:v>
      </x:c>
      <x:c r="F974" s="30" t="str">
        <x:v>Johnson Joseph prefers dogs for security and comfort.</x:v>
      </x:c>
      <x:c r="G974" s="30" t="str">
        <x:v>Dogs for security and comfort.</x:v>
      </x:c>
      <x:c r="H974" s="30" t="str">
        <x:v>deepseek-v4-flash</x:v>
      </x:c>
      <x:c r="I974" s="30" t="str">
        <x:v>deepseek-v4-flash</x:v>
      </x:c>
      <x:c r="J974" s="30" t="str">
        <x:v>a053ca5f41b143918bdb49e41325a01819c331ebb665b9574ab1a9ed859f66c3</x:v>
      </x:c>
      <x:c r="K974" s="30" t="str">
        <x:v>92a13d1905823e47eca6a53e490881f1d4d4a7814eb41686f9719502ce34b8f0</x:v>
      </x:c>
      <x:c r="L974" s="30" t="n">
        <x:v>847.19</x:v>
      </x:c>
      <x:c r="M974" s="30" t="str">
        <x:v>{"completion_tokens": 7, "prompt_tokens": 545, "total_tokens": 552, "completion_tokens_details": null, "prompt_tokens_details": {"audio_tokens": null, "cached_tokens": 512}, "prompt_cache_hit_tokens": 512, "prompt_cache_miss_tokens": 33}</x:v>
      </x:c>
      <x:c r="N974" s="30" t="str">
        <x:v>correct</x:v>
      </x:c>
      <x:c r="O974"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x:v>
      </x:c>
      <x:c r="P974" s="30" t="str">
        <x:v>LongCat-2.0</x:v>
      </x:c>
      <x:c r="Q974" s="30" t="str">
        <x:v>LongCat-2.0</x:v>
      </x:c>
      <x:c r="R974" s="30" t="n">
        <x:v>4230.15</x:v>
      </x:c>
      <x:c r="S974" s="30" t="str">
        <x:v>{"completion_tokens": 72, "prompt_tokens": 159,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5">
      <x:c r="A975" s="30" t="str">
        <x:v>memos_medium:319</x:v>
      </x:c>
      <x:c r="B975" s="30" t="str">
        <x:v>medium</x:v>
      </x:c>
      <x:c r="C975" s="30" t="str">
        <x:v>Basic Fact Recall</x:v>
      </x:c>
      <x:c r="D975" s="30" t="n">
        <x:v>2</x:v>
      </x:c>
      <x:c r="E975" s="30" t="str">
        <x:v>What is Johnson Joseph's preference regarding pets at Albi B&amp;B as of August 23, 2040?</x:v>
      </x:c>
      <x:c r="F975" s="30" t="str">
        <x:v>Johnson Joseph prefers dogs for security and comfort.</x:v>
      </x:c>
      <x:c r="G975" s="30" t="str">
        <x:v>Dogs for security and comfort.</x:v>
      </x:c>
      <x:c r="H975" s="30" t="str">
        <x:v>deepseek-v4-flash</x:v>
      </x:c>
      <x:c r="I975" s="30" t="str">
        <x:v>deepseek-v4-flash</x:v>
      </x:c>
      <x:c r="J975" s="30" t="str">
        <x:v>a053ca5f41b143918bdb49e41325a01819c331ebb665b9574ab1a9ed859f66c3</x:v>
      </x:c>
      <x:c r="K975" s="30" t="str">
        <x:v>92a13d1905823e47eca6a53e490881f1d4d4a7814eb41686f9719502ce34b8f0</x:v>
      </x:c>
      <x:c r="L975" s="30" t="n">
        <x:v>618.57</x:v>
      </x:c>
      <x:c r="M975" s="30" t="str">
        <x:v>{"completion_tokens": 7, "prompt_tokens": 545, "total_tokens": 552, "completion_tokens_details": null, "prompt_tokens_details": {"audio_tokens": null, "cached_tokens": 512}, "prompt_cache_hit_tokens": 512, "prompt_cache_miss_tokens": 33}</x:v>
      </x:c>
      <x:c r="N975" s="30" t="str">
        <x:v>correct</x:v>
      </x:c>
      <x:c r="O975"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complete and accurate.</x:v>
      </x:c>
      <x:c r="P975" s="30" t="str">
        <x:v>LongCat-2.0</x:v>
      </x:c>
      <x:c r="Q975" s="30" t="str">
        <x:v>LongCat-2.0</x:v>
      </x:c>
      <x:c r="R975" s="30" t="n">
        <x:v>4199.4</x:v>
      </x:c>
      <x:c r="S975" s="30" t="str">
        <x:v>{"completion_tokens": 72, "prompt_tokens": 159, "total_tokens": 231,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76">
      <x:c r="A976" s="30" t="str">
        <x:v>memos_medium:319</x:v>
      </x:c>
      <x:c r="B976" s="30" t="str">
        <x:v>medium</x:v>
      </x:c>
      <x:c r="C976" s="30" t="str">
        <x:v>Basic Fact Recall</x:v>
      </x:c>
      <x:c r="D976" s="30" t="n">
        <x:v>3</x:v>
      </x:c>
      <x:c r="E976" s="30" t="str">
        <x:v>What is Johnson Joseph's preference regarding pets at Albi B&amp;B as of August 23, 2040?</x:v>
      </x:c>
      <x:c r="F976" s="30" t="str">
        <x:v>Johnson Joseph prefers dogs for security and comfort.</x:v>
      </x:c>
      <x:c r="G976" s="30" t="str">
        <x:v>Dogs for security and comfort.</x:v>
      </x:c>
      <x:c r="H976" s="30" t="str">
        <x:v>deepseek-v4-flash</x:v>
      </x:c>
      <x:c r="I976" s="30" t="str">
        <x:v>deepseek-v4-flash</x:v>
      </x:c>
      <x:c r="J976" s="30" t="str">
        <x:v>a053ca5f41b143918bdb49e41325a01819c331ebb665b9574ab1a9ed859f66c3</x:v>
      </x:c>
      <x:c r="K976" s="30" t="str">
        <x:v>92a13d1905823e47eca6a53e490881f1d4d4a7814eb41686f9719502ce34b8f0</x:v>
      </x:c>
      <x:c r="L976" s="30" t="n">
        <x:v>719</x:v>
      </x:c>
      <x:c r="M976" s="30" t="str">
        <x:v>{"completion_tokens": 7, "prompt_tokens": 545, "total_tokens": 552, "completion_tokens_details": null, "prompt_tokens_details": {"audio_tokens": null, "cached_tokens": 512}, "prompt_cache_hit_tokens": 512, "prompt_cache_miss_tokens": 33}</x:v>
      </x:c>
      <x:c r="N976" s="30" t="str">
        <x:v>correct</x:v>
      </x:c>
      <x:c r="O976" s="30" t="str">
        <x:v>The model answer 'Dogs for security and comfort' captures the complete semantic content of the gold answer 'Johnson Joseph prefers dogs for security and comfort.' The only difference is the omission of the subject's name, which does not change the meaning or introduce any false information. The answer is semantically equivalent and complete.</x:v>
      </x:c>
      <x:c r="P976" s="30" t="str">
        <x:v>LongCat-2.0</x:v>
      </x:c>
      <x:c r="Q976" s="30" t="str">
        <x:v>LongCat-2.0</x:v>
      </x:c>
      <x:c r="R976" s="30" t="n">
        <x:v>4300.58</x:v>
      </x:c>
      <x:c r="S976" s="30" t="str">
        <x:v>{"completion_tokens": 74, "prompt_tokens": 159,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7">
      <x:c r="A977" s="30" t="str">
        <x:v>memos_medium:3223</x:v>
      </x:c>
      <x:c r="B977" s="30" t="str">
        <x:v>medium</x:v>
      </x:c>
      <x:c r="C977" s="30" t="str">
        <x:v>Basic Fact Recall</x:v>
      </x:c>
      <x:c r="D977" s="30" t="n">
        <x:v>1</x:v>
      </x:c>
      <x:c r="E977" s="30" t="str">
        <x:v>What motivates Barbara Jones to engage with games as of December 23, 2037?</x:v>
      </x:c>
      <x:c r="F977" s="30" t="str">
        <x:v>Instrumental motivation for entertainment and professional relevance</x:v>
      </x:c>
      <x:c r="G977" s="30" t="str">
        <x:v>Instrumental motivation.</x:v>
      </x:c>
      <x:c r="H977" s="30" t="str">
        <x:v>deepseek-v4-flash</x:v>
      </x:c>
      <x:c r="I977" s="30" t="str">
        <x:v>deepseek-v4-flash</x:v>
      </x:c>
      <x:c r="J977" s="30" t="str">
        <x:v>597cc8e63100e3a1e5f87409bd6abf00d5987141787aa9eb37615260bc98317e</x:v>
      </x:c>
      <x:c r="K977" s="30" t="str">
        <x:v>af9d7777e0103019dfb66fbe6f1de327c7c0d65cc6e8071559d7466f73a50740</x:v>
      </x:c>
      <x:c r="L977" s="30" t="n">
        <x:v>615.23</x:v>
      </x:c>
      <x:c r="M977" s="30" t="str">
        <x:v>{"completion_tokens": 4, "prompt_tokens": 536, "total_tokens": 540, "completion_tokens_details": null, "prompt_tokens_details": {"audio_tokens": null, "cached_tokens": 512}, "prompt_cache_hit_tokens": 512, "prompt_cache_miss_tokens": 24}</x:v>
      </x:c>
      <x:c r="N977" s="30" t="str">
        <x:v>omission</x:v>
      </x:c>
      <x:c r="O977" s="30" t="str">
        <x:v>The model answer 'Instrumental motivation' captures only a partial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P977" s="30" t="str">
        <x:v>LongCat-2.0</x:v>
      </x:c>
      <x:c r="Q977" s="30" t="str">
        <x:v>LongCat-2.0</x:v>
      </x:c>
      <x:c r="R977" s="30" t="n">
        <x:v>3121.93</x:v>
      </x:c>
      <x:c r="S977" s="30" t="str">
        <x:v>{"completion_tokens": 74, "prompt_tokens": 152,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78">
      <x:c r="A978" s="30" t="str">
        <x:v>memos_medium:3223</x:v>
      </x:c>
      <x:c r="B978" s="30" t="str">
        <x:v>medium</x:v>
      </x:c>
      <x:c r="C978" s="30" t="str">
        <x:v>Basic Fact Recall</x:v>
      </x:c>
      <x:c r="D978" s="30" t="n">
        <x:v>2</x:v>
      </x:c>
      <x:c r="E978" s="30" t="str">
        <x:v>What motivates Barbara Jones to engage with games as of December 23, 2037?</x:v>
      </x:c>
      <x:c r="F978" s="30" t="str">
        <x:v>Instrumental motivation for entertainment and professional relevance</x:v>
      </x:c>
      <x:c r="G978" s="30" t="str">
        <x:v>Instrumental motivation.</x:v>
      </x:c>
      <x:c r="H978" s="30" t="str">
        <x:v>deepseek-v4-flash</x:v>
      </x:c>
      <x:c r="I978" s="30" t="str">
        <x:v>deepseek-v4-flash</x:v>
      </x:c>
      <x:c r="J978" s="30" t="str">
        <x:v>597cc8e63100e3a1e5f87409bd6abf00d5987141787aa9eb37615260bc98317e</x:v>
      </x:c>
      <x:c r="K978" s="30" t="str">
        <x:v>af9d7777e0103019dfb66fbe6f1de327c7c0d65cc6e8071559d7466f73a50740</x:v>
      </x:c>
      <x:c r="L978" s="30" t="n">
        <x:v>747.53</x:v>
      </x:c>
      <x:c r="M978" s="30" t="str">
        <x:v>{"completion_tokens": 4, "prompt_tokens": 536, "total_tokens": 540, "completion_tokens_details": null, "prompt_tokens_details": {"audio_tokens": null, "cached_tokens": 512}, "prompt_cache_hit_tokens": 512, "prompt_cache_miss_tokens": 24}</x:v>
      </x:c>
      <x:c r="N978" s="30" t="str">
        <x:v>omission</x:v>
      </x:c>
      <x:c r="O978" s="30" t="str">
        <x:v>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P978" s="30" t="str">
        <x:v>LongCat-2.0</x:v>
      </x:c>
      <x:c r="Q978" s="30" t="str">
        <x:v>LongCat-2.0</x:v>
      </x:c>
      <x:c r="R978" s="30" t="n">
        <x:v>2559.62</x:v>
      </x:c>
      <x:c r="S978" s="30" t="str">
        <x:v>{"completion_tokens": 73, "prompt_tokens": 152,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79">
      <x:c r="A979" s="30" t="str">
        <x:v>memos_medium:3223</x:v>
      </x:c>
      <x:c r="B979" s="30" t="str">
        <x:v>medium</x:v>
      </x:c>
      <x:c r="C979" s="30" t="str">
        <x:v>Basic Fact Recall</x:v>
      </x:c>
      <x:c r="D979" s="30" t="n">
        <x:v>3</x:v>
      </x:c>
      <x:c r="E979" s="30" t="str">
        <x:v>What motivates Barbara Jones to engage with games as of December 23, 2037?</x:v>
      </x:c>
      <x:c r="F979" s="30" t="str">
        <x:v>Instrumental motivation for entertainment and professional relevance</x:v>
      </x:c>
      <x:c r="G979" s="30" t="str">
        <x:v>Instrumental motivation.</x:v>
      </x:c>
      <x:c r="H979" s="30" t="str">
        <x:v>deepseek-v4-flash</x:v>
      </x:c>
      <x:c r="I979" s="30" t="str">
        <x:v>deepseek-v4-flash</x:v>
      </x:c>
      <x:c r="J979" s="30" t="str">
        <x:v>597cc8e63100e3a1e5f87409bd6abf00d5987141787aa9eb37615260bc98317e</x:v>
      </x:c>
      <x:c r="K979" s="30" t="str">
        <x:v>af9d7777e0103019dfb66fbe6f1de327c7c0d65cc6e8071559d7466f73a50740</x:v>
      </x:c>
      <x:c r="L979" s="30" t="n">
        <x:v>663.91</x:v>
      </x:c>
      <x:c r="M979" s="30" t="str">
        <x:v>{"completion_tokens": 4, "prompt_tokens": 536, "total_tokens": 540, "completion_tokens_details": null, "prompt_tokens_details": {"audio_tokens": null, "cached_tokens": 512}, "prompt_cache_hit_tokens": 512, "prompt_cache_miss_tokens": 24}</x:v>
      </x:c>
      <x:c r="N979" s="30" t="str">
        <x:v>omission</x:v>
      </x:c>
      <x:c r="O979" s="30" t="str">
        <x:v>The model answer 'Instrumental motivation' captures only a subset of the gold answer, which specifies 'Instrumental motivation for entertainment and professional relevance.' By omitting the specific reasons (entertainment and professional relevance), the model provides an incomplete answer without adding a false claim, fitting the definition of omission.</x:v>
      </x:c>
      <x:c r="P979" s="30" t="str">
        <x:v>LongCat-2.0</x:v>
      </x:c>
      <x:c r="Q979" s="30" t="str">
        <x:v>LongCat-2.0</x:v>
      </x:c>
      <x:c r="R979" s="30" t="n">
        <x:v>2763.31</x:v>
      </x:c>
      <x:c r="S979" s="30" t="str">
        <x:v>{"completion_tokens": 73, "prompt_tokens": 152,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0">
      <x:c r="A980" s="30" t="str">
        <x:v>memos_medium:3235</x:v>
      </x:c>
      <x:c r="B980" s="30" t="str">
        <x:v>medium</x:v>
      </x:c>
      <x:c r="C980" s="30" t="str">
        <x:v>Generalization &amp; Application</x:v>
      </x:c>
      <x:c r="D980" s="30" t="n">
        <x:v>1</x:v>
      </x:c>
      <x:c r="E980" s="30" t="str">
        <x:v>How might Barbara's expanded social network support her career after Jan 01, 2038?</x:v>
      </x:c>
      <x:c r="F980" s="30" t="str">
        <x:v>Provides insights into global heart health initiatives.</x:v>
      </x:c>
      <x:c r="G980" s="30" t="str">
        <x:v>Enhances strategic impact and insights.</x:v>
      </x:c>
      <x:c r="H980" s="30" t="str">
        <x:v>deepseek-v4-flash</x:v>
      </x:c>
      <x:c r="I980" s="30" t="str">
        <x:v>deepseek-v4-flash</x:v>
      </x:c>
      <x:c r="J980" s="30" t="str">
        <x:v>16e5c7cae35434afa04f0144a71733fac667caa3add41a1da445cd4d3128c86d</x:v>
      </x:c>
      <x:c r="K980" s="30" t="str">
        <x:v>b2b7bc9e4267dc3d49b28ba321799fd9792b8a89caa37454b9069f150609ef93</x:v>
      </x:c>
      <x:c r="L980" s="30" t="n">
        <x:v>600.54</x:v>
      </x:c>
      <x:c r="M980" s="30" t="str">
        <x:v>{"completion_tokens": 8, "prompt_tokens": 576, "total_tokens": 584, "completion_tokens_details": null, "prompt_tokens_details": {"audio_tokens": null, "cached_tokens": 512}, "prompt_cache_hit_tokens": 512, "prompt_cache_miss_tokens": 64}</x:v>
      </x:c>
      <x:c r="N980" s="30" t="str">
        <x:v>omission</x:v>
      </x:c>
      <x:c r="O980" s="30" t="str">
        <x:v>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x:v>
      </x:c>
      <x:c r="P980" s="30" t="str">
        <x:v>LongCat-2.0</x:v>
      </x:c>
      <x:c r="Q980" s="30" t="str">
        <x:v>LongCat-2.0</x:v>
      </x:c>
      <x:c r="R980" s="30" t="n">
        <x:v>5338.49</x:v>
      </x:c>
      <x:c r="S980" s="30" t="str">
        <x:v>{"completion_tokens": 73, "prompt_tokens": 154,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81">
      <x:c r="A981" s="30" t="str">
        <x:v>memos_medium:3235</x:v>
      </x:c>
      <x:c r="B981" s="30" t="str">
        <x:v>medium</x:v>
      </x:c>
      <x:c r="C981" s="30" t="str">
        <x:v>Generalization &amp; Application</x:v>
      </x:c>
      <x:c r="D981" s="30" t="n">
        <x:v>2</x:v>
      </x:c>
      <x:c r="E981" s="30" t="str">
        <x:v>How might Barbara's expanded social network support her career after Jan 01, 2038?</x:v>
      </x:c>
      <x:c r="F981" s="30" t="str">
        <x:v>Provides insights into global heart health initiatives.</x:v>
      </x:c>
      <x:c r="G981" s="30" t="str">
        <x:v>Enhances strategic impact and insights.</x:v>
      </x:c>
      <x:c r="H981" s="30" t="str">
        <x:v>deepseek-v4-flash</x:v>
      </x:c>
      <x:c r="I981" s="30" t="str">
        <x:v>deepseek-v4-flash</x:v>
      </x:c>
      <x:c r="J981" s="30" t="str">
        <x:v>16e5c7cae35434afa04f0144a71733fac667caa3add41a1da445cd4d3128c86d</x:v>
      </x:c>
      <x:c r="K981" s="30" t="str">
        <x:v>b2b7bc9e4267dc3d49b28ba321799fd9792b8a89caa37454b9069f150609ef93</x:v>
      </x:c>
      <x:c r="L981" s="30" t="n">
        <x:v>806.8</x:v>
      </x:c>
      <x:c r="M981" s="30" t="str">
        <x:v>{"completion_tokens": 8, "prompt_tokens": 576, "total_tokens": 584, "completion_tokens_details": null, "prompt_tokens_details": {"audio_tokens": null, "cached_tokens": 512}, "prompt_cache_hit_tokens": 512, "prompt_cache_miss_tokens": 64}</x:v>
      </x:c>
      <x:c r="N981" s="30" t="str">
        <x:v>omission</x:v>
      </x:c>
      <x:c r="O981" s="30" t="str">
        <x:v>The model answer 'Enhances strategic impact and insights' is vague and does not provide the specific information contained in the gold answer about 'global heart health initiatives.' While it is not factually incorrect, it fails to deliver the complete, concrete answer expected, making it an incomplete subset of the gold answer.</x:v>
      </x:c>
      <x:c r="P981" s="30" t="str">
        <x:v>LongCat-2.0</x:v>
      </x:c>
      <x:c r="Q981" s="30" t="str">
        <x:v>LongCat-2.0</x:v>
      </x:c>
      <x:c r="R981" s="30" t="n">
        <x:v>4559.29</x:v>
      </x:c>
      <x:c r="S981" s="30" t="str">
        <x:v>{"completion_tokens": 73, "prompt_tokens": 154,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2">
      <x:c r="A982" s="30" t="str">
        <x:v>memos_medium:3235</x:v>
      </x:c>
      <x:c r="B982" s="30" t="str">
        <x:v>medium</x:v>
      </x:c>
      <x:c r="C982" s="30" t="str">
        <x:v>Generalization &amp; Application</x:v>
      </x:c>
      <x:c r="D982" s="30" t="n">
        <x:v>3</x:v>
      </x:c>
      <x:c r="E982" s="30" t="str">
        <x:v>How might Barbara's expanded social network support her career after Jan 01, 2038?</x:v>
      </x:c>
      <x:c r="F982" s="30" t="str">
        <x:v>Provides insights into global heart health initiatives.</x:v>
      </x:c>
      <x:c r="G982" s="30" t="str">
        <x:v>Enhances strategic impact and insights.</x:v>
      </x:c>
      <x:c r="H982" s="30" t="str">
        <x:v>deepseek-v4-flash</x:v>
      </x:c>
      <x:c r="I982" s="30" t="str">
        <x:v>deepseek-v4-flash</x:v>
      </x:c>
      <x:c r="J982" s="30" t="str">
        <x:v>16e5c7cae35434afa04f0144a71733fac667caa3add41a1da445cd4d3128c86d</x:v>
      </x:c>
      <x:c r="K982" s="30" t="str">
        <x:v>b2b7bc9e4267dc3d49b28ba321799fd9792b8a89caa37454b9069f150609ef93</x:v>
      </x:c>
      <x:c r="L982" s="30" t="n">
        <x:v>721.13</x:v>
      </x:c>
      <x:c r="M982" s="30" t="str">
        <x:v>{"completion_tokens": 8, "prompt_tokens": 576, "total_tokens": 584, "completion_tokens_details": null, "prompt_tokens_details": {"audio_tokens": null, "cached_tokens": 512}, "prompt_cache_hit_tokens": 512, "prompt_cache_miss_tokens": 64}</x:v>
      </x:c>
      <x:c r="N982" s="30" t="str">
        <x:v>omission</x:v>
      </x:c>
      <x:c r="O982" s="30" t="str">
        <x:v>The model answer 'Enhances strategic impact and insights' is vague and does not provide the specific information contained in the gold answer about 'global heart health initiatives.' It offers only a generic, incomplete subset of the expected answer without adding a concrete false claim, making it an omission.</x:v>
      </x:c>
      <x:c r="P982" s="30" t="str">
        <x:v>LongCat-2.0</x:v>
      </x:c>
      <x:c r="Q982" s="30" t="str">
        <x:v>LongCat-2.0</x:v>
      </x:c>
      <x:c r="R982" s="30" t="n">
        <x:v>2969.78</x:v>
      </x:c>
      <x:c r="S982" s="30" t="str">
        <x:v>{"completion_tokens": 68, "prompt_tokens": 154,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3">
      <x:c r="A983" s="30" t="str">
        <x:v>memos_medium:3255</x:v>
      </x:c>
      <x:c r="B983" s="30" t="str">
        <x:v>medium</x:v>
      </x:c>
      <x:c r="C983" s="30" t="str">
        <x:v>Generalization &amp; Application</x:v>
      </x:c>
      <x:c r="D983" s="30" t="n">
        <x:v>1</x:v>
      </x:c>
      <x:c r="E983" s="30" t="str">
        <x:v>What herbal ingredients might Barbara explore to complement hibiscus for heart health benefits?</x:v>
      </x:c>
      <x:c r="F983" s="30" t="str">
        <x:v>Ingredients that reduce blood pressure and promote relaxation.</x:v>
      </x:c>
      <x:c r="G983" s="30" t="str">
        <x:v>Additional herbal ingredients</x:v>
      </x:c>
      <x:c r="H983" s="30" t="str">
        <x:v>deepseek-v4-flash</x:v>
      </x:c>
      <x:c r="I983" s="30" t="str">
        <x:v>deepseek-v4-flash</x:v>
      </x:c>
      <x:c r="J983" s="30" t="str">
        <x:v>56250ced9dbfe2b17159d5d6d8a1be14ca87c01c19942568f3416e40fbacb062</x:v>
      </x:c>
      <x:c r="K983" s="30" t="str">
        <x:v>18aa887da0910d0612135842cb4cd9b3960c83c0f4935715c76bbca1635e554f</x:v>
      </x:c>
      <x:c r="L983" s="30" t="n">
        <x:v>563.66</x:v>
      </x:c>
      <x:c r="M983" s="30" t="str">
        <x:v>{"completion_tokens": 3, "prompt_tokens": 589, "total_tokens": 592, "completion_tokens_details": null, "prompt_tokens_details": {"audio_tokens": null, "cached_tokens": 512}, "prompt_cache_hit_tokens": 512, "prompt_cache_miss_tokens": 77}</x:v>
      </x:c>
      <x:c r="N983" s="30" t="str">
        <x:v>omission</x:v>
      </x:c>
      <x:c r="O983" s="30" t="str">
        <x:v>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x:v>
      </x:c>
      <x:c r="P983" s="30" t="str">
        <x:v>LongCat-2.0</x:v>
      </x:c>
      <x:c r="Q983" s="30" t="str">
        <x:v>LongCat-2.0</x:v>
      </x:c>
      <x:c r="R983" s="30" t="n">
        <x:v>3797.09</x:v>
      </x:c>
      <x:c r="S983" s="30" t="str">
        <x:v>{"completion_tokens": 63, "prompt_tokens": 147,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84">
      <x:c r="A984" s="30" t="str">
        <x:v>memos_medium:3255</x:v>
      </x:c>
      <x:c r="B984" s="30" t="str">
        <x:v>medium</x:v>
      </x:c>
      <x:c r="C984" s="30" t="str">
        <x:v>Generalization &amp; Application</x:v>
      </x:c>
      <x:c r="D984" s="30" t="n">
        <x:v>2</x:v>
      </x:c>
      <x:c r="E984" s="30" t="str">
        <x:v>What herbal ingredients might Barbara explore to complement hibiscus for heart health benefits?</x:v>
      </x:c>
      <x:c r="F984" s="30" t="str">
        <x:v>Ingredients that reduce blood pressure and promote relaxation.</x:v>
      </x:c>
      <x:c r="G984" s="30" t="str">
        <x:v>Additional herbal ingredients</x:v>
      </x:c>
      <x:c r="H984" s="30" t="str">
        <x:v>deepseek-v4-flash</x:v>
      </x:c>
      <x:c r="I984" s="30" t="str">
        <x:v>deepseek-v4-flash</x:v>
      </x:c>
      <x:c r="J984" s="30" t="str">
        <x:v>56250ced9dbfe2b17159d5d6d8a1be14ca87c01c19942568f3416e40fbacb062</x:v>
      </x:c>
      <x:c r="K984" s="30" t="str">
        <x:v>18aa887da0910d0612135842cb4cd9b3960c83c0f4935715c76bbca1635e554f</x:v>
      </x:c>
      <x:c r="L984" s="30" t="n">
        <x:v>610.63</x:v>
      </x:c>
      <x:c r="M984" s="30" t="str">
        <x:v>{"completion_tokens": 3, "prompt_tokens": 589, "total_tokens": 592, "completion_tokens_details": null, "prompt_tokens_details": {"audio_tokens": null, "cached_tokens": 512}, "prompt_cache_hit_tokens": 512, "prompt_cache_miss_tokens": 77}</x:v>
      </x:c>
      <x:c r="N984" s="30" t="str">
        <x:v>omission</x:v>
      </x:c>
      <x:c r="O984" s="30" t="str">
        <x:v>The model answer 'Additional herbal ingredients' is vague and does not provide any concrete herbal ingredients or specify that they reduce blood pressure and promote relaxation, which is the complete gold answer. It gives only an incomplete subset without adding a concrete false claim.</x:v>
      </x:c>
      <x:c r="P984" s="30" t="str">
        <x:v>LongCat-2.0</x:v>
      </x:c>
      <x:c r="Q984" s="30" t="str">
        <x:v>LongCat-2.0</x:v>
      </x:c>
      <x:c r="R984" s="30" t="n">
        <x:v>2935.53</x:v>
      </x:c>
      <x:c r="S984" s="30" t="str">
        <x:v>{"completion_tokens": 61, "prompt_tokens": 147,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5">
      <x:c r="A985" s="30" t="str">
        <x:v>memos_medium:3255</x:v>
      </x:c>
      <x:c r="B985" s="30" t="str">
        <x:v>medium</x:v>
      </x:c>
      <x:c r="C985" s="30" t="str">
        <x:v>Generalization &amp; Application</x:v>
      </x:c>
      <x:c r="D985" s="30" t="n">
        <x:v>3</x:v>
      </x:c>
      <x:c r="E985" s="30" t="str">
        <x:v>What herbal ingredients might Barbara explore to complement hibiscus for heart health benefits?</x:v>
      </x:c>
      <x:c r="F985" s="30" t="str">
        <x:v>Ingredients that reduce blood pressure and promote relaxation.</x:v>
      </x:c>
      <x:c r="G985" s="30" t="str">
        <x:v>Additional herbal ingredients</x:v>
      </x:c>
      <x:c r="H985" s="30" t="str">
        <x:v>deepseek-v4-flash</x:v>
      </x:c>
      <x:c r="I985" s="30" t="str">
        <x:v>deepseek-v4-flash</x:v>
      </x:c>
      <x:c r="J985" s="30" t="str">
        <x:v>56250ced9dbfe2b17159d5d6d8a1be14ca87c01c19942568f3416e40fbacb062</x:v>
      </x:c>
      <x:c r="K985" s="30" t="str">
        <x:v>18aa887da0910d0612135842cb4cd9b3960c83c0f4935715c76bbca1635e554f</x:v>
      </x:c>
      <x:c r="L985" s="30" t="n">
        <x:v>560.63</x:v>
      </x:c>
      <x:c r="M985" s="30" t="str">
        <x:v>{"completion_tokens": 3, "prompt_tokens": 589, "total_tokens": 592, "completion_tokens_details": null, "prompt_tokens_details": {"audio_tokens": null, "cached_tokens": 512}, "prompt_cache_hit_tokens": 512, "prompt_cache_miss_tokens": 77}</x:v>
      </x:c>
      <x:c r="N985" s="30" t="str">
        <x:v>omission</x:v>
      </x:c>
      <x:c r="O985" s="30" t="str">
        <x:v>The model answer 'Additional herbal ingredients' is vague and does not provide any concrete herbal ingredients or specify that they reduce blood pressure and promote relaxation, which is the core of the gold answer. It gives only an incomplete subset without adding a concrete false claim.</x:v>
      </x:c>
      <x:c r="P985" s="30" t="str">
        <x:v>LongCat-2.0</x:v>
      </x:c>
      <x:c r="Q985" s="30" t="str">
        <x:v>LongCat-2.0</x:v>
      </x:c>
      <x:c r="R985" s="30" t="n">
        <x:v>2787.33</x:v>
      </x:c>
      <x:c r="S985" s="30" t="str">
        <x:v>{"completion_tokens": 63, "prompt_tokens": 147,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6">
      <x:c r="A986" s="30" t="str">
        <x:v>memos_medium:3256</x:v>
      </x:c>
      <x:c r="B986" s="30" t="str">
        <x:v>medium</x:v>
      </x:c>
      <x:c r="C986" s="30" t="str">
        <x:v>Basic Fact Recall</x:v>
      </x:c>
      <x:c r="D986" s="30" t="n">
        <x:v>1</x:v>
      </x:c>
      <x:c r="E986" s="30" t="str">
        <x:v>What herbal ingredient did Barbara Jones incorporate into her tea routine for heart health benefits as of April 30, 2040?</x:v>
      </x:c>
      <x:c r="F986" s="30" t="str">
        <x:v>Hibiscus</x:v>
      </x:c>
      <x:c r="G986" s="30" t="str">
        <x:v>hibiscus</x:v>
      </x:c>
      <x:c r="H986" s="30" t="str">
        <x:v>deepseek-v4-flash</x:v>
      </x:c>
      <x:c r="I986" s="30" t="str">
        <x:v>deepseek-v4-flash</x:v>
      </x:c>
      <x:c r="J986" s="30" t="str">
        <x:v>a069a79d9be021d00223408313533a1d080aa03ead6d1faf6391be89238df951</x:v>
      </x:c>
      <x:c r="K986" s="30" t="str">
        <x:v>7d22b446029887bcf1bc8431ad3dec3edb2a121d5ad780b2f45eda85cc8ffde7</x:v>
      </x:c>
      <x:c r="L986" s="30" t="n">
        <x:v>513.5</x:v>
      </x:c>
      <x:c r="M986" s="30" t="str">
        <x:v>{"completion_tokens": 2, "prompt_tokens": 548, "total_tokens": 550, "completion_tokens_details": null, "prompt_tokens_details": {"audio_tokens": null, "cached_tokens": 512}, "prompt_cache_hit_tokens": 512, "prompt_cache_miss_tokens": 36}</x:v>
      </x:c>
      <x:c r="N986" s="30" t="str">
        <x:v>correct</x:v>
      </x:c>
      <x:c r="O986" s="30" t="str">
        <x:v>The model answer 'hibiscus' is semantically identical to the gold answer 'Hibiscus', differing only in capitalization, which does not affect correctness.</x:v>
      </x:c>
      <x:c r="P986" s="30" t="str">
        <x:v>LongCat-2.0</x:v>
      </x:c>
      <x:c r="Q986" s="30" t="str">
        <x:v>LongCat-2.0</x:v>
      </x:c>
      <x:c r="R986" s="30" t="n">
        <x:v>2520.6</x:v>
      </x:c>
      <x:c r="S986" s="30" t="str">
        <x:v>{"completion_tokens": 43, "prompt_tokens": 152, "total_tokens": 195,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87">
      <x:c r="A987" s="30" t="str">
        <x:v>memos_medium:3256</x:v>
      </x:c>
      <x:c r="B987" s="30" t="str">
        <x:v>medium</x:v>
      </x:c>
      <x:c r="C987" s="30" t="str">
        <x:v>Basic Fact Recall</x:v>
      </x:c>
      <x:c r="D987" s="30" t="n">
        <x:v>2</x:v>
      </x:c>
      <x:c r="E987" s="30" t="str">
        <x:v>What herbal ingredient did Barbara Jones incorporate into her tea routine for heart health benefits as of April 30, 2040?</x:v>
      </x:c>
      <x:c r="F987" s="30" t="str">
        <x:v>Hibiscus</x:v>
      </x:c>
      <x:c r="G987" s="30" t="str">
        <x:v>hibiscus</x:v>
      </x:c>
      <x:c r="H987" s="30" t="str">
        <x:v>deepseek-v4-flash</x:v>
      </x:c>
      <x:c r="I987" s="30" t="str">
        <x:v>deepseek-v4-flash</x:v>
      </x:c>
      <x:c r="J987" s="30" t="str">
        <x:v>a069a79d9be021d00223408313533a1d080aa03ead6d1faf6391be89238df951</x:v>
      </x:c>
      <x:c r="K987" s="30" t="str">
        <x:v>7d22b446029887bcf1bc8431ad3dec3edb2a121d5ad780b2f45eda85cc8ffde7</x:v>
      </x:c>
      <x:c r="L987" s="30" t="n">
        <x:v>621.75</x:v>
      </x:c>
      <x:c r="M987" s="30" t="str">
        <x:v>{"completion_tokens": 2, "prompt_tokens": 548, "total_tokens": 550, "completion_tokens_details": null, "prompt_tokens_details": {"audio_tokens": null, "cached_tokens": 512}, "prompt_cache_hit_tokens": 512, "prompt_cache_miss_tokens": 36}</x:v>
      </x:c>
      <x:c r="N987" s="30" t="str">
        <x:v>correct</x:v>
      </x:c>
      <x:c r="O987" s="30" t="str">
        <x:v>The model answer 'hibiscus' is semantically identical to the gold answer 'Hibiscus', differing only in capitalization, which does not affect correctness.</x:v>
      </x:c>
      <x:c r="P987" s="30" t="str">
        <x:v>LongCat-2.0</x:v>
      </x:c>
      <x:c r="Q987" s="30" t="str">
        <x:v>LongCat-2.0</x:v>
      </x:c>
      <x:c r="R987" s="30" t="n">
        <x:v>2406.86</x:v>
      </x:c>
      <x:c r="S987" s="30" t="str">
        <x:v>{"completion_tokens": 43, "prompt_tokens": 152,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8">
      <x:c r="A988" s="30" t="str">
        <x:v>memos_medium:3256</x:v>
      </x:c>
      <x:c r="B988" s="30" t="str">
        <x:v>medium</x:v>
      </x:c>
      <x:c r="C988" s="30" t="str">
        <x:v>Basic Fact Recall</x:v>
      </x:c>
      <x:c r="D988" s="30" t="n">
        <x:v>3</x:v>
      </x:c>
      <x:c r="E988" s="30" t="str">
        <x:v>What herbal ingredient did Barbara Jones incorporate into her tea routine for heart health benefits as of April 30, 2040?</x:v>
      </x:c>
      <x:c r="F988" s="30" t="str">
        <x:v>Hibiscus</x:v>
      </x:c>
      <x:c r="G988" s="30" t="str">
        <x:v>hibiscus</x:v>
      </x:c>
      <x:c r="H988" s="30" t="str">
        <x:v>deepseek-v4-flash</x:v>
      </x:c>
      <x:c r="I988" s="30" t="str">
        <x:v>deepseek-v4-flash</x:v>
      </x:c>
      <x:c r="J988" s="30" t="str">
        <x:v>a069a79d9be021d00223408313533a1d080aa03ead6d1faf6391be89238df951</x:v>
      </x:c>
      <x:c r="K988" s="30" t="str">
        <x:v>7d22b446029887bcf1bc8431ad3dec3edb2a121d5ad780b2f45eda85cc8ffde7</x:v>
      </x:c>
      <x:c r="L988" s="30" t="n">
        <x:v>819.29</x:v>
      </x:c>
      <x:c r="M988" s="30" t="str">
        <x:v>{"completion_tokens": 2, "prompt_tokens": 548, "total_tokens": 550, "completion_tokens_details": null, "prompt_tokens_details": {"audio_tokens": null, "cached_tokens": 512}, "prompt_cache_hit_tokens": 512, "prompt_cache_miss_tokens": 36}</x:v>
      </x:c>
      <x:c r="N988" s="30" t="str">
        <x:v>correct</x:v>
      </x:c>
      <x:c r="O988" s="30" t="str">
        <x:v>The model answer 'hibiscus' is semantically identical to the gold answer 'Hibiscus', differing only in capitalization, which does not affect the meaning.</x:v>
      </x:c>
      <x:c r="P988" s="30" t="str">
        <x:v>LongCat-2.0</x:v>
      </x:c>
      <x:c r="Q988" s="30" t="str">
        <x:v>LongCat-2.0</x:v>
      </x:c>
      <x:c r="R988" s="30" t="n">
        <x:v>1900.02</x:v>
      </x:c>
      <x:c r="S988" s="30" t="str">
        <x:v>{"completion_tokens": 44, "prompt_tokens": 152, "total_tokens": 196,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89">
      <x:c r="A989" s="30" t="str">
        <x:v>memos_medium:331</x:v>
      </x:c>
      <x:c r="B989" s="30" t="str">
        <x:v>medium</x:v>
      </x:c>
      <x:c r="C989" s="30" t="str">
        <x:v>Basic Fact Recall</x:v>
      </x:c>
      <x:c r="D989" s="30" t="n">
        <x:v>1</x:v>
      </x:c>
      <x:c r="E989" s="30" t="str">
        <x:v>What type of books does Johnson prefer after Sep 02, 2041?</x:v>
      </x:c>
      <x:c r="F989" s="30" t="str">
        <x:v>Memoirs of successful entrepreneurs from various industries.</x:v>
      </x:c>
      <x:c r="G989" s="30" t="str">
        <x:v>Memoirs of entrepreneurs</x:v>
      </x:c>
      <x:c r="H989" s="30" t="str">
        <x:v>deepseek-v4-flash</x:v>
      </x:c>
      <x:c r="I989" s="30" t="str">
        <x:v>deepseek-v4-flash</x:v>
      </x:c>
      <x:c r="J989" s="30" t="str">
        <x:v>389f2ef376d771900b0232be43e9d746c9c5cdd8a1417606a0fc22ec1e20e77b</x:v>
      </x:c>
      <x:c r="K989" s="30" t="str">
        <x:v>8fc79abb39cb30f5683741928f67783543df82a492f1fd4d7095da9c63f48c45</x:v>
      </x:c>
      <x:c r="L989" s="30" t="n">
        <x:v>821.31</x:v>
      </x:c>
      <x:c r="M989" s="30" t="str">
        <x:v>{"completion_tokens": 4, "prompt_tokens": 538, "total_tokens": 542, "completion_tokens_details": null, "prompt_tokens_details": {"audio_tokens": null, "cached_tokens": 512}, "prompt_cache_hit_tokens": 512, "prompt_cache_miss_tokens": 26}</x:v>
      </x:c>
      <x:c r="N989" s="30" t="str">
        <x:v>omission</x:v>
      </x:c>
      <x:c r="O989"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x:v>
      </x:c>
      <x:c r="P989" s="30" t="str">
        <x:v>LongCat-2.0</x:v>
      </x:c>
      <x:c r="Q989" s="30" t="str">
        <x:v>LongCat-2.0</x:v>
      </x:c>
      <x:c r="R989" s="30" t="n">
        <x:v>2993.08</x:v>
      </x:c>
      <x:c r="S989" s="30" t="str">
        <x:v>{"completion_tokens": 68, "prompt_tokens": 152,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0">
      <x:c r="A990" s="30" t="str">
        <x:v>memos_medium:331</x:v>
      </x:c>
      <x:c r="B990" s="30" t="str">
        <x:v>medium</x:v>
      </x:c>
      <x:c r="C990" s="30" t="str">
        <x:v>Basic Fact Recall</x:v>
      </x:c>
      <x:c r="D990" s="30" t="n">
        <x:v>2</x:v>
      </x:c>
      <x:c r="E990" s="30" t="str">
        <x:v>What type of books does Johnson prefer after Sep 02, 2041?</x:v>
      </x:c>
      <x:c r="F990" s="30" t="str">
        <x:v>Memoirs of successful entrepreneurs from various industries.</x:v>
      </x:c>
      <x:c r="G990" s="30" t="str">
        <x:v>Memoirs of entrepreneurs</x:v>
      </x:c>
      <x:c r="H990" s="30" t="str">
        <x:v>deepseek-v4-flash</x:v>
      </x:c>
      <x:c r="I990" s="30" t="str">
        <x:v>deepseek-v4-flash</x:v>
      </x:c>
      <x:c r="J990" s="30" t="str">
        <x:v>389f2ef376d771900b0232be43e9d746c9c5cdd8a1417606a0fc22ec1e20e77b</x:v>
      </x:c>
      <x:c r="K990" s="30" t="str">
        <x:v>8fc79abb39cb30f5683741928f67783543df82a492f1fd4d7095da9c63f48c45</x:v>
      </x:c>
      <x:c r="L990" s="30" t="n">
        <x:v>601.06</x:v>
      </x:c>
      <x:c r="M990" s="30" t="str">
        <x:v>{"completion_tokens": 4, "prompt_tokens": 538, "total_tokens": 542, "completion_tokens_details": null, "prompt_tokens_details": {"audio_tokens": null, "cached_tokens": 512}, "prompt_cache_hit_tokens": 512, "prompt_cache_miss_tokens": 26}</x:v>
      </x:c>
      <x:c r="N990" s="30" t="str">
        <x:v>omission</x:v>
      </x:c>
      <x:c r="O990"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x:v>
      </x:c>
      <x:c r="P990" s="30" t="str">
        <x:v>LongCat-2.0</x:v>
      </x:c>
      <x:c r="Q990" s="30" t="str">
        <x:v>LongCat-2.0</x:v>
      </x:c>
      <x:c r="R990" s="30" t="n">
        <x:v>3399.28</x:v>
      </x:c>
      <x:c r="S990" s="30" t="str">
        <x:v>{"completion_tokens": 68, "prompt_tokens": 152,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1">
      <x:c r="A991" s="30" t="str">
        <x:v>memos_medium:331</x:v>
      </x:c>
      <x:c r="B991" s="30" t="str">
        <x:v>medium</x:v>
      </x:c>
      <x:c r="C991" s="30" t="str">
        <x:v>Basic Fact Recall</x:v>
      </x:c>
      <x:c r="D991" s="30" t="n">
        <x:v>3</x:v>
      </x:c>
      <x:c r="E991" s="30" t="str">
        <x:v>What type of books does Johnson prefer after Sep 02, 2041?</x:v>
      </x:c>
      <x:c r="F991" s="30" t="str">
        <x:v>Memoirs of successful entrepreneurs from various industries.</x:v>
      </x:c>
      <x:c r="G991" s="30" t="str">
        <x:v>Memoirs of entrepreneurs</x:v>
      </x:c>
      <x:c r="H991" s="30" t="str">
        <x:v>deepseek-v4-flash</x:v>
      </x:c>
      <x:c r="I991" s="30" t="str">
        <x:v>deepseek-v4-flash</x:v>
      </x:c>
      <x:c r="J991" s="30" t="str">
        <x:v>389f2ef376d771900b0232be43e9d746c9c5cdd8a1417606a0fc22ec1e20e77b</x:v>
      </x:c>
      <x:c r="K991" s="30" t="str">
        <x:v>8fc79abb39cb30f5683741928f67783543df82a492f1fd4d7095da9c63f48c45</x:v>
      </x:c>
      <x:c r="L991" s="30" t="n">
        <x:v>563.22</x:v>
      </x:c>
      <x:c r="M991" s="30" t="str">
        <x:v>{"completion_tokens": 4, "prompt_tokens": 538, "total_tokens": 542, "completion_tokens_details": null, "prompt_tokens_details": {"audio_tokens": null, "cached_tokens": 512}, "prompt_cache_hit_tokens": 512, "prompt_cache_miss_tokens": 26}</x:v>
      </x:c>
      <x:c r="N991" s="30" t="str">
        <x:v>omission</x:v>
      </x:c>
      <x:c r="O991" s="30" t="str">
        <x:v>The model answer 'Memoirs of entrepreneurs' is an incomplete subset of the gold answer 'Memoirs of successful entrepreneurs from various industries.' It omits the key qualifiers 'successful' and 'from various industries,' which are essential to fully capture the gold answer's meaning. Since it does not add any false claims, it is classified as an omission rather than a hallucination.</x:v>
      </x:c>
      <x:c r="P991" s="30" t="str">
        <x:v>LongCat-2.0</x:v>
      </x:c>
      <x:c r="Q991" s="30" t="str">
        <x:v>LongCat-2.0</x:v>
      </x:c>
      <x:c r="R991" s="30" t="n">
        <x:v>4850.71</x:v>
      </x:c>
      <x:c r="S991" s="30" t="str">
        <x:v>{"completion_tokens": 89, "prompt_tokens": 152, "total_tokens": 241,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92">
      <x:c r="A992" s="30" t="str">
        <x:v>memos_medium:3315</x:v>
      </x:c>
      <x:c r="B992" s="30" t="str">
        <x:v>medium</x:v>
      </x:c>
      <x:c r="C992" s="30" t="str">
        <x:v>Generalization &amp; Application</x:v>
      </x:c>
      <x:c r="D992" s="30" t="n">
        <x:v>1</x:v>
      </x:c>
      <x:c r="E992" s="30" t="str">
        <x:v>What strategies can Christopher use to maintain the sustainability of his comprehensive care plans as of Mar 01, 2026?</x:v>
      </x:c>
      <x:c r="F992" s="30" t="str">
        <x:v>Foster collaboration with colleagues and book club members.</x:v>
      </x:c>
      <x:c r="G992" s="30" t="str">
        <x:v>Collaboration and competition.</x:v>
      </x:c>
      <x:c r="H992" s="30" t="str">
        <x:v>deepseek-v4-flash</x:v>
      </x:c>
      <x:c r="I992" s="30" t="str">
        <x:v>deepseek-v4-flash</x:v>
      </x:c>
      <x:c r="J992" s="30" t="str">
        <x:v>8f372655d0d773cf14736a63aeb8204b86c6e4126f8ae3fd05b2bea0270f03ab</x:v>
      </x:c>
      <x:c r="K992" s="30" t="str">
        <x:v>0df9177a1c3ac3d275e7407ba351abe44a2dce07d4c744e76642f06d14a95713</x:v>
      </x:c>
      <x:c r="L992" s="30" t="n">
        <x:v>881.79</x:v>
      </x:c>
      <x:c r="M992" s="30" t="str">
        <x:v>{"completion_tokens": 5, "prompt_tokens": 608, "total_tokens": 613, "completion_tokens_details": null, "prompt_tokens_details": {"audio_tokens": null, "cached_tokens": 512}, "prompt_cache_hit_tokens": 512, "prompt_cache_miss_tokens": 96}</x:v>
      </x:c>
      <x:c r="N992" s="30" t="str">
        <x:v>hallucination</x:v>
      </x:c>
      <x:c r="O992" s="30" t="str">
        <x:v>The model answer includes 'competition,' which is not supported by the gold answer and introduces an unsupported/incorrect element, making it a hallucination.</x:v>
      </x:c>
      <x:c r="P992" s="30" t="str">
        <x:v>LongCat-2.0</x:v>
      </x:c>
      <x:c r="Q992" s="30" t="str">
        <x:v>LongCat-2.0</x:v>
      </x:c>
      <x:c r="R992" s="30" t="n">
        <x:v>2400.77</x:v>
      </x:c>
      <x:c r="S992" s="30" t="str">
        <x:v>{"completion_tokens": 43, "prompt_tokens": 159,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3">
      <x:c r="A993" s="30" t="str">
        <x:v>memos_medium:3315</x:v>
      </x:c>
      <x:c r="B993" s="30" t="str">
        <x:v>medium</x:v>
      </x:c>
      <x:c r="C993" s="30" t="str">
        <x:v>Generalization &amp; Application</x:v>
      </x:c>
      <x:c r="D993" s="30" t="n">
        <x:v>2</x:v>
      </x:c>
      <x:c r="E993" s="30" t="str">
        <x:v>What strategies can Christopher use to maintain the sustainability of his comprehensive care plans as of Mar 01, 2026?</x:v>
      </x:c>
      <x:c r="F993" s="30" t="str">
        <x:v>Foster collaboration with colleagues and book club members.</x:v>
      </x:c>
      <x:c r="G993" s="30" t="str">
        <x:v>Collaboration and competition.</x:v>
      </x:c>
      <x:c r="H993" s="30" t="str">
        <x:v>deepseek-v4-flash</x:v>
      </x:c>
      <x:c r="I993" s="30" t="str">
        <x:v>deepseek-v4-flash</x:v>
      </x:c>
      <x:c r="J993" s="30" t="str">
        <x:v>8f372655d0d773cf14736a63aeb8204b86c6e4126f8ae3fd05b2bea0270f03ab</x:v>
      </x:c>
      <x:c r="K993" s="30" t="str">
        <x:v>0df9177a1c3ac3d275e7407ba351abe44a2dce07d4c744e76642f06d14a95713</x:v>
      </x:c>
      <x:c r="L993" s="30" t="n">
        <x:v>622.5</x:v>
      </x:c>
      <x:c r="M993" s="30" t="str">
        <x:v>{"completion_tokens": 5, "prompt_tokens": 608, "total_tokens": 613, "completion_tokens_details": null, "prompt_tokens_details": {"audio_tokens": null, "cached_tokens": 512}, "prompt_cache_hit_tokens": 512, "prompt_cache_miss_tokens": 96}</x:v>
      </x:c>
      <x:c r="N993" s="30" t="str">
        <x:v>hallucination</x:v>
      </x:c>
      <x:c r="O993" s="30" t="str">
        <x:v>The model answer includes 'competition,' which is not supported by the gold answer and introduces an unsupported/incorrect element, making it a hallucination.</x:v>
      </x:c>
      <x:c r="P993" s="30" t="str">
        <x:v>LongCat-2.0</x:v>
      </x:c>
      <x:c r="Q993" s="30" t="str">
        <x:v>LongCat-2.0</x:v>
      </x:c>
      <x:c r="R993" s="30" t="n">
        <x:v>2436.01</x:v>
      </x:c>
      <x:c r="S993" s="30" t="str">
        <x:v>{"completion_tokens": 43, "prompt_tokens": 159,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994">
      <x:c r="A994" s="30" t="str">
        <x:v>memos_medium:3315</x:v>
      </x:c>
      <x:c r="B994" s="30" t="str">
        <x:v>medium</x:v>
      </x:c>
      <x:c r="C994" s="30" t="str">
        <x:v>Generalization &amp; Application</x:v>
      </x:c>
      <x:c r="D994" s="30" t="n">
        <x:v>3</x:v>
      </x:c>
      <x:c r="E994" s="30" t="str">
        <x:v>What strategies can Christopher use to maintain the sustainability of his comprehensive care plans as of Mar 01, 2026?</x:v>
      </x:c>
      <x:c r="F994" s="30" t="str">
        <x:v>Foster collaboration with colleagues and book club members.</x:v>
      </x:c>
      <x:c r="G994" s="30" t="str">
        <x:v>Collaboration and competition.</x:v>
      </x:c>
      <x:c r="H994" s="30" t="str">
        <x:v>deepseek-v4-flash</x:v>
      </x:c>
      <x:c r="I994" s="30" t="str">
        <x:v>deepseek-v4-flash</x:v>
      </x:c>
      <x:c r="J994" s="30" t="str">
        <x:v>8f372655d0d773cf14736a63aeb8204b86c6e4126f8ae3fd05b2bea0270f03ab</x:v>
      </x:c>
      <x:c r="K994" s="30" t="str">
        <x:v>0df9177a1c3ac3d275e7407ba351abe44a2dce07d4c744e76642f06d14a95713</x:v>
      </x:c>
      <x:c r="L994" s="30" t="n">
        <x:v>783.67</x:v>
      </x:c>
      <x:c r="M994" s="30" t="str">
        <x:v>{"completion_tokens": 5, "prompt_tokens": 608, "total_tokens": 613, "completion_tokens_details": null, "prompt_tokens_details": {"audio_tokens": null, "cached_tokens": 512}, "prompt_cache_hit_tokens": 512, "prompt_cache_miss_tokens": 96}</x:v>
      </x:c>
      <x:c r="N994" s="30" t="str">
        <x:v>hallucination</x:v>
      </x:c>
      <x:c r="O994" s="30" t="str">
        <x:v>The gold answer specifies 'collaboration with colleagues and book club members.' The model answer says 'Collaboration and competition.' While 'collaboration' partially overlaps with the gold answer, 'competition' is not mentioned or supported in the gold answer and introduces unsupported material, making it a hallucination.</x:v>
      </x:c>
      <x:c r="P994" s="30" t="str">
        <x:v>LongCat-2.0</x:v>
      </x:c>
      <x:c r="Q994" s="30" t="str">
        <x:v>LongCat-2.0</x:v>
      </x:c>
      <x:c r="R994" s="30" t="n">
        <x:v>3146.06</x:v>
      </x:c>
      <x:c r="S994" s="30" t="str">
        <x:v>{"completion_tokens": 73, "prompt_tokens": 159,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5">
      <x:c r="A995" s="30" t="str">
        <x:v>memos_medium:332</x:v>
      </x:c>
      <x:c r="B995" s="30" t="str">
        <x:v>medium</x:v>
      </x:c>
      <x:c r="C995" s="30" t="str">
        <x:v>Basic Fact Recall</x:v>
      </x:c>
      <x:c r="D995" s="30" t="n">
        <x:v>1</x:v>
      </x:c>
      <x:c r="E995" s="30" t="str">
        <x:v>What event inspired Johnson to broaden his reading scope on Sep 02, 2041?</x:v>
      </x:c>
      <x:c r="F995" s="30" t="str">
        <x:v>A business seminar.</x:v>
      </x:c>
      <x:c r="G995" s="30" t="str">
        <x:v>A business seminar.</x:v>
      </x:c>
      <x:c r="H995" s="30" t="str">
        <x:v>deepseek-v4-flash</x:v>
      </x:c>
      <x:c r="I995" s="30" t="str">
        <x:v>deepseek-v4-flash</x:v>
      </x:c>
      <x:c r="J995" s="30" t="str">
        <x:v>ff1904d754ad815e06f4386f2773706558ded5a592b33e04abffcff6d9101f85</x:v>
      </x:c>
      <x:c r="K995" s="30" t="str">
        <x:v>d9a99f31b107a7474c59e41fd482b490fca2ec4f6504d0da0bdd87d0fc654e82</x:v>
      </x:c>
      <x:c r="L995" s="30" t="n">
        <x:v>569.17</x:v>
      </x:c>
      <x:c r="M995" s="30" t="str">
        <x:v>{"completion_tokens": 4, "prompt_tokens": 547, "total_tokens": 551, "completion_tokens_details": null, "prompt_tokens_details": {"audio_tokens": null, "cached_tokens": 512}, "prompt_cache_hit_tokens": 512, "prompt_cache_miss_tokens": 35}</x:v>
      </x:c>
      <x:c r="N995" s="30" t="str">
        <x:v>correct</x:v>
      </x:c>
      <x:c r="O995" s="30" t="str">
        <x:v>The model answer matches the gold answer exactly, providing the complete and correct information.</x:v>
      </x:c>
      <x:c r="P995" s="30" t="str">
        <x:v>LongCat-2.0</x:v>
      </x:c>
      <x:c r="Q995" s="30" t="str">
        <x:v>LongCat-2.0</x:v>
      </x:c>
      <x:c r="R995" s="30" t="n">
        <x:v>1577.69</x:v>
      </x:c>
      <x:c r="S995" s="30" t="str">
        <x:v>{"completion_tokens": 27, "prompt_tokens": 146, "total_tokens": 173,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6">
      <x:c r="A996" s="30" t="str">
        <x:v>memos_medium:332</x:v>
      </x:c>
      <x:c r="B996" s="30" t="str">
        <x:v>medium</x:v>
      </x:c>
      <x:c r="C996" s="30" t="str">
        <x:v>Basic Fact Recall</x:v>
      </x:c>
      <x:c r="D996" s="30" t="n">
        <x:v>2</x:v>
      </x:c>
      <x:c r="E996" s="30" t="str">
        <x:v>What event inspired Johnson to broaden his reading scope on Sep 02, 2041?</x:v>
      </x:c>
      <x:c r="F996" s="30" t="str">
        <x:v>A business seminar.</x:v>
      </x:c>
      <x:c r="G996" s="30" t="str">
        <x:v>A business seminar.</x:v>
      </x:c>
      <x:c r="H996" s="30" t="str">
        <x:v>deepseek-v4-flash</x:v>
      </x:c>
      <x:c r="I996" s="30" t="str">
        <x:v>deepseek-v4-flash</x:v>
      </x:c>
      <x:c r="J996" s="30" t="str">
        <x:v>ff1904d754ad815e06f4386f2773706558ded5a592b33e04abffcff6d9101f85</x:v>
      </x:c>
      <x:c r="K996" s="30" t="str">
        <x:v>d9a99f31b107a7474c59e41fd482b490fca2ec4f6504d0da0bdd87d0fc654e82</x:v>
      </x:c>
      <x:c r="L996" s="30" t="n">
        <x:v>612.2</x:v>
      </x:c>
      <x:c r="M996" s="30" t="str">
        <x:v>{"completion_tokens": 4, "prompt_tokens": 547, "total_tokens": 551, "completion_tokens_details": null, "prompt_tokens_details": {"audio_tokens": null, "cached_tokens": 512}, "prompt_cache_hit_tokens": 512, "prompt_cache_miss_tokens": 35}</x:v>
      </x:c>
      <x:c r="N996" s="30" t="str">
        <x:v>correct</x:v>
      </x:c>
      <x:c r="O996" s="30" t="str">
        <x:v>The model answer matches the gold answer exactly, providing the complete and correct information.</x:v>
      </x:c>
      <x:c r="P996" s="30" t="str">
        <x:v>LongCat-2.0</x:v>
      </x:c>
      <x:c r="Q996" s="30" t="str">
        <x:v>LongCat-2.0</x:v>
      </x:c>
      <x:c r="R996" s="30" t="n">
        <x:v>2246.27</x:v>
      </x:c>
      <x:c r="S996" s="30" t="str">
        <x:v>{"completion_tokens": 27, "prompt_tokens": 146, "total_tokens": 173,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7">
      <x:c r="A997" s="30" t="str">
        <x:v>memos_medium:332</x:v>
      </x:c>
      <x:c r="B997" s="30" t="str">
        <x:v>medium</x:v>
      </x:c>
      <x:c r="C997" s="30" t="str">
        <x:v>Basic Fact Recall</x:v>
      </x:c>
      <x:c r="D997" s="30" t="n">
        <x:v>3</x:v>
      </x:c>
      <x:c r="E997" s="30" t="str">
        <x:v>What event inspired Johnson to broaden his reading scope on Sep 02, 2041?</x:v>
      </x:c>
      <x:c r="F997" s="30" t="str">
        <x:v>A business seminar.</x:v>
      </x:c>
      <x:c r="G997" s="30" t="str">
        <x:v>A business seminar.</x:v>
      </x:c>
      <x:c r="H997" s="30" t="str">
        <x:v>deepseek-v4-flash</x:v>
      </x:c>
      <x:c r="I997" s="30" t="str">
        <x:v>deepseek-v4-flash</x:v>
      </x:c>
      <x:c r="J997" s="30" t="str">
        <x:v>ff1904d754ad815e06f4386f2773706558ded5a592b33e04abffcff6d9101f85</x:v>
      </x:c>
      <x:c r="K997" s="30" t="str">
        <x:v>d9a99f31b107a7474c59e41fd482b490fca2ec4f6504d0da0bdd87d0fc654e82</x:v>
      </x:c>
      <x:c r="L997" s="30" t="n">
        <x:v>559.74</x:v>
      </x:c>
      <x:c r="M997" s="30" t="str">
        <x:v>{"completion_tokens": 4, "prompt_tokens": 547, "total_tokens": 551, "completion_tokens_details": null, "prompt_tokens_details": {"audio_tokens": null, "cached_tokens": 512}, "prompt_cache_hit_tokens": 512, "prompt_cache_miss_tokens": 35}</x:v>
      </x:c>
      <x:c r="N997" s="30" t="str">
        <x:v>correct</x:v>
      </x:c>
      <x:c r="O997" s="30" t="str">
        <x:v>The model answer matches the gold answer exactly, providing the complete and correct information.</x:v>
      </x:c>
      <x:c r="P997" s="30" t="str">
        <x:v>LongCat-2.0</x:v>
      </x:c>
      <x:c r="Q997" s="30" t="str">
        <x:v>LongCat-2.0</x:v>
      </x:c>
      <x:c r="R997" s="30" t="n">
        <x:v>2002.04</x:v>
      </x:c>
      <x:c r="S997" s="30" t="str">
        <x:v>{"completion_tokens": 27, "prompt_tokens": 146, "total_tokens": 173,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8">
      <x:c r="A998" s="30" t="str">
        <x:v>memos_medium:3321</x:v>
      </x:c>
      <x:c r="B998" s="30" t="str">
        <x:v>medium</x:v>
      </x:c>
      <x:c r="C998" s="30" t="str">
        <x:v>Basic Fact Recall</x:v>
      </x:c>
      <x:c r="D998" s="30" t="n">
        <x:v>1</x:v>
      </x:c>
      <x:c r="E998" s="30" t="str">
        <x:v>What genre did Christopher express enthusiasm about exploring more?</x:v>
      </x:c>
      <x:c r="F998" s="30" t="str">
        <x:v>Science fiction</x:v>
      </x:c>
      <x:c r="G998" s="30" t="str">
        <x:v>Science fiction</x:v>
      </x:c>
      <x:c r="H998" s="30" t="str">
        <x:v>deepseek-v4-flash</x:v>
      </x:c>
      <x:c r="I998" s="30" t="str">
        <x:v>deepseek-v4-flash</x:v>
      </x:c>
      <x:c r="J998" s="30" t="str">
        <x:v>79dacce4bdf7c68db39c5a559b3a5cae6465b5e75f34738a13bdd32a52ac926e</x:v>
      </x:c>
      <x:c r="K998" s="30" t="str">
        <x:v>1c621ee5a747c7fad828b1c544138cef80c5fbdb80ac0b57ab36088c920708d5</x:v>
      </x:c>
      <x:c r="L998" s="30" t="n">
        <x:v>711.62</x:v>
      </x:c>
      <x:c r="M998" s="30" t="str">
        <x:v>{"completion_tokens": 2, "prompt_tokens": 525, "total_tokens": 527, "completion_tokens_details": null, "prompt_tokens_details": {"audio_tokens": null, "cached_tokens": 512}, "prompt_cache_hit_tokens": 512, "prompt_cache_miss_tokens": 13}</x:v>
      </x:c>
      <x:c r="N998" s="30" t="str">
        <x:v>correct</x:v>
      </x:c>
      <x:c r="O998" s="30" t="str">
        <x:v>The model answer 'Science fiction' matches the benchmark gold answer exactly, providing the complete and correct genre Christopher expressed enthusiasm about exploring more.</x:v>
      </x:c>
      <x:c r="P998" s="30" t="str">
        <x:v>LongCat-2.0</x:v>
      </x:c>
      <x:c r="Q998" s="30" t="str">
        <x:v>LongCat-2.0</x:v>
      </x:c>
      <x:c r="R998" s="30" t="n">
        <x:v>1699.31</x:v>
      </x:c>
      <x:c r="S998" s="30" t="str">
        <x:v>{"completion_tokens": 38, "prompt_tokens": 133, "total_tokens": 171,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999">
      <x:c r="A999" s="30" t="str">
        <x:v>memos_medium:3321</x:v>
      </x:c>
      <x:c r="B999" s="30" t="str">
        <x:v>medium</x:v>
      </x:c>
      <x:c r="C999" s="30" t="str">
        <x:v>Basic Fact Recall</x:v>
      </x:c>
      <x:c r="D999" s="30" t="n">
        <x:v>2</x:v>
      </x:c>
      <x:c r="E999" s="30" t="str">
        <x:v>What genre did Christopher express enthusiasm about exploring more?</x:v>
      </x:c>
      <x:c r="F999" s="30" t="str">
        <x:v>Science fiction</x:v>
      </x:c>
      <x:c r="G999" s="30" t="str">
        <x:v>Science fiction</x:v>
      </x:c>
      <x:c r="H999" s="30" t="str">
        <x:v>deepseek-v4-flash</x:v>
      </x:c>
      <x:c r="I999" s="30" t="str">
        <x:v>deepseek-v4-flash</x:v>
      </x:c>
      <x:c r="J999" s="30" t="str">
        <x:v>79dacce4bdf7c68db39c5a559b3a5cae6465b5e75f34738a13bdd32a52ac926e</x:v>
      </x:c>
      <x:c r="K999" s="30" t="str">
        <x:v>1c621ee5a747c7fad828b1c544138cef80c5fbdb80ac0b57ab36088c920708d5</x:v>
      </x:c>
      <x:c r="L999" s="30" t="n">
        <x:v>659</x:v>
      </x:c>
      <x:c r="M999" s="30" t="str">
        <x:v>{"completion_tokens": 2, "prompt_tokens": 525, "total_tokens": 527, "completion_tokens_details": null, "prompt_tokens_details": {"audio_tokens": null, "cached_tokens": 512}, "prompt_cache_hit_tokens": 512, "prompt_cache_miss_tokens": 13}</x:v>
      </x:c>
      <x:c r="N999" s="30" t="str">
        <x:v>correct</x:v>
      </x:c>
      <x:c r="O999" s="30" t="str">
        <x:v>The model answer 'Science fiction' matches the benchmark gold answer exactly, providing the complete and correct genre Christopher expressed enthusiasm about exploring more.</x:v>
      </x:c>
      <x:c r="P999" s="30" t="str">
        <x:v>LongCat-2.0</x:v>
      </x:c>
      <x:c r="Q999" s="30" t="str">
        <x:v>LongCat-2.0</x:v>
      </x:c>
      <x:c r="R999" s="30" t="n">
        <x:v>2051.44</x:v>
      </x:c>
      <x:c r="S999" s="30" t="str">
        <x:v>{"completion_tokens": 38, "prompt_tokens": 133, "total_tokens": 171,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0">
      <x:c r="A1000" s="30" t="str">
        <x:v>memos_medium:3321</x:v>
      </x:c>
      <x:c r="B1000" s="30" t="str">
        <x:v>medium</x:v>
      </x:c>
      <x:c r="C1000" s="30" t="str">
        <x:v>Basic Fact Recall</x:v>
      </x:c>
      <x:c r="D1000" s="30" t="n">
        <x:v>3</x:v>
      </x:c>
      <x:c r="E1000" s="30" t="str">
        <x:v>What genre did Christopher express enthusiasm about exploring more?</x:v>
      </x:c>
      <x:c r="F1000" s="30" t="str">
        <x:v>Science fiction</x:v>
      </x:c>
      <x:c r="G1000" s="30" t="str">
        <x:v>Science fiction</x:v>
      </x:c>
      <x:c r="H1000" s="30" t="str">
        <x:v>deepseek-v4-flash</x:v>
      </x:c>
      <x:c r="I1000" s="30" t="str">
        <x:v>deepseek-v4-flash</x:v>
      </x:c>
      <x:c r="J1000" s="30" t="str">
        <x:v>79dacce4bdf7c68db39c5a559b3a5cae6465b5e75f34738a13bdd32a52ac926e</x:v>
      </x:c>
      <x:c r="K1000" s="30" t="str">
        <x:v>1c621ee5a747c7fad828b1c544138cef80c5fbdb80ac0b57ab36088c920708d5</x:v>
      </x:c>
      <x:c r="L1000" s="30" t="n">
        <x:v>564.49</x:v>
      </x:c>
      <x:c r="M1000" s="30" t="str">
        <x:v>{"completion_tokens": 2, "prompt_tokens": 525, "total_tokens": 527, "completion_tokens_details": null, "prompt_tokens_details": {"audio_tokens": null, "cached_tokens": 512}, "prompt_cache_hit_tokens": 512, "prompt_cache_miss_tokens": 13}</x:v>
      </x:c>
      <x:c r="N1000" s="30" t="str">
        <x:v>correct</x:v>
      </x:c>
      <x:c r="O1000" s="30" t="str">
        <x:v>The model answer 'Science fiction' matches the benchmark gold answer exactly, providing the complete and correct genre Christopher expressed enthusiasm about exploring more.</x:v>
      </x:c>
      <x:c r="P1000" s="30" t="str">
        <x:v>LongCat-2.0</x:v>
      </x:c>
      <x:c r="Q1000" s="30" t="str">
        <x:v>LongCat-2.0</x:v>
      </x:c>
      <x:c r="R1000" s="30" t="n">
        <x:v>2143.34</x:v>
      </x:c>
      <x:c r="S1000" s="30" t="str">
        <x:v>{"completion_tokens": 38, "prompt_tokens": 133, "total_tokens": 171,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01">
      <x:c r="A1001" s="30" t="str">
        <x:v>memos_medium:3391</x:v>
      </x:c>
      <x:c r="B1001" s="30" t="str">
        <x:v>medium</x:v>
      </x:c>
      <x:c r="C1001" s="30" t="str">
        <x:v>Generalization &amp; Application</x:v>
      </x:c>
      <x:c r="D1001" s="30" t="n">
        <x:v>1</x:v>
      </x:c>
      <x:c r="E1001" s="30" t="str">
        <x:v>Given Christopher's preference for convertible skirts, what type of clothing might he choose for an event on Nov 20, 2030, that requires transitioning from casual to formal attire?</x:v>
      </x:c>
      <x:c r="F1001" s="30" t="str">
        <x:v>Convertible skirts.</x:v>
      </x:c>
      <x:c r="G1001" s="30" t="str">
        <x:v>Convertible skirt</x:v>
      </x:c>
      <x:c r="H1001" s="30" t="str">
        <x:v>deepseek-v4-flash</x:v>
      </x:c>
      <x:c r="I1001" s="30" t="str">
        <x:v>deepseek-v4-flash</x:v>
      </x:c>
      <x:c r="J1001" s="30" t="str">
        <x:v>afc5cad5cbc3bd5d054e7fc85a0226136e091f9fc0dfec0938ab2e645a386449</x:v>
      </x:c>
      <x:c r="K1001" s="30" t="str">
        <x:v>d5d772401a631b05ebfb0bf51db53e447b719c3731ab761077a4e62d4701f6f3</x:v>
      </x:c>
      <x:c r="L1001" s="30" t="n">
        <x:v>731.5</x:v>
      </x:c>
      <x:c r="M1001" s="30" t="str">
        <x:v>{"completion_tokens": 3, "prompt_tokens": 593, "total_tokens": 596, "completion_tokens_details": null, "prompt_tokens_details": {"audio_tokens": null, "cached_tokens": 512}, "prompt_cache_hit_tokens": 512, "prompt_cache_miss_tokens": 81}</x:v>
      </x:c>
      <x:c r="N1001" s="30" t="str">
        <x:v>correct</x:v>
      </x:c>
      <x:c r="O1001" s="30" t="str">
        <x:v>The model answer 'Convertible skirt' is semantically equivalent to the gold answer 'Convertible skirts,' differing only in singular vs. plural form, which does not change the meaning.</x:v>
      </x:c>
      <x:c r="P1001" s="30" t="str">
        <x:v>LongCat-2.0</x:v>
      </x:c>
      <x:c r="Q1001" s="30" t="str">
        <x:v>LongCat-2.0</x:v>
      </x:c>
      <x:c r="R1001" s="30" t="n">
        <x:v>8200.55</x:v>
      </x:c>
      <x:c r="S1001" s="30" t="str">
        <x:v>{"completion_tokens": 48, "prompt_tokens": 164,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02">
      <x:c r="A1002" s="30" t="str">
        <x:v>memos_medium:3391</x:v>
      </x:c>
      <x:c r="B1002" s="30" t="str">
        <x:v>medium</x:v>
      </x:c>
      <x:c r="C1002" s="30" t="str">
        <x:v>Generalization &amp; Application</x:v>
      </x:c>
      <x:c r="D1002" s="30" t="n">
        <x:v>2</x:v>
      </x:c>
      <x:c r="E1002" s="30" t="str">
        <x:v>Given Christopher's preference for convertible skirts, what type of clothing might he choose for an event on Nov 20, 2030, that requires transitioning from casual to formal attire?</x:v>
      </x:c>
      <x:c r="F1002" s="30" t="str">
        <x:v>Convertible skirts.</x:v>
      </x:c>
      <x:c r="G1002" s="30" t="str">
        <x:v>Convertible skirt</x:v>
      </x:c>
      <x:c r="H1002" s="30" t="str">
        <x:v>deepseek-v4-flash</x:v>
      </x:c>
      <x:c r="I1002" s="30" t="str">
        <x:v>deepseek-v4-flash</x:v>
      </x:c>
      <x:c r="J1002" s="30" t="str">
        <x:v>afc5cad5cbc3bd5d054e7fc85a0226136e091f9fc0dfec0938ab2e645a386449</x:v>
      </x:c>
      <x:c r="K1002" s="30" t="str">
        <x:v>d5d772401a631b05ebfb0bf51db53e447b719c3731ab761077a4e62d4701f6f3</x:v>
      </x:c>
      <x:c r="L1002" s="30" t="n">
        <x:v>426.78</x:v>
      </x:c>
      <x:c r="M1002" s="30" t="str">
        <x:v>{"completion_tokens": 3, "prompt_tokens": 593, "total_tokens": 596, "completion_tokens_details": null, "prompt_tokens_details": {"audio_tokens": null, "cached_tokens": 512}, "prompt_cache_hit_tokens": 512, "prompt_cache_miss_tokens": 81}</x:v>
      </x:c>
      <x:c r="N1002" s="30" t="str">
        <x:v>correct</x:v>
      </x:c>
      <x:c r="O1002" s="30" t="str">
        <x:v>The model answer 'Convertible skirt' is semantically equivalent to the gold answer 'Convertible skirts,' differing only in singular vs. plural form, which does not change the meaning.</x:v>
      </x:c>
      <x:c r="P1002" s="30" t="str">
        <x:v>LongCat-2.0</x:v>
      </x:c>
      <x:c r="Q1002" s="30" t="str">
        <x:v>LongCat-2.0</x:v>
      </x:c>
      <x:c r="R1002" s="30" t="n">
        <x:v>8515.14</x:v>
      </x:c>
      <x:c r="S1002" s="30" t="str">
        <x:v>{"completion_tokens": 48, "prompt_tokens": 164,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03">
      <x:c r="A1003" s="30" t="str">
        <x:v>memos_medium:3391</x:v>
      </x:c>
      <x:c r="B1003" s="30" t="str">
        <x:v>medium</x:v>
      </x:c>
      <x:c r="C1003" s="30" t="str">
        <x:v>Generalization &amp; Application</x:v>
      </x:c>
      <x:c r="D1003" s="30" t="n">
        <x:v>3</x:v>
      </x:c>
      <x:c r="E1003" s="30" t="str">
        <x:v>Given Christopher's preference for convertible skirts, what type of clothing might he choose for an event on Nov 20, 2030, that requires transitioning from casual to formal attire?</x:v>
      </x:c>
      <x:c r="F1003" s="30" t="str">
        <x:v>Convertible skirts.</x:v>
      </x:c>
      <x:c r="G1003" s="30" t="str">
        <x:v>Convertible skirt</x:v>
      </x:c>
      <x:c r="H1003" s="30" t="str">
        <x:v>deepseek-v4-flash</x:v>
      </x:c>
      <x:c r="I1003" s="30" t="str">
        <x:v>deepseek-v4-flash</x:v>
      </x:c>
      <x:c r="J1003" s="30" t="str">
        <x:v>afc5cad5cbc3bd5d054e7fc85a0226136e091f9fc0dfec0938ab2e645a386449</x:v>
      </x:c>
      <x:c r="K1003" s="30" t="str">
        <x:v>d5d772401a631b05ebfb0bf51db53e447b719c3731ab761077a4e62d4701f6f3</x:v>
      </x:c>
      <x:c r="L1003" s="30" t="n">
        <x:v>562.2</x:v>
      </x:c>
      <x:c r="M1003" s="30" t="str">
        <x:v>{"completion_tokens": 3, "prompt_tokens": 593, "total_tokens": 596, "completion_tokens_details": null, "prompt_tokens_details": {"audio_tokens": null, "cached_tokens": 512}, "prompt_cache_hit_tokens": 512, "prompt_cache_miss_tokens": 81}</x:v>
      </x:c>
      <x:c r="N1003" s="30" t="str">
        <x:v>correct</x:v>
      </x:c>
      <x:c r="O1003" s="30" t="str">
        <x:v>The model answer 'Convertible skirt' is semantically equivalent to the gold answer 'Convertible skirts.' The only difference is singular vs. plural form, which does not change the meaning. The answer is complete and does not add any false or unsupported information.</x:v>
      </x:c>
      <x:c r="P1003" s="30" t="str">
        <x:v>LongCat-2.0</x:v>
      </x:c>
      <x:c r="Q1003" s="30" t="str">
        <x:v>LongCat-2.0</x:v>
      </x:c>
      <x:c r="R1003" s="30" t="n">
        <x:v>8474.34</x:v>
      </x:c>
      <x:c r="S1003" s="30" t="str">
        <x:v>{"completion_tokens": 63, "prompt_tokens": 164, "total_tokens": 227,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04">
      <x:c r="A1004" s="30" t="str">
        <x:v>memos_medium:3401</x:v>
      </x:c>
      <x:c r="B1004" s="30" t="str">
        <x:v>medium</x:v>
      </x:c>
      <x:c r="C1004" s="30" t="str">
        <x:v>Generalization &amp; Application</x:v>
      </x:c>
      <x:c r="D1004" s="30" t="n">
        <x:v>1</x:v>
      </x:c>
      <x:c r="E1004" s="30" t="str">
        <x:v>What new genre of games might Christopher explore after August 21, 2031?</x:v>
      </x:c>
      <x:c r="F1004" s="30" t="str">
        <x:v>Games offering social interactions and new insights.</x:v>
      </x:c>
      <x:c r="G1004" s="30" t="str">
        <x:v>First-person shooters.</x:v>
      </x:c>
      <x:c r="H1004" s="30" t="str">
        <x:v>deepseek-v4-flash</x:v>
      </x:c>
      <x:c r="I1004" s="30" t="str">
        <x:v>deepseek-v4-flash</x:v>
      </x:c>
      <x:c r="J1004" s="30" t="str">
        <x:v>bc46e636d0e7d99aab2c7fc8b5d1c09c2eb681ba8ec96ba5c2c6f446e44546cb</x:v>
      </x:c>
      <x:c r="K1004" s="30" t="str">
        <x:v>26338a48a7448826cf7eb8c7aa01962eb6a907803532879782b604be24bcb887</x:v>
      </x:c>
      <x:c r="L1004" s="30" t="n">
        <x:v>518.33</x:v>
      </x:c>
      <x:c r="M1004" s="30" t="str">
        <x:v>{"completion_tokens": 5, "prompt_tokens": 604, "total_tokens": 609, "completion_tokens_details": null, "prompt_tokens_details": {"audio_tokens": null, "cached_tokens": 512}, "prompt_cache_hit_tokens": 512, "prompt_cache_miss_tokens": 92}</x:v>
      </x:c>
      <x:c r="N1004" s="30" t="str">
        <x:v>hallucination</x:v>
      </x:c>
      <x:c r="O1004"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concrete claim that contradicts the gold answer.</x:v>
      </x:c>
      <x:c r="P1004" s="30" t="str">
        <x:v>LongCat-2.0</x:v>
      </x:c>
      <x:c r="Q1004" s="30" t="str">
        <x:v>LongCat-2.0</x:v>
      </x:c>
      <x:c r="R1004" s="30" t="n">
        <x:v>4198.05</x:v>
      </x:c>
      <x:c r="S1004" s="30" t="str">
        <x:v>{"completion_tokens": 86, "prompt_tokens": 149, "total_tokens": 235,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5">
      <x:c r="A1005" s="30" t="str">
        <x:v>memos_medium:3401</x:v>
      </x:c>
      <x:c r="B1005" s="30" t="str">
        <x:v>medium</x:v>
      </x:c>
      <x:c r="C1005" s="30" t="str">
        <x:v>Generalization &amp; Application</x:v>
      </x:c>
      <x:c r="D1005" s="30" t="n">
        <x:v>2</x:v>
      </x:c>
      <x:c r="E1005" s="30" t="str">
        <x:v>What new genre of games might Christopher explore after August 21, 2031?</x:v>
      </x:c>
      <x:c r="F1005" s="30" t="str">
        <x:v>Games offering social interactions and new insights.</x:v>
      </x:c>
      <x:c r="G1005" s="30" t="str">
        <x:v>First-person shooters.</x:v>
      </x:c>
      <x:c r="H1005" s="30" t="str">
        <x:v>deepseek-v4-flash</x:v>
      </x:c>
      <x:c r="I1005" s="30" t="str">
        <x:v>deepseek-v4-flash</x:v>
      </x:c>
      <x:c r="J1005" s="30" t="str">
        <x:v>bc46e636d0e7d99aab2c7fc8b5d1c09c2eb681ba8ec96ba5c2c6f446e44546cb</x:v>
      </x:c>
      <x:c r="K1005" s="30" t="str">
        <x:v>26338a48a7448826cf7eb8c7aa01962eb6a907803532879782b604be24bcb887</x:v>
      </x:c>
      <x:c r="L1005" s="30" t="n">
        <x:v>509.95</x:v>
      </x:c>
      <x:c r="M1005" s="30" t="str">
        <x:v>{"completion_tokens": 5, "prompt_tokens": 604, "total_tokens": 609, "completion_tokens_details": null, "prompt_tokens_details": {"audio_tokens": null, "cached_tokens": 512}, "prompt_cache_hit_tokens": 512, "prompt_cache_miss_tokens": 92}</x:v>
      </x:c>
      <x:c r="N1005" s="30" t="str">
        <x:v>hallucination</x:v>
      </x:c>
      <x:c r="O1005"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the intended answer. This constitutes a contradiction/unsupported claim.</x:v>
      </x:c>
      <x:c r="P1005" s="30" t="str">
        <x:v>LongCat-2.0</x:v>
      </x:c>
      <x:c r="Q1005" s="30" t="str">
        <x:v>LongCat-2.0</x:v>
      </x:c>
      <x:c r="R1005" s="30" t="n">
        <x:v>3993.05</x:v>
      </x:c>
      <x:c r="S1005" s="30" t="str">
        <x:v>{"completion_tokens": 83, "prompt_tokens": 149,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6">
      <x:c r="A1006" s="30" t="str">
        <x:v>memos_medium:3401</x:v>
      </x:c>
      <x:c r="B1006" s="30" t="str">
        <x:v>medium</x:v>
      </x:c>
      <x:c r="C1006" s="30" t="str">
        <x:v>Generalization &amp; Application</x:v>
      </x:c>
      <x:c r="D1006" s="30" t="n">
        <x:v>3</x:v>
      </x:c>
      <x:c r="E1006" s="30" t="str">
        <x:v>What new genre of games might Christopher explore after August 21, 2031?</x:v>
      </x:c>
      <x:c r="F1006" s="30" t="str">
        <x:v>Games offering social interactions and new insights.</x:v>
      </x:c>
      <x:c r="G1006" s="30" t="str">
        <x:v>First-person shooters.</x:v>
      </x:c>
      <x:c r="H1006" s="30" t="str">
        <x:v>deepseek-v4-flash</x:v>
      </x:c>
      <x:c r="I1006" s="30" t="str">
        <x:v>deepseek-v4-flash</x:v>
      </x:c>
      <x:c r="J1006" s="30" t="str">
        <x:v>bc46e636d0e7d99aab2c7fc8b5d1c09c2eb681ba8ec96ba5c2c6f446e44546cb</x:v>
      </x:c>
      <x:c r="K1006" s="30" t="str">
        <x:v>26338a48a7448826cf7eb8c7aa01962eb6a907803532879782b604be24bcb887</x:v>
      </x:c>
      <x:c r="L1006" s="30" t="n">
        <x:v>525.53</x:v>
      </x:c>
      <x:c r="M1006" s="30" t="str">
        <x:v>{"completion_tokens": 5, "prompt_tokens": 604, "total_tokens": 609, "completion_tokens_details": null, "prompt_tokens_details": {"audio_tokens": null, "cached_tokens": 512}, "prompt_cache_hit_tokens": 512, "prompt_cache_miss_tokens": 92}</x:v>
      </x:c>
      <x:c r="N1006" s="30" t="str">
        <x:v>hallucination</x:v>
      </x:c>
      <x:c r="O1006" s="30" t="str">
        <x:v>The gold answer states that Christopher might explore games offering social interactions and new insights. The model answer 'First-person shooters' is a concrete, specific genre that does not match or encompass the gold answer's focus on social interactions and new insights, and there is no indication that first-person shooters are being used as a stand-in for that concept. This constitutes an unsupported, incorrect claim.</x:v>
      </x:c>
      <x:c r="P1006" s="30" t="str">
        <x:v>LongCat-2.0</x:v>
      </x:c>
      <x:c r="Q1006" s="30" t="str">
        <x:v>LongCat-2.0</x:v>
      </x:c>
      <x:c r="R1006" s="30" t="n">
        <x:v>4191.12</x:v>
      </x:c>
      <x:c r="S1006" s="30" t="str">
        <x:v>{"completion_tokens": 89, "prompt_tokens": 149, "total_tokens": 238,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7">
      <x:c r="A1007" s="30" t="str">
        <x:v>memos_medium:342</x:v>
      </x:c>
      <x:c r="B1007" s="30" t="str">
        <x:v>medium</x:v>
      </x:c>
      <x:c r="C1007" s="30" t="str">
        <x:v>Memory Conflict</x:v>
      </x:c>
      <x:c r="D1007" s="30" t="n">
        <x:v>1</x:v>
      </x:c>
      <x:c r="E1007" s="30" t="str">
        <x:v>Did Johnson Joseph express disinterest in using thematic cooperative board games at Albi B&amp;B?</x:v>
      </x:c>
      <x:c r="F1007" s="30" t="str">
        <x:v>No, he expressed excitement about using them.</x:v>
      </x:c>
      <x:c r="G1007" s="30" t="str">
        <x:v>No, he expressed excitement.</x:v>
      </x:c>
      <x:c r="H1007" s="30" t="str">
        <x:v>deepseek-v4-flash</x:v>
      </x:c>
      <x:c r="I1007" s="30" t="str">
        <x:v>deepseek-v4-flash</x:v>
      </x:c>
      <x:c r="J1007" s="30" t="str">
        <x:v>b3a7f1c0e13de9268d1d365d42fc6a262de524b7a7ded972d6cd92dfdfda7ccc</x:v>
      </x:c>
      <x:c r="K1007" s="30" t="str">
        <x:v>5feec14b4c1af55632c2a929f065b9b014d2f8fa3f98621ff7a51624f926f4f7</x:v>
      </x:c>
      <x:c r="L1007" s="30" t="n">
        <x:v>883.38</x:v>
      </x:c>
      <x:c r="M1007" s="30" t="str">
        <x:v>{"completion_tokens": 6, "prompt_tokens": 574, "total_tokens": 580, "completion_tokens_details": null, "prompt_tokens_details": {"audio_tokens": null, "cached_tokens": 512}, "prompt_cache_hit_tokens": 512, "prompt_cache_miss_tokens": 62}</x:v>
      </x:c>
      <x:c r="N1007" s="30" t="str">
        <x:v>correct</x:v>
      </x:c>
      <x:c r="O1007" s="30" t="str">
        <x:v>The model answer 'No, he expressed excitement' semantically conveys the complete gold answer 'No, he expressed excitement about using them.' The omission of 'about using them' does not change the meaning or add any false claim, so it is a correct paraphrase.</x:v>
      </x:c>
      <x:c r="P1007" s="30" t="str">
        <x:v>LongCat-2.0</x:v>
      </x:c>
      <x:c r="Q1007" s="30" t="str">
        <x:v>LongCat-2.0</x:v>
      </x:c>
      <x:c r="R1007" s="30" t="n">
        <x:v>2535.02</x:v>
      </x:c>
      <x:c r="S1007" s="30" t="str">
        <x:v>{"completion_tokens": 66, "prompt_tokens": 150,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8">
      <x:c r="A1008" s="30" t="str">
        <x:v>memos_medium:342</x:v>
      </x:c>
      <x:c r="B1008" s="30" t="str">
        <x:v>medium</x:v>
      </x:c>
      <x:c r="C1008" s="30" t="str">
        <x:v>Memory Conflict</x:v>
      </x:c>
      <x:c r="D1008" s="30" t="n">
        <x:v>2</x:v>
      </x:c>
      <x:c r="E1008" s="30" t="str">
        <x:v>Did Johnson Joseph express disinterest in using thematic cooperative board games at Albi B&amp;B?</x:v>
      </x:c>
      <x:c r="F1008" s="30" t="str">
        <x:v>No, he expressed excitement about using them.</x:v>
      </x:c>
      <x:c r="G1008" s="30" t="str">
        <x:v>No, he expressed excitement.</x:v>
      </x:c>
      <x:c r="H1008" s="30" t="str">
        <x:v>deepseek-v4-flash</x:v>
      </x:c>
      <x:c r="I1008" s="30" t="str">
        <x:v>deepseek-v4-flash</x:v>
      </x:c>
      <x:c r="J1008" s="30" t="str">
        <x:v>b3a7f1c0e13de9268d1d365d42fc6a262de524b7a7ded972d6cd92dfdfda7ccc</x:v>
      </x:c>
      <x:c r="K1008" s="30" t="str">
        <x:v>5feec14b4c1af55632c2a929f065b9b014d2f8fa3f98621ff7a51624f926f4f7</x:v>
      </x:c>
      <x:c r="L1008" s="30" t="n">
        <x:v>1025.64</x:v>
      </x:c>
      <x:c r="M1008" s="30" t="str">
        <x:v>{"completion_tokens": 6, "prompt_tokens": 574, "total_tokens": 580, "completion_tokens_details": null, "prompt_tokens_details": {"audio_tokens": null, "cached_tokens": 512}, "prompt_cache_hit_tokens": 512, "prompt_cache_miss_tokens": 62}</x:v>
      </x:c>
      <x:c r="N1008" s="30" t="str">
        <x:v>correct</x:v>
      </x:c>
      <x:c r="O1008" s="30" t="str">
        <x:v>The model answer 'No, he expressed excitement' semantically conveys the complete gold answer 'No, he expressed excitement about using them.' The omission of 'about using them' does not change the meaning or add any false claim; it is a concise but complete restatement of the gold answer.</x:v>
      </x:c>
      <x:c r="P1008" s="30" t="str">
        <x:v>LongCat-2.0</x:v>
      </x:c>
      <x:c r="Q1008" s="30" t="str">
        <x:v>LongCat-2.0</x:v>
      </x:c>
      <x:c r="R1008" s="30" t="n">
        <x:v>3767.14</x:v>
      </x:c>
      <x:c r="S1008" s="30" t="str">
        <x:v>{"completion_tokens": 70, "prompt_tokens": 150,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09">
      <x:c r="A1009" s="30" t="str">
        <x:v>memos_medium:342</x:v>
      </x:c>
      <x:c r="B1009" s="30" t="str">
        <x:v>medium</x:v>
      </x:c>
      <x:c r="C1009" s="30" t="str">
        <x:v>Memory Conflict</x:v>
      </x:c>
      <x:c r="D1009" s="30" t="n">
        <x:v>3</x:v>
      </x:c>
      <x:c r="E1009" s="30" t="str">
        <x:v>Did Johnson Joseph express disinterest in using thematic cooperative board games at Albi B&amp;B?</x:v>
      </x:c>
      <x:c r="F1009" s="30" t="str">
        <x:v>No, he expressed excitement about using them.</x:v>
      </x:c>
      <x:c r="G1009" s="30" t="str">
        <x:v>No, he expressed excitement.</x:v>
      </x:c>
      <x:c r="H1009" s="30" t="str">
        <x:v>deepseek-v4-flash</x:v>
      </x:c>
      <x:c r="I1009" s="30" t="str">
        <x:v>deepseek-v4-flash</x:v>
      </x:c>
      <x:c r="J1009" s="30" t="str">
        <x:v>b3a7f1c0e13de9268d1d365d42fc6a262de524b7a7ded972d6cd92dfdfda7ccc</x:v>
      </x:c>
      <x:c r="K1009" s="30" t="str">
        <x:v>5feec14b4c1af55632c2a929f065b9b014d2f8fa3f98621ff7a51624f926f4f7</x:v>
      </x:c>
      <x:c r="L1009" s="30" t="n">
        <x:v>856.23</x:v>
      </x:c>
      <x:c r="M1009" s="30" t="str">
        <x:v>{"completion_tokens": 6, "prompt_tokens": 574, "total_tokens": 580, "completion_tokens_details": null, "prompt_tokens_details": {"audio_tokens": null, "cached_tokens": 512}, "prompt_cache_hit_tokens": 512, "prompt_cache_miss_tokens": 62}</x:v>
      </x:c>
      <x:c r="N1009" s="30" t="str">
        <x:v>correct</x:v>
      </x:c>
      <x:c r="O1009" s="30" t="str">
        <x:v>The model answer 'No, he expressed excitement' semantically conveys the complete gold answer 'No, he expressed excitement about using them.' The omission of 'about using them' does not change the meaning or add any false claim, so it is a correct paraphrase.</x:v>
      </x:c>
      <x:c r="P1009" s="30" t="str">
        <x:v>LongCat-2.0</x:v>
      </x:c>
      <x:c r="Q1009" s="30" t="str">
        <x:v>LongCat-2.0</x:v>
      </x:c>
      <x:c r="R1009" s="30" t="n">
        <x:v>2867.52</x:v>
      </x:c>
      <x:c r="S1009" s="30" t="str">
        <x:v>{"completion_tokens": 66, "prompt_tokens": 150, "total_tokens": 216,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0">
      <x:c r="A1010" s="30" t="str">
        <x:v>memos_medium:3441</x:v>
      </x:c>
      <x:c r="B1010" s="30" t="str">
        <x:v>medium</x:v>
      </x:c>
      <x:c r="C1010" s="30" t="str">
        <x:v>Basic Fact Recall</x:v>
      </x:c>
      <x:c r="D1010" s="30" t="n">
        <x:v>1</x:v>
      </x:c>
      <x:c r="E1010" s="30" t="str">
        <x:v>What genre did Christopher decide to explore on June 13, 2034?</x:v>
      </x:c>
      <x:c r="F1010" s="30" t="str">
        <x:v>Diverse literary genres for entertainment and escapism.</x:v>
      </x:c>
      <x:c r="G1010" s="30" t="str">
        <x:v>Diverse literary genres</x:v>
      </x:c>
      <x:c r="H1010" s="30" t="str">
        <x:v>deepseek-v4-flash</x:v>
      </x:c>
      <x:c r="I1010" s="30" t="str">
        <x:v>deepseek-v4-flash</x:v>
      </x:c>
      <x:c r="J1010" s="30" t="str">
        <x:v>dcf611cc9ca5857d4373896de7993adbb56b1886031a915e010d68358c660db6</x:v>
      </x:c>
      <x:c r="K1010" s="30" t="str">
        <x:v>c753d57ac8dfc145622ed20b1854aa8f5f13117abd9eef43a5b1b2f05fd89534</x:v>
      </x:c>
      <x:c r="L1010" s="30" t="n">
        <x:v>856.23</x:v>
      </x:c>
      <x:c r="M1010" s="30" t="str">
        <x:v>{"completion_tokens": 4, "prompt_tokens": 536, "total_tokens": 540, "completion_tokens_details": null, "prompt_tokens_details": {"audio_tokens": null, "cached_tokens": 512}, "prompt_cache_hit_tokens": 512, "prompt_cache_miss_tokens": 24}</x:v>
      </x:c>
      <x:c r="N1010" s="30" t="str">
        <x:v>omission</x:v>
      </x:c>
      <x:c r="O1010" s="30" t="str">
        <x:v>The model answer 'Diverse literary genres' captures the core of the gold answer but omits the purpose 'for entertainment and escapism,' making it an incomplete subset of the full gold answer.</x:v>
      </x:c>
      <x:c r="P1010" s="30" t="str">
        <x:v>LongCat-2.0</x:v>
      </x:c>
      <x:c r="Q1010" s="30" t="str">
        <x:v>LongCat-2.0</x:v>
      </x:c>
      <x:c r="R1010" s="30" t="n">
        <x:v>2156.71</x:v>
      </x:c>
      <x:c r="S1010"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1">
      <x:c r="A1011" s="30" t="str">
        <x:v>memos_medium:3441</x:v>
      </x:c>
      <x:c r="B1011" s="30" t="str">
        <x:v>medium</x:v>
      </x:c>
      <x:c r="C1011" s="30" t="str">
        <x:v>Basic Fact Recall</x:v>
      </x:c>
      <x:c r="D1011" s="30" t="n">
        <x:v>2</x:v>
      </x:c>
      <x:c r="E1011" s="30" t="str">
        <x:v>What genre did Christopher decide to explore on June 13, 2034?</x:v>
      </x:c>
      <x:c r="F1011" s="30" t="str">
        <x:v>Diverse literary genres for entertainment and escapism.</x:v>
      </x:c>
      <x:c r="G1011" s="30" t="str">
        <x:v>Diverse literary genres</x:v>
      </x:c>
      <x:c r="H1011" s="30" t="str">
        <x:v>deepseek-v4-flash</x:v>
      </x:c>
      <x:c r="I1011" s="30" t="str">
        <x:v>deepseek-v4-flash</x:v>
      </x:c>
      <x:c r="J1011" s="30" t="str">
        <x:v>dcf611cc9ca5857d4373896de7993adbb56b1886031a915e010d68358c660db6</x:v>
      </x:c>
      <x:c r="K1011" s="30" t="str">
        <x:v>c753d57ac8dfc145622ed20b1854aa8f5f13117abd9eef43a5b1b2f05fd89534</x:v>
      </x:c>
      <x:c r="L1011" s="30" t="n">
        <x:v>856.23</x:v>
      </x:c>
      <x:c r="M1011" s="30" t="str">
        <x:v>{"completion_tokens": 4, "prompt_tokens": 536, "total_tokens": 540, "completion_tokens_details": null, "prompt_tokens_details": {"audio_tokens": null, "cached_tokens": 512}, "prompt_cache_hit_tokens": 512, "prompt_cache_miss_tokens": 24}</x:v>
      </x:c>
      <x:c r="N1011" s="30" t="str">
        <x:v>omission</x:v>
      </x:c>
      <x:c r="O1011" s="30" t="str">
        <x:v>The model answer 'Diverse literary genres' captures the core of the gold answer but omits the purpose 'for entertainment and escapism,' making it an incomplete subset of the full gold answer.</x:v>
      </x:c>
      <x:c r="P1011" s="30" t="str">
        <x:v>LongCat-2.0</x:v>
      </x:c>
      <x:c r="Q1011" s="30" t="str">
        <x:v>LongCat-2.0</x:v>
      </x:c>
      <x:c r="R1011" s="30" t="n">
        <x:v>2021.7</x:v>
      </x:c>
      <x:c r="S1011"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2">
      <x:c r="A1012" s="30" t="str">
        <x:v>memos_medium:3441</x:v>
      </x:c>
      <x:c r="B1012" s="30" t="str">
        <x:v>medium</x:v>
      </x:c>
      <x:c r="C1012" s="30" t="str">
        <x:v>Basic Fact Recall</x:v>
      </x:c>
      <x:c r="D1012" s="30" t="n">
        <x:v>3</x:v>
      </x:c>
      <x:c r="E1012" s="30" t="str">
        <x:v>What genre did Christopher decide to explore on June 13, 2034?</x:v>
      </x:c>
      <x:c r="F1012" s="30" t="str">
        <x:v>Diverse literary genres for entertainment and escapism.</x:v>
      </x:c>
      <x:c r="G1012" s="30" t="str">
        <x:v>Diverse literary genres</x:v>
      </x:c>
      <x:c r="H1012" s="30" t="str">
        <x:v>deepseek-v4-flash</x:v>
      </x:c>
      <x:c r="I1012" s="30" t="str">
        <x:v>deepseek-v4-flash</x:v>
      </x:c>
      <x:c r="J1012" s="30" t="str">
        <x:v>dcf611cc9ca5857d4373896de7993adbb56b1886031a915e010d68358c660db6</x:v>
      </x:c>
      <x:c r="K1012" s="30" t="str">
        <x:v>c753d57ac8dfc145622ed20b1854aa8f5f13117abd9eef43a5b1b2f05fd89534</x:v>
      </x:c>
      <x:c r="L1012" s="30" t="n">
        <x:v>663.87</x:v>
      </x:c>
      <x:c r="M1012" s="30" t="str">
        <x:v>{"completion_tokens": 4, "prompt_tokens": 536, "total_tokens": 540, "completion_tokens_details": null, "prompt_tokens_details": {"audio_tokens": null, "cached_tokens": 512}, "prompt_cache_hit_tokens": 512, "prompt_cache_miss_tokens": 24}</x:v>
      </x:c>
      <x:c r="N1012" s="30" t="str">
        <x:v>omission</x:v>
      </x:c>
      <x:c r="O1012" s="30" t="str">
        <x:v>The model answer 'Diverse literary genres' captures the core of the gold answer but omits the purpose 'for entertainment and escapism,' making it an incomplete subset of the full gold answer.</x:v>
      </x:c>
      <x:c r="P1012" s="30" t="str">
        <x:v>LongCat-2.0</x:v>
      </x:c>
      <x:c r="Q1012" s="30" t="str">
        <x:v>LongCat-2.0</x:v>
      </x:c>
      <x:c r="R1012" s="30" t="n">
        <x:v>2777.55</x:v>
      </x:c>
      <x:c r="S1012"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3">
      <x:c r="A1013" s="30" t="str">
        <x:v>memos_medium:3466</x:v>
      </x:c>
      <x:c r="B1013" s="30" t="str">
        <x:v>medium</x:v>
      </x:c>
      <x:c r="C1013" s="30" t="str">
        <x:v>Memory Conflict</x:v>
      </x:c>
      <x:c r="D1013" s="30" t="n">
        <x:v>1</x:v>
      </x:c>
      <x:c r="E1013" s="30" t="str">
        <x:v>Did Christopher Anderson express a lack of commitment to sustaining senior programs in December 2035?</x:v>
      </x:c>
      <x:c r="F1013" s="30" t="str">
        <x:v>He expressed fulfillment and commitment to sustaining senior programs.</x:v>
      </x:c>
      <x:c r="G1013" s="30" t="str">
        <x:v>No</x:v>
      </x:c>
      <x:c r="H1013" s="30" t="str">
        <x:v>deepseek-v4-flash</x:v>
      </x:c>
      <x:c r="I1013" s="30" t="str">
        <x:v>deepseek-v4-flash</x:v>
      </x:c>
      <x:c r="J1013" s="30" t="str">
        <x:v>4d65a1561b18bdd702208942f9dcc0d329a4a6ba1dc9a3f037d5716778b990aa</x:v>
      </x:c>
      <x:c r="K1013" s="30" t="str">
        <x:v>0cf3d85658409782d746da48123fd2286f1969c9a8f09fa40cf1c4eb0e8866d3</x:v>
      </x:c>
      <x:c r="L1013" s="30" t="n">
        <x:v>813.93</x:v>
      </x:c>
      <x:c r="M1013" s="30" t="str">
        <x:v>{"completion_tokens": 1, "prompt_tokens": 536, "total_tokens": 537, "completion_tokens_details": null, "prompt_tokens_details": {"audio_tokens": null, "cached_tokens": 512}, "prompt_cache_hit_tokens": 512, "prompt_cache_miss_tokens": 24}</x:v>
      </x:c>
      <x:c r="N1013" s="30" t="str">
        <x:v>hallucination</x:v>
      </x:c>
      <x:c r="O1013" s="30" t="str">
        <x:v>The gold answer states that Christopher Anderson expressed fulfillment and commitment to sustaining senior programs, meaning he did express commitment. The model answer 'No' directly contradicts this by implying he did not express commitment, which is a concrete false claim.</x:v>
      </x:c>
      <x:c r="P1013" s="30" t="str">
        <x:v>LongCat-2.0</x:v>
      </x:c>
      <x:c r="Q1013" s="30" t="str">
        <x:v>LongCat-2.0</x:v>
      </x:c>
      <x:c r="R1013" s="30" t="n">
        <x:v>3122.11</x:v>
      </x:c>
      <x:c r="S1013" s="30" t="str">
        <x:v>{"completion_tokens": 59, "prompt_tokens": 149,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14">
      <x:c r="A1014" s="30" t="str">
        <x:v>memos_medium:3466</x:v>
      </x:c>
      <x:c r="B1014" s="30" t="str">
        <x:v>medium</x:v>
      </x:c>
      <x:c r="C1014" s="30" t="str">
        <x:v>Memory Conflict</x:v>
      </x:c>
      <x:c r="D1014" s="30" t="n">
        <x:v>2</x:v>
      </x:c>
      <x:c r="E1014" s="30" t="str">
        <x:v>Did Christopher Anderson express a lack of commitment to sustaining senior programs in December 2035?</x:v>
      </x:c>
      <x:c r="F1014" s="30" t="str">
        <x:v>He expressed fulfillment and commitment to sustaining senior programs.</x:v>
      </x:c>
      <x:c r="G1014" s="30" t="str">
        <x:v>No</x:v>
      </x:c>
      <x:c r="H1014" s="30" t="str">
        <x:v>deepseek-v4-flash</x:v>
      </x:c>
      <x:c r="I1014" s="30" t="str">
        <x:v>deepseek-v4-flash</x:v>
      </x:c>
      <x:c r="J1014" s="30" t="str">
        <x:v>4d65a1561b18bdd702208942f9dcc0d329a4a6ba1dc9a3f037d5716778b990aa</x:v>
      </x:c>
      <x:c r="K1014" s="30" t="str">
        <x:v>0cf3d85658409782d746da48123fd2286f1969c9a8f09fa40cf1c4eb0e8866d3</x:v>
      </x:c>
      <x:c r="L1014" s="30" t="n">
        <x:v>786.62</x:v>
      </x:c>
      <x:c r="M1014" s="30" t="str">
        <x:v>{"completion_tokens": 1, "prompt_tokens": 536, "total_tokens": 537, "completion_tokens_details": null, "prompt_tokens_details": {"audio_tokens": null, "cached_tokens": 512}, "prompt_cache_hit_tokens": 512, "prompt_cache_miss_tokens": 24}</x:v>
      </x:c>
      <x:c r="N1014" s="30" t="str">
        <x:v>hallucination</x:v>
      </x:c>
      <x:c r="O1014" s="30" t="str">
        <x:v>The gold answer states that Christopher Anderson expressed fulfillment and commitment to sustaining senior programs, meaning he did express commitment. The model answer 'No' directly contradicts this by implying he did not express commitment, which is a concrete false claim.</x:v>
      </x:c>
      <x:c r="P1014" s="30" t="str">
        <x:v>LongCat-2.0</x:v>
      </x:c>
      <x:c r="Q1014" s="30" t="str">
        <x:v>LongCat-2.0</x:v>
      </x:c>
      <x:c r="R1014" s="30" t="n">
        <x:v>2434.4</x:v>
      </x:c>
      <x:c r="S1014" s="30" t="str">
        <x:v>{"completion_tokens": 59, "prompt_tokens": 149, "total_tokens": 208,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5">
      <x:c r="A1015" s="30" t="str">
        <x:v>memos_medium:3466</x:v>
      </x:c>
      <x:c r="B1015" s="30" t="str">
        <x:v>medium</x:v>
      </x:c>
      <x:c r="C1015" s="30" t="str">
        <x:v>Memory Conflict</x:v>
      </x:c>
      <x:c r="D1015" s="30" t="n">
        <x:v>3</x:v>
      </x:c>
      <x:c r="E1015" s="30" t="str">
        <x:v>Did Christopher Anderson express a lack of commitment to sustaining senior programs in December 2035?</x:v>
      </x:c>
      <x:c r="F1015" s="30" t="str">
        <x:v>He expressed fulfillment and commitment to sustaining senior programs.</x:v>
      </x:c>
      <x:c r="G1015" s="30" t="str">
        <x:v>No</x:v>
      </x:c>
      <x:c r="H1015" s="30" t="str">
        <x:v>deepseek-v4-flash</x:v>
      </x:c>
      <x:c r="I1015" s="30" t="str">
        <x:v>deepseek-v4-flash</x:v>
      </x:c>
      <x:c r="J1015" s="30" t="str">
        <x:v>4d65a1561b18bdd702208942f9dcc0d329a4a6ba1dc9a3f037d5716778b990aa</x:v>
      </x:c>
      <x:c r="K1015" s="30" t="str">
        <x:v>0cf3d85658409782d746da48123fd2286f1969c9a8f09fa40cf1c4eb0e8866d3</x:v>
      </x:c>
      <x:c r="L1015" s="30" t="n">
        <x:v>803.05</x:v>
      </x:c>
      <x:c r="M1015" s="30" t="str">
        <x:v>{"completion_tokens": 1, "prompt_tokens": 536, "total_tokens": 537, "completion_tokens_details": null, "prompt_tokens_details": {"audio_tokens": null, "cached_tokens": 512}, "prompt_cache_hit_tokens": 512, "prompt_cache_miss_tokens": 24}</x:v>
      </x:c>
      <x:c r="N1015" s="30" t="str">
        <x:v>hallucination</x:v>
      </x:c>
      <x:c r="O1015" s="30" t="str">
        <x:v>The gold answer states that Christopher Anderson expressed fulfillment and commitment to sustaining senior programs, while the model answer 'No' directly contradicts this by implying he did not express commitment. This is a concrete contradiction of the gold answer.</x:v>
      </x:c>
      <x:c r="P1015" s="30" t="str">
        <x:v>LongCat-2.0</x:v>
      </x:c>
      <x:c r="Q1015" s="30" t="str">
        <x:v>LongCat-2.0</x:v>
      </x:c>
      <x:c r="R1015" s="30" t="n">
        <x:v>2423.84</x:v>
      </x:c>
      <x:c r="S1015" s="30" t="str">
        <x:v>{"completion_tokens": 57, "prompt_tokens": 149,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6">
      <x:c r="A1016" s="30" t="str">
        <x:v>memos_medium:3467</x:v>
      </x:c>
      <x:c r="B1016" s="30" t="str">
        <x:v>medium</x:v>
      </x:c>
      <x:c r="C1016" s="30" t="str">
        <x:v>Memory Conflict</x:v>
      </x:c>
      <x:c r="D1016" s="30" t="n">
        <x:v>1</x:v>
      </x:c>
      <x:c r="E1016" s="30" t="str">
        <x:v>Did Christopher Anderson plan to reduce his volunteer activities in March 2036 due to lack of interest?</x:v>
      </x:c>
      <x:c r="F1016" s="30" t="str">
        <x:v>He expressed a renewed commitment to community service.</x:v>
      </x:c>
      <x:c r="G1016" s="30" t="str">
        <x:v>No</x:v>
      </x:c>
      <x:c r="H1016" s="30" t="str">
        <x:v>deepseek-v4-flash</x:v>
      </x:c>
      <x:c r="I1016" s="30" t="str">
        <x:v>deepseek-v4-flash</x:v>
      </x:c>
      <x:c r="J1016" s="30" t="str">
        <x:v>d748575b2288381ac6d0a5a26dacc4e7c665774191dfe6a1bdff89a84a4c621c</x:v>
      </x:c>
      <x:c r="K1016" s="30" t="str">
        <x:v>5150faf96a0616021c3165a4194a780e9990be86ba3ea764507b2464982e3f0c</x:v>
      </x:c>
      <x:c r="L1016" s="30" t="n">
        <x:v>629.54</x:v>
      </x:c>
      <x:c r="M1016" s="30" t="str">
        <x:v>{"completion_tokens": 1, "prompt_tokens": 536, "total_tokens": 537, "completion_tokens_details": null, "prompt_tokens_details": {"audio_tokens": null, "cached_tokens": 512}, "prompt_cache_hit_tokens": 512, "prompt_cache_miss_tokens": 24}</x:v>
      </x:c>
      <x:c r="N1016" s="30" t="str">
        <x:v>hallucination</x:v>
      </x:c>
      <x:c r="O1016"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P1016" s="30" t="str">
        <x:v>LongCat-2.0</x:v>
      </x:c>
      <x:c r="Q1016" s="30" t="str">
        <x:v>LongCat-2.0</x:v>
      </x:c>
      <x:c r="R1016" s="30" t="n">
        <x:v>3414.31</x:v>
      </x:c>
      <x:c r="S1016" s="30" t="str">
        <x:v>{"completion_tokens": 65, "prompt_tokens": 150,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7">
      <x:c r="A1017" s="30" t="str">
        <x:v>memos_medium:3467</x:v>
      </x:c>
      <x:c r="B1017" s="30" t="str">
        <x:v>medium</x:v>
      </x:c>
      <x:c r="C1017" s="30" t="str">
        <x:v>Memory Conflict</x:v>
      </x:c>
      <x:c r="D1017" s="30" t="n">
        <x:v>2</x:v>
      </x:c>
      <x:c r="E1017" s="30" t="str">
        <x:v>Did Christopher Anderson plan to reduce his volunteer activities in March 2036 due to lack of interest?</x:v>
      </x:c>
      <x:c r="F1017" s="30" t="str">
        <x:v>He expressed a renewed commitment to community service.</x:v>
      </x:c>
      <x:c r="G1017" s="30" t="str">
        <x:v>No</x:v>
      </x:c>
      <x:c r="H1017" s="30" t="str">
        <x:v>deepseek-v4-flash</x:v>
      </x:c>
      <x:c r="I1017" s="30" t="str">
        <x:v>deepseek-v4-flash</x:v>
      </x:c>
      <x:c r="J1017" s="30" t="str">
        <x:v>d748575b2288381ac6d0a5a26dacc4e7c665774191dfe6a1bdff89a84a4c621c</x:v>
      </x:c>
      <x:c r="K1017" s="30" t="str">
        <x:v>5150faf96a0616021c3165a4194a780e9990be86ba3ea764507b2464982e3f0c</x:v>
      </x:c>
      <x:c r="L1017" s="30" t="n">
        <x:v>601.14</x:v>
      </x:c>
      <x:c r="M1017" s="30" t="str">
        <x:v>{"completion_tokens": 1, "prompt_tokens": 536, "total_tokens": 537, "completion_tokens_details": null, "prompt_tokens_details": {"audio_tokens": null, "cached_tokens": 512}, "prompt_cache_hit_tokens": 512, "prompt_cache_miss_tokens": 24}</x:v>
      </x:c>
      <x:c r="N1017" s="30" t="str">
        <x:v>hallucination</x:v>
      </x:c>
      <x:c r="O1017"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P1017" s="30" t="str">
        <x:v>LongCat-2.0</x:v>
      </x:c>
      <x:c r="Q1017" s="30" t="str">
        <x:v>LongCat-2.0</x:v>
      </x:c>
      <x:c r="R1017" s="30" t="n">
        <x:v>2760.49</x:v>
      </x:c>
      <x:c r="S1017" s="30" t="str">
        <x:v>{"completion_tokens": 65, "prompt_tokens": 150, "total_tokens": 215,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18">
      <x:c r="A1018" s="30" t="str">
        <x:v>memos_medium:3467</x:v>
      </x:c>
      <x:c r="B1018" s="30" t="str">
        <x:v>medium</x:v>
      </x:c>
      <x:c r="C1018" s="30" t="str">
        <x:v>Memory Conflict</x:v>
      </x:c>
      <x:c r="D1018" s="30" t="n">
        <x:v>3</x:v>
      </x:c>
      <x:c r="E1018" s="30" t="str">
        <x:v>Did Christopher Anderson plan to reduce his volunteer activities in March 2036 due to lack of interest?</x:v>
      </x:c>
      <x:c r="F1018" s="30" t="str">
        <x:v>He expressed a renewed commitment to community service.</x:v>
      </x:c>
      <x:c r="G1018" s="30" t="str">
        <x:v>No</x:v>
      </x:c>
      <x:c r="H1018" s="30" t="str">
        <x:v>deepseek-v4-flash</x:v>
      </x:c>
      <x:c r="I1018" s="30" t="str">
        <x:v>deepseek-v4-flash</x:v>
      </x:c>
      <x:c r="J1018" s="30" t="str">
        <x:v>d748575b2288381ac6d0a5a26dacc4e7c665774191dfe6a1bdff89a84a4c621c</x:v>
      </x:c>
      <x:c r="K1018" s="30" t="str">
        <x:v>5150faf96a0616021c3165a4194a780e9990be86ba3ea764507b2464982e3f0c</x:v>
      </x:c>
      <x:c r="L1018" s="30" t="n">
        <x:v>812.09</x:v>
      </x:c>
      <x:c r="M1018" s="30" t="str">
        <x:v>{"completion_tokens": 1, "prompt_tokens": 536, "total_tokens": 537, "completion_tokens_details": null, "prompt_tokens_details": {"audio_tokens": null, "cached_tokens": 512}, "prompt_cache_hit_tokens": 512, "prompt_cache_miss_tokens": 24}</x:v>
      </x:c>
      <x:c r="N1018" s="30" t="str">
        <x:v>hallucination</x:v>
      </x:c>
      <x:c r="O1018" s="30" t="str">
        <x:v>The gold answer states that Christopher Anderson expressed a renewed commitment to community service, which directly contradicts the model's answer of 'No' (implying he did plan to reduce his activities). The model's response is a concrete claim that contradicts the gold answer.</x:v>
      </x:c>
      <x:c r="P1018" s="30" t="str">
        <x:v>LongCat-2.0</x:v>
      </x:c>
      <x:c r="Q1018" s="30" t="str">
        <x:v>LongCat-2.0</x:v>
      </x:c>
      <x:c r="R1018" s="30" t="n">
        <x:v>3278.46</x:v>
      </x:c>
      <x:c r="S1018" s="30" t="str">
        <x:v>{"completion_tokens": 65, "prompt_tokens": 150, "total_tokens": 215,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19">
      <x:c r="A1019" s="30" t="str">
        <x:v>memos_medium:36</x:v>
      </x:c>
      <x:c r="B1019" s="30" t="str">
        <x:v>medium</x:v>
      </x:c>
      <x:c r="C1019" s="30" t="str">
        <x:v>Generalization &amp; Application</x:v>
      </x:c>
      <x:c r="D1019" s="30" t="n">
        <x:v>1</x:v>
      </x:c>
      <x:c r="E1019" s="30" t="str">
        <x:v>Given Martin's interest in heavy metal music as of Jul 27, 2027, what type of music might he explore next for relaxation?</x:v>
      </x:c>
      <x:c r="F1019" s="30" t="str">
        <x:v>Ambient or jazz music.</x:v>
      </x:c>
      <x:c r="G1019" s="30" t="str">
        <x:v>Heavy metal, jazz, classical.</x:v>
      </x:c>
      <x:c r="H1019" s="30" t="str">
        <x:v>deepseek-v4-flash</x:v>
      </x:c>
      <x:c r="I1019" s="30" t="str">
        <x:v>deepseek-v4-flash</x:v>
      </x:c>
      <x:c r="J1019" s="30" t="str">
        <x:v>4e95858c18e0c63b6702f386ea90a043028b0d8c799ad7e5f1b68ff30bf24b6d</x:v>
      </x:c>
      <x:c r="K1019" s="30" t="str">
        <x:v>caffbe56a591d31b140ce66bfcb490b2ad01ca4dffd1babbd4c71260ea489108</x:v>
      </x:c>
      <x:c r="L1019" s="30" t="n">
        <x:v>628.79</x:v>
      </x:c>
      <x:c r="M1019" s="30" t="str">
        <x:v>{"completion_tokens": 8, "prompt_tokens": 589, "total_tokens": 597, "completion_tokens_details": null, "prompt_tokens_details": {"audio_tokens": null, "cached_tokens": 512}, "prompt_cache_hit_tokens": 512, "prompt_cache_miss_tokens": 77}</x:v>
      </x:c>
      <x:c r="N1019" s="30" t="str">
        <x:v>hallucination</x:v>
      </x:c>
      <x:c r="O1019" s="30" t="str">
        <x:v>The gold answer specifies ambient or jazz music as the next type of music Martin might explore for relaxation. The model answer includes 'heavy metal,' which contradicts the premise of exploring a different genre for relaxation, and adds 'classical,' which is unsupported by the gold answer. This constitutes a concrete false claim, making it a hallucination.</x:v>
      </x:c>
      <x:c r="P1019" s="30" t="str">
        <x:v>LongCat-2.0</x:v>
      </x:c>
      <x:c r="Q1019" s="30" t="str">
        <x:v>LongCat-2.0</x:v>
      </x:c>
      <x:c r="R1019" s="30" t="n">
        <x:v>4249.74</x:v>
      </x:c>
      <x:c r="S1019" s="30" t="str">
        <x:v>{"completion_tokens": 79, "prompt_tokens": 161, "total_tokens": 240,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0">
      <x:c r="A1020" s="30" t="str">
        <x:v>memos_medium:36</x:v>
      </x:c>
      <x:c r="B1020" s="30" t="str">
        <x:v>medium</x:v>
      </x:c>
      <x:c r="C1020" s="30" t="str">
        <x:v>Generalization &amp; Application</x:v>
      </x:c>
      <x:c r="D1020" s="30" t="n">
        <x:v>2</x:v>
      </x:c>
      <x:c r="E1020" s="30" t="str">
        <x:v>Given Martin's interest in heavy metal music as of Jul 27, 2027, what type of music might he explore next for relaxation?</x:v>
      </x:c>
      <x:c r="F1020" s="30" t="str">
        <x:v>Ambient or jazz music.</x:v>
      </x:c>
      <x:c r="G1020" s="30" t="str">
        <x:v>Heavy metal, jazz, classical.</x:v>
      </x:c>
      <x:c r="H1020" s="30" t="str">
        <x:v>deepseek-v4-flash</x:v>
      </x:c>
      <x:c r="I1020" s="30" t="str">
        <x:v>deepseek-v4-flash</x:v>
      </x:c>
      <x:c r="J1020" s="30" t="str">
        <x:v>4e95858c18e0c63b6702f386ea90a043028b0d8c799ad7e5f1b68ff30bf24b6d</x:v>
      </x:c>
      <x:c r="K1020" s="30" t="str">
        <x:v>caffbe56a591d31b140ce66bfcb490b2ad01ca4dffd1babbd4c71260ea489108</x:v>
      </x:c>
      <x:c r="L1020" s="30" t="n">
        <x:v>760.82</x:v>
      </x:c>
      <x:c r="M1020" s="30" t="str">
        <x:v>{"completion_tokens": 8, "prompt_tokens": 589, "total_tokens": 597, "completion_tokens_details": null, "prompt_tokens_details": {"audio_tokens": null, "cached_tokens": 512}, "prompt_cache_hit_tokens": 512, "prompt_cache_miss_tokens": 77}</x:v>
      </x:c>
      <x:c r="N1020" s="30" t="str">
        <x:v>hallucination</x:v>
      </x:c>
      <x:c r="O1020" s="30" t="str">
        <x:v>The gold answer specifies ambient or jazz music as the next type of music Martin might explore for relaxation. The model answer includes 'heavy metal,' which contradicts the premise of exploring something new for relaxation and is unsupported by the gold answer, making it a hallucination.</x:v>
      </x:c>
      <x:c r="P1020" s="30" t="str">
        <x:v>LongCat-2.0</x:v>
      </x:c>
      <x:c r="Q1020" s="30" t="str">
        <x:v>LongCat-2.0</x:v>
      </x:c>
      <x:c r="R1020" s="30" t="n">
        <x:v>3686.83</x:v>
      </x:c>
      <x:c r="S1020" s="30" t="str">
        <x:v>{"completion_tokens": 65, "prompt_tokens": 161,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1">
      <x:c r="A1021" s="30" t="str">
        <x:v>memos_medium:36</x:v>
      </x:c>
      <x:c r="B1021" s="30" t="str">
        <x:v>medium</x:v>
      </x:c>
      <x:c r="C1021" s="30" t="str">
        <x:v>Generalization &amp; Application</x:v>
      </x:c>
      <x:c r="D1021" s="30" t="n">
        <x:v>3</x:v>
      </x:c>
      <x:c r="E1021" s="30" t="str">
        <x:v>Given Martin's interest in heavy metal music as of Jul 27, 2027, what type of music might he explore next for relaxation?</x:v>
      </x:c>
      <x:c r="F1021" s="30" t="str">
        <x:v>Ambient or jazz music.</x:v>
      </x:c>
      <x:c r="G1021" s="30" t="str">
        <x:v>Heavy metal, jazz, classical.</x:v>
      </x:c>
      <x:c r="H1021" s="30" t="str">
        <x:v>deepseek-v4-flash</x:v>
      </x:c>
      <x:c r="I1021" s="30" t="str">
        <x:v>deepseek-v4-flash</x:v>
      </x:c>
      <x:c r="J1021" s="30" t="str">
        <x:v>4e95858c18e0c63b6702f386ea90a043028b0d8c799ad7e5f1b68ff30bf24b6d</x:v>
      </x:c>
      <x:c r="K1021" s="30" t="str">
        <x:v>caffbe56a591d31b140ce66bfcb490b2ad01ca4dffd1babbd4c71260ea489108</x:v>
      </x:c>
      <x:c r="L1021" s="30" t="n">
        <x:v>765.71</x:v>
      </x:c>
      <x:c r="M1021" s="30" t="str">
        <x:v>{"completion_tokens": 8, "prompt_tokens": 589, "total_tokens": 597, "completion_tokens_details": null, "prompt_tokens_details": {"audio_tokens": null, "cached_tokens": 512}, "prompt_cache_hit_tokens": 512, "prompt_cache_miss_tokens": 77}</x:v>
      </x:c>
      <x:c r="N1021" s="30" t="str">
        <x:v>hallucination</x:v>
      </x:c>
      <x:c r="O1021" s="30" t="str">
        <x:v>The gold answer specifies ambient or jazz music as the next type of music Martin might explore for relaxation. The model answer includes 'heavy metal,' which contradicts the premise of exploring a different genre for relaxation, making it an unsupported/incorrect addition.</x:v>
      </x:c>
      <x:c r="P1021" s="30" t="str">
        <x:v>LongCat-2.0</x:v>
      </x:c>
      <x:c r="Q1021" s="30" t="str">
        <x:v>LongCat-2.0</x:v>
      </x:c>
      <x:c r="R1021" s="30" t="n">
        <x:v>3219</x:v>
      </x:c>
      <x:c r="S1021" s="30" t="str">
        <x:v>{"completion_tokens": 61, "prompt_tokens": 161,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2">
      <x:c r="A1022" s="30" t="str">
        <x:v>memos_medium:38</x:v>
      </x:c>
      <x:c r="B1022" s="30" t="str">
        <x:v>medium</x:v>
      </x:c>
      <x:c r="C1022" s="30" t="str">
        <x:v>Generalization &amp; Application</x:v>
      </x:c>
      <x:c r="D1022" s="30" t="n">
        <x:v>1</x:v>
      </x:c>
      <x:c r="E1022" s="30" t="str">
        <x:v>What sustainable travel choices might Martin consider after October 29, 2027?</x:v>
      </x:c>
      <x:c r="F1022" s="30" t="str">
        <x:v>Eco-friendly transportation or supporting local eco-tourism.</x:v>
      </x:c>
      <x:c r="G1022" s="30" t="str">
        <x:v>Exploring sustainable travel options.</x:v>
      </x:c>
      <x:c r="H1022" s="30" t="str">
        <x:v>deepseek-v4-flash</x:v>
      </x:c>
      <x:c r="I1022" s="30" t="str">
        <x:v>deepseek-v4-flash</x:v>
      </x:c>
      <x:c r="J1022" s="30" t="str">
        <x:v>2e3db1ff5a268f7640f842de08fc2603be97e874c0e7995b11b321e94cc14c84</x:v>
      </x:c>
      <x:c r="K1022" s="30" t="str">
        <x:v>9d213be859fb0e6748740bc368f764b56a183c962f5297c681db9282acc9ce1a</x:v>
      </x:c>
      <x:c r="L1022" s="30" t="n">
        <x:v>760.6</x:v>
      </x:c>
      <x:c r="M1022" s="30" t="str">
        <x:v>{"completion_tokens": 5, "prompt_tokens": 571, "total_tokens": 576, "completion_tokens_details": null, "prompt_tokens_details": {"audio_tokens": null, "cached_tokens": 512}, "prompt_cache_hit_tokens": 512, "prompt_cache_miss_tokens": 59}</x:v>
      </x:c>
      <x:c r="N1022" s="30" t="str">
        <x:v>omission</x:v>
      </x:c>
      <x:c r="O1022" s="30" t="str">
        <x:v>The model answer 'Exploring sustainable travel options' is vague and does not provide the specific sustainable travel choices mentioned in the gold answer, such as eco-friendly transportation or supporting local eco-tourism. It gives only an incomplete subset without adding a concrete false claim.</x:v>
      </x:c>
      <x:c r="P1022" s="30" t="str">
        <x:v>LongCat-2.0</x:v>
      </x:c>
      <x:c r="Q1022" s="30" t="str">
        <x:v>LongCat-2.0</x:v>
      </x:c>
      <x:c r="R1022" s="30" t="n">
        <x:v>2979.71</x:v>
      </x:c>
      <x:c r="S1022" s="30" t="str">
        <x:v>{"completion_tokens": 65, "prompt_tokens": 154,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3">
      <x:c r="A1023" s="30" t="str">
        <x:v>memos_medium:38</x:v>
      </x:c>
      <x:c r="B1023" s="30" t="str">
        <x:v>medium</x:v>
      </x:c>
      <x:c r="C1023" s="30" t="str">
        <x:v>Generalization &amp; Application</x:v>
      </x:c>
      <x:c r="D1023" s="30" t="n">
        <x:v>2</x:v>
      </x:c>
      <x:c r="E1023" s="30" t="str">
        <x:v>What sustainable travel choices might Martin consider after October 29, 2027?</x:v>
      </x:c>
      <x:c r="F1023" s="30" t="str">
        <x:v>Eco-friendly transportation or supporting local eco-tourism.</x:v>
      </x:c>
      <x:c r="G1023" s="30" t="str">
        <x:v>Exploring sustainable travel options.</x:v>
      </x:c>
      <x:c r="H1023" s="30" t="str">
        <x:v>deepseek-v4-flash</x:v>
      </x:c>
      <x:c r="I1023" s="30" t="str">
        <x:v>deepseek-v4-flash</x:v>
      </x:c>
      <x:c r="J1023" s="30" t="str">
        <x:v>2e3db1ff5a268f7640f842de08fc2603be97e874c0e7995b11b321e94cc14c84</x:v>
      </x:c>
      <x:c r="K1023" s="30" t="str">
        <x:v>9d213be859fb0e6748740bc368f764b56a183c962f5297c681db9282acc9ce1a</x:v>
      </x:c>
      <x:c r="L1023" s="30" t="n">
        <x:v>729.75</x:v>
      </x:c>
      <x:c r="M1023" s="30" t="str">
        <x:v>{"completion_tokens": 5, "prompt_tokens": 571, "total_tokens": 576, "completion_tokens_details": null, "prompt_tokens_details": {"audio_tokens": null, "cached_tokens": 512}, "prompt_cache_hit_tokens": 512, "prompt_cache_miss_tokens": 59}</x:v>
      </x:c>
      <x:c r="N1023" s="30" t="str">
        <x:v>omission</x:v>
      </x:c>
      <x:c r="O1023"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P1023" s="30" t="str">
        <x:v>LongCat-2.0</x:v>
      </x:c>
      <x:c r="Q1023" s="30" t="str">
        <x:v>LongCat-2.0</x:v>
      </x:c>
      <x:c r="R1023" s="30" t="n">
        <x:v>3546.69</x:v>
      </x:c>
      <x:c r="S1023" s="30" t="str">
        <x:v>{"completion_tokens": 76, "prompt_tokens": 154,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4">
      <x:c r="A1024" s="30" t="str">
        <x:v>memos_medium:38</x:v>
      </x:c>
      <x:c r="B1024" s="30" t="str">
        <x:v>medium</x:v>
      </x:c>
      <x:c r="C1024" s="30" t="str">
        <x:v>Generalization &amp; Application</x:v>
      </x:c>
      <x:c r="D1024" s="30" t="n">
        <x:v>3</x:v>
      </x:c>
      <x:c r="E1024" s="30" t="str">
        <x:v>What sustainable travel choices might Martin consider after October 29, 2027?</x:v>
      </x:c>
      <x:c r="F1024" s="30" t="str">
        <x:v>Eco-friendly transportation or supporting local eco-tourism.</x:v>
      </x:c>
      <x:c r="G1024" s="30" t="str">
        <x:v>Exploring sustainable travel options.</x:v>
      </x:c>
      <x:c r="H1024" s="30" t="str">
        <x:v>deepseek-v4-flash</x:v>
      </x:c>
      <x:c r="I1024" s="30" t="str">
        <x:v>deepseek-v4-flash</x:v>
      </x:c>
      <x:c r="J1024" s="30" t="str">
        <x:v>2e3db1ff5a268f7640f842de08fc2603be97e874c0e7995b11b321e94cc14c84</x:v>
      </x:c>
      <x:c r="K1024" s="30" t="str">
        <x:v>9d213be859fb0e6748740bc368f764b56a183c962f5297c681db9282acc9ce1a</x:v>
      </x:c>
      <x:c r="L1024" s="30" t="n">
        <x:v>612.07</x:v>
      </x:c>
      <x:c r="M1024" s="30" t="str">
        <x:v>{"completion_tokens": 5, "prompt_tokens": 571, "total_tokens": 576, "completion_tokens_details": null, "prompt_tokens_details": {"audio_tokens": null, "cached_tokens": 512}, "prompt_cache_hit_tokens": 512, "prompt_cache_miss_tokens": 59}</x:v>
      </x:c>
      <x:c r="N1024" s="30" t="str">
        <x:v>omission</x:v>
      </x:c>
      <x:c r="O1024" s="30" t="str">
        <x:v>The model answer 'Exploring sustainable travel options' is vague and does not provide the specific concrete details included in the gold answer, such as 'eco-friendly transportation' or 'supporting local eco-tourism'. It gives only an incomplete subset of the expected answer without adding false claims, fitting the definition of omission.</x:v>
      </x:c>
      <x:c r="P1024" s="30" t="str">
        <x:v>LongCat-2.0</x:v>
      </x:c>
      <x:c r="Q1024" s="30" t="str">
        <x:v>LongCat-2.0</x:v>
      </x:c>
      <x:c r="R1024" s="30" t="n">
        <x:v>2916.95</x:v>
      </x:c>
      <x:c r="S1024" s="30" t="str">
        <x:v>{"completion_tokens": 76, "prompt_tokens": 154,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5">
      <x:c r="A1025" s="30" t="str">
        <x:v>memos_medium:398</x:v>
      </x:c>
      <x:c r="B1025" s="30" t="str">
        <x:v>medium</x:v>
      </x:c>
      <x:c r="C1025" s="30" t="str">
        <x:v>Multi-hop Inference</x:v>
      </x:c>
      <x:c r="D1025" s="30" t="n">
        <x:v>1</x:v>
      </x:c>
      <x:c r="E1025" s="30" t="str">
        <x:v>What activities did Donald Brown take up during retirement to enhance his lifestyle?</x:v>
      </x:c>
      <x:c r="F1025" s="30" t="str">
        <x:v>Gardening, volunteering, painting, learning languages.</x:v>
      </x:c>
      <x:c r="G1025" s="30" t="str">
        <x:v>Gardening, volunteering, painting, courses.</x:v>
      </x:c>
      <x:c r="H1025" s="30" t="str">
        <x:v>deepseek-v4-flash</x:v>
      </x:c>
      <x:c r="I1025" s="30" t="str">
        <x:v>deepseek-v4-flash</x:v>
      </x:c>
      <x:c r="J1025" s="30" t="str">
        <x:v>a7e881cd01ebade7610d04b559441839807c2de7109f749dae3aed2cc803663e</x:v>
      </x:c>
      <x:c r="K1025" s="30" t="str">
        <x:v>c8154575a4429d0a0a609aca5e86c28498ea6428569eadc6e7aa59587ec9a0a5</x:v>
      </x:c>
      <x:c r="L1025" s="30" t="n">
        <x:v>737.24</x:v>
      </x:c>
      <x:c r="M1025" s="30" t="str">
        <x:v>{"completion_tokens": 9, "prompt_tokens": 580, "total_tokens": 589, "completion_tokens_details": null, "prompt_tokens_details": {"audio_tokens": null, "cached_tokens": 512}, "prompt_cache_hit_tokens": 512, "prompt_cache_miss_tokens": 68}</x:v>
      </x:c>
      <x:c r="N1025" s="30" t="str">
        <x:v>hallucination</x:v>
      </x:c>
      <x:c r="O1025" s="30" t="str">
        <x:v>The model answer replaces 'learning languages' with 'courses', which is a concrete but unsupported/incorrect substitution that contradicts the gold answer.</x:v>
      </x:c>
      <x:c r="P1025" s="30" t="str">
        <x:v>LongCat-2.0</x:v>
      </x:c>
      <x:c r="Q1025" s="30" t="str">
        <x:v>LongCat-2.0</x:v>
      </x:c>
      <x:c r="R1025" s="30" t="n">
        <x:v>8449.02</x:v>
      </x:c>
      <x:c r="S1025" s="30" t="str">
        <x:v>{"completion_tokens": 40, "prompt_tokens": 150, "total_tokens": 190,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26">
      <x:c r="A1026" s="30" t="str">
        <x:v>memos_medium:398</x:v>
      </x:c>
      <x:c r="B1026" s="30" t="str">
        <x:v>medium</x:v>
      </x:c>
      <x:c r="C1026" s="30" t="str">
        <x:v>Multi-hop Inference</x:v>
      </x:c>
      <x:c r="D1026" s="30" t="n">
        <x:v>2</x:v>
      </x:c>
      <x:c r="E1026" s="30" t="str">
        <x:v>What activities did Donald Brown take up during retirement to enhance his lifestyle?</x:v>
      </x:c>
      <x:c r="F1026" s="30" t="str">
        <x:v>Gardening, volunteering, painting, learning languages.</x:v>
      </x:c>
      <x:c r="G1026" s="30" t="str">
        <x:v>Gardening, volunteering, painting, courses.</x:v>
      </x:c>
      <x:c r="H1026" s="30" t="str">
        <x:v>deepseek-v4-flash</x:v>
      </x:c>
      <x:c r="I1026" s="30" t="str">
        <x:v>deepseek-v4-flash</x:v>
      </x:c>
      <x:c r="J1026" s="30" t="str">
        <x:v>a7e881cd01ebade7610d04b559441839807c2de7109f749dae3aed2cc803663e</x:v>
      </x:c>
      <x:c r="K1026" s="30" t="str">
        <x:v>c8154575a4429d0a0a609aca5e86c28498ea6428569eadc6e7aa59587ec9a0a5</x:v>
      </x:c>
      <x:c r="L1026" s="30" t="n">
        <x:v>817.21</x:v>
      </x:c>
      <x:c r="M1026" s="30" t="str">
        <x:v>{"completion_tokens": 9, "prompt_tokens": 580, "total_tokens": 589, "completion_tokens_details": null, "prompt_tokens_details": {"audio_tokens": null, "cached_tokens": 512}, "prompt_cache_hit_tokens": 512, "prompt_cache_miss_tokens": 68}</x:v>
      </x:c>
      <x:c r="N1026" s="30" t="str">
        <x:v>hallucination</x:v>
      </x:c>
      <x:c r="O1026" s="30" t="str">
        <x:v>The model answer replaces 'learning languages' with 'courses', which is a concrete claim that contradicts the gold answer. While 'courses' could theoretically include language learning, it is not semantically equivalent and introduces unsupported material not present in the gold answer.</x:v>
      </x:c>
      <x:c r="P1026" s="30" t="str">
        <x:v>LongCat-2.0</x:v>
      </x:c>
      <x:c r="Q1026" s="30" t="str">
        <x:v>LongCat-2.0</x:v>
      </x:c>
      <x:c r="R1026" s="30" t="n">
        <x:v>9489.79</x:v>
      </x:c>
      <x:c r="S1026" s="30" t="str">
        <x:v>{"completion_tokens": 63, "prompt_tokens": 150,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27">
      <x:c r="A1027" s="30" t="str">
        <x:v>memos_medium:398</x:v>
      </x:c>
      <x:c r="B1027" s="30" t="str">
        <x:v>medium</x:v>
      </x:c>
      <x:c r="C1027" s="30" t="str">
        <x:v>Multi-hop Inference</x:v>
      </x:c>
      <x:c r="D1027" s="30" t="n">
        <x:v>3</x:v>
      </x:c>
      <x:c r="E1027" s="30" t="str">
        <x:v>What activities did Donald Brown take up during retirement to enhance his lifestyle?</x:v>
      </x:c>
      <x:c r="F1027" s="30" t="str">
        <x:v>Gardening, volunteering, painting, learning languages.</x:v>
      </x:c>
      <x:c r="G1027" s="30" t="str">
        <x:v>Gardening, volunteering, painting, courses.</x:v>
      </x:c>
      <x:c r="H1027" s="30" t="str">
        <x:v>deepseek-v4-flash</x:v>
      </x:c>
      <x:c r="I1027" s="30" t="str">
        <x:v>deepseek-v4-flash</x:v>
      </x:c>
      <x:c r="J1027" s="30" t="str">
        <x:v>a7e881cd01ebade7610d04b559441839807c2de7109f749dae3aed2cc803663e</x:v>
      </x:c>
      <x:c r="K1027" s="30" t="str">
        <x:v>c8154575a4429d0a0a609aca5e86c28498ea6428569eadc6e7aa59587ec9a0a5</x:v>
      </x:c>
      <x:c r="L1027" s="30" t="n">
        <x:v>848.14</x:v>
      </x:c>
      <x:c r="M1027" s="30" t="str">
        <x:v>{"completion_tokens": 9, "prompt_tokens": 580, "total_tokens": 589, "completion_tokens_details": null, "prompt_tokens_details": {"audio_tokens": null, "cached_tokens": 512}, "prompt_cache_hit_tokens": 512, "prompt_cache_miss_tokens": 68}</x:v>
      </x:c>
      <x:c r="N1027" s="30" t="str">
        <x:v>hallucination</x:v>
      </x:c>
      <x:c r="O1027" s="30" t="str">
        <x:v>The model answer replaces 'learning languages' with 'courses', which is a concrete claim that contradicts the gold answer. While 'courses' could theoretically include language learning, it is not semantically equivalent and introduces unsupported material not present in the gold answer.</x:v>
      </x:c>
      <x:c r="P1027" s="30" t="str">
        <x:v>LongCat-2.0</x:v>
      </x:c>
      <x:c r="Q1027" s="30" t="str">
        <x:v>LongCat-2.0</x:v>
      </x:c>
      <x:c r="R1027" s="30" t="n">
        <x:v>8044.34</x:v>
      </x:c>
      <x:c r="S1027" s="30" t="str">
        <x:v>{"completion_tokens": 63, "prompt_tokens": 150, "total_tokens": 213,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28">
      <x:c r="A1028" s="30" t="str">
        <x:v>memos_medium:455</x:v>
      </x:c>
      <x:c r="B1028" s="30" t="str">
        <x:v>medium</x:v>
      </x:c>
      <x:c r="C1028" s="30" t="str">
        <x:v>Generalization &amp; Application</x:v>
      </x:c>
      <x:c r="D1028" s="30" t="n">
        <x:v>1</x:v>
      </x:c>
      <x:c r="E1028" s="30" t="str">
        <x:v>Given Donald Brown's preference for ergonomic sneakers as of Mar 28, 2032, what type of footwear might enhance his comfort during a hiking trip?</x:v>
      </x:c>
      <x:c r="F1028" s="30" t="str">
        <x:v>Ergonomic hiking boots.</x:v>
      </x:c>
      <x:c r="G1028" s="30" t="str">
        <x:v>Ergonomic sneakers</x:v>
      </x:c>
      <x:c r="H1028" s="30" t="str">
        <x:v>deepseek-v4-flash</x:v>
      </x:c>
      <x:c r="I1028" s="30" t="str">
        <x:v>deepseek-v4-flash</x:v>
      </x:c>
      <x:c r="J1028" s="30" t="str">
        <x:v>3b41a339878dec2b2201a62d7effd947a54c961627a7bfcded1fc29f2005539a</x:v>
      </x:c>
      <x:c r="K1028" s="30" t="str">
        <x:v>14f8a57dbc5c0390b168aabc0cab2e72656116b4439626796b11fb18cc178c80</x:v>
      </x:c>
      <x:c r="L1028" s="30" t="n">
        <x:v>819.25</x:v>
      </x:c>
      <x:c r="M1028" s="30" t="str">
        <x:v>{"completion_tokens": 5, "prompt_tokens": 645, "total_tokens": 650, "completion_tokens_details": null, "prompt_tokens_details": {"audio_tokens": null, "cached_tokens": 640}, "prompt_cache_hit_tokens": 640, "prompt_cache_miss_tokens": 5}</x:v>
      </x:c>
      <x:c r="N1028" s="30" t="str">
        <x:v>hallucination</x:v>
      </x:c>
      <x:c r="O1028"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P1028" s="30" t="str">
        <x:v>LongCat-2.0</x:v>
      </x:c>
      <x:c r="Q1028" s="30" t="str">
        <x:v>LongCat-2.0</x:v>
      </x:c>
      <x:c r="R1028" s="30" t="n">
        <x:v>3428.96</x:v>
      </x:c>
      <x:c r="S1028"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29">
      <x:c r="A1029" s="30" t="str">
        <x:v>memos_medium:455</x:v>
      </x:c>
      <x:c r="B1029" s="30" t="str">
        <x:v>medium</x:v>
      </x:c>
      <x:c r="C1029" s="30" t="str">
        <x:v>Generalization &amp; Application</x:v>
      </x:c>
      <x:c r="D1029" s="30" t="n">
        <x:v>2</x:v>
      </x:c>
      <x:c r="E1029" s="30" t="str">
        <x:v>Given Donald Brown's preference for ergonomic sneakers as of Mar 28, 2032, what type of footwear might enhance his comfort during a hiking trip?</x:v>
      </x:c>
      <x:c r="F1029" s="30" t="str">
        <x:v>Ergonomic hiking boots.</x:v>
      </x:c>
      <x:c r="G1029" s="30" t="str">
        <x:v>Ergonomic sneakers</x:v>
      </x:c>
      <x:c r="H1029" s="30" t="str">
        <x:v>deepseek-v4-flash</x:v>
      </x:c>
      <x:c r="I1029" s="30" t="str">
        <x:v>deepseek-v4-flash</x:v>
      </x:c>
      <x:c r="J1029" s="30" t="str">
        <x:v>3b41a339878dec2b2201a62d7effd947a54c961627a7bfcded1fc29f2005539a</x:v>
      </x:c>
      <x:c r="K1029" s="30" t="str">
        <x:v>14f8a57dbc5c0390b168aabc0cab2e72656116b4439626796b11fb18cc178c80</x:v>
      </x:c>
      <x:c r="L1029" s="30" t="n">
        <x:v>743.06</x:v>
      </x:c>
      <x:c r="M1029" s="30" t="str">
        <x:v>{"completion_tokens": 5, "prompt_tokens": 645, "total_tokens": 650, "completion_tokens_details": null, "prompt_tokens_details": {"audio_tokens": null, "cached_tokens": 640}, "prompt_cache_hit_tokens": 640, "prompt_cache_miss_tokens": 5}</x:v>
      </x:c>
      <x:c r="N1029" s="30" t="str">
        <x:v>hallucination</x:v>
      </x:c>
      <x:c r="O1029"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P1029" s="30" t="str">
        <x:v>LongCat-2.0</x:v>
      </x:c>
      <x:c r="Q1029" s="30" t="str">
        <x:v>LongCat-2.0</x:v>
      </x:c>
      <x:c r="R1029" s="30" t="n">
        <x:v>3124.23</x:v>
      </x:c>
      <x:c r="S1029"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0">
      <x:c r="A1030" s="30" t="str">
        <x:v>memos_medium:455</x:v>
      </x:c>
      <x:c r="B1030" s="30" t="str">
        <x:v>medium</x:v>
      </x:c>
      <x:c r="C1030" s="30" t="str">
        <x:v>Generalization &amp; Application</x:v>
      </x:c>
      <x:c r="D1030" s="30" t="n">
        <x:v>3</x:v>
      </x:c>
      <x:c r="E1030" s="30" t="str">
        <x:v>Given Donald Brown's preference for ergonomic sneakers as of Mar 28, 2032, what type of footwear might enhance his comfort during a hiking trip?</x:v>
      </x:c>
      <x:c r="F1030" s="30" t="str">
        <x:v>Ergonomic hiking boots.</x:v>
      </x:c>
      <x:c r="G1030" s="30" t="str">
        <x:v>Ergonomic sneakers</x:v>
      </x:c>
      <x:c r="H1030" s="30" t="str">
        <x:v>deepseek-v4-flash</x:v>
      </x:c>
      <x:c r="I1030" s="30" t="str">
        <x:v>deepseek-v4-flash</x:v>
      </x:c>
      <x:c r="J1030" s="30" t="str">
        <x:v>3b41a339878dec2b2201a62d7effd947a54c961627a7bfcded1fc29f2005539a</x:v>
      </x:c>
      <x:c r="K1030" s="30" t="str">
        <x:v>14f8a57dbc5c0390b168aabc0cab2e72656116b4439626796b11fb18cc178c80</x:v>
      </x:c>
      <x:c r="L1030" s="30" t="n">
        <x:v>511</x:v>
      </x:c>
      <x:c r="M1030" s="30" t="str">
        <x:v>{"completion_tokens": 5, "prompt_tokens": 645, "total_tokens": 650, "completion_tokens_details": null, "prompt_tokens_details": {"audio_tokens": null, "cached_tokens": 640}, "prompt_cache_hit_tokens": 640, "prompt_cache_miss_tokens": 5}</x:v>
      </x:c>
      <x:c r="N1030" s="30" t="str">
        <x:v>hallucination</x:v>
      </x:c>
      <x:c r="O1030" s="30" t="str">
        <x:v>The gold answer specifies 'ergonomic hiking boots' as the appropriate footwear for a hiking trip, which is a distinct type of footwear from sneakers. The model answer 'ergonomic sneakers' contradicts the gold answer by providing a different, unsupported concrete answer rather than the correct hiking boots.</x:v>
      </x:c>
      <x:c r="P1030" s="30" t="str">
        <x:v>LongCat-2.0</x:v>
      </x:c>
      <x:c r="Q1030" s="30" t="str">
        <x:v>LongCat-2.0</x:v>
      </x:c>
      <x:c r="R1030" s="30" t="n">
        <x:v>2687.25</x:v>
      </x:c>
      <x:c r="S1030" s="30" t="str">
        <x:v>{"completion_tokens": 71, "prompt_tokens": 165,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1">
      <x:c r="A1031" s="30" t="str">
        <x:v>memos_medium:472</x:v>
      </x:c>
      <x:c r="B1031" s="30" t="str">
        <x:v>medium</x:v>
      </x:c>
      <x:c r="C1031" s="30" t="str">
        <x:v>Generalization &amp; Application</x:v>
      </x:c>
      <x:c r="D1031" s="30" t="n">
        <x:v>1</x:v>
      </x:c>
      <x:c r="E1031" s="30" t="str">
        <x:v>What type of new cultural experiences might Donald Brown explore after January 30, 2033?</x:v>
      </x:c>
      <x:c r="F1031" s="30" t="str">
        <x:v>Jazz, due to similar exploratory motivation.</x:v>
      </x:c>
      <x:c r="G1031" s="30" t="str">
        <x:v>Opera music performances</x:v>
      </x:c>
      <x:c r="H1031" s="30" t="str">
        <x:v>deepseek-v4-flash</x:v>
      </x:c>
      <x:c r="I1031" s="30" t="str">
        <x:v>deepseek-v4-flash</x:v>
      </x:c>
      <x:c r="J1031" s="30" t="str">
        <x:v>3091ed7997da423e6fd8dbf92b7a9674e1b6006bc7bf24dcc15153d91e0d6c0d</x:v>
      </x:c>
      <x:c r="K1031" s="30" t="str">
        <x:v>399f11a1322b84d51f7cd4d86f49d2e18151fa6a1d0243753a5c63d8dcd4f3c1</x:v>
      </x:c>
      <x:c r="L1031" s="30" t="n">
        <x:v>804.24</x:v>
      </x:c>
      <x:c r="M1031" s="30" t="str">
        <x:v>{"completion_tokens": 4, "prompt_tokens": 547, "total_tokens": 551, "completion_tokens_details": null, "prompt_tokens_details": {"audio_tokens": null, "cached_tokens": 512}, "prompt_cache_hit_tokens": 512, "prompt_cache_miss_tokens": 35}</x:v>
      </x:c>
      <x:c r="N1031" s="30" t="str">
        <x:v>hallucination</x:v>
      </x:c>
      <x:c r="O1031" s="30" t="str">
        <x:v>The gold answer specifies Jazz as the cultural experience Donald Brown might explore, while the model answer provides 'Opera music performances,' which is a different and unsupported concrete answer that contradicts the gold answer.</x:v>
      </x:c>
      <x:c r="P1031" s="30" t="str">
        <x:v>LongCat-2.0</x:v>
      </x:c>
      <x:c r="Q1031" s="30" t="str">
        <x:v>LongCat-2.0</x:v>
      </x:c>
      <x:c r="R1031" s="30" t="n">
        <x:v>34641.42</x:v>
      </x:c>
      <x:c r="S1031" s="30" t="str">
        <x:v>{"completion_tokens": 51, "prompt_tokens": 151,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32">
      <x:c r="A1032" s="30" t="str">
        <x:v>memos_medium:472</x:v>
      </x:c>
      <x:c r="B1032" s="30" t="str">
        <x:v>medium</x:v>
      </x:c>
      <x:c r="C1032" s="30" t="str">
        <x:v>Generalization &amp; Application</x:v>
      </x:c>
      <x:c r="D1032" s="30" t="n">
        <x:v>2</x:v>
      </x:c>
      <x:c r="E1032" s="30" t="str">
        <x:v>What type of new cultural experiences might Donald Brown explore after January 30, 2033?</x:v>
      </x:c>
      <x:c r="F1032" s="30" t="str">
        <x:v>Jazz, due to similar exploratory motivation.</x:v>
      </x:c>
      <x:c r="G1032" s="30" t="str">
        <x:v>Opera music performances</x:v>
      </x:c>
      <x:c r="H1032" s="30" t="str">
        <x:v>deepseek-v4-flash</x:v>
      </x:c>
      <x:c r="I1032" s="30" t="str">
        <x:v>deepseek-v4-flash</x:v>
      </x:c>
      <x:c r="J1032" s="30" t="str">
        <x:v>3091ed7997da423e6fd8dbf92b7a9674e1b6006bc7bf24dcc15153d91e0d6c0d</x:v>
      </x:c>
      <x:c r="K1032" s="30" t="str">
        <x:v>399f11a1322b84d51f7cd4d86f49d2e18151fa6a1d0243753a5c63d8dcd4f3c1</x:v>
      </x:c>
      <x:c r="L1032" s="30" t="n">
        <x:v>889.67</x:v>
      </x:c>
      <x:c r="M1032" s="30" t="str">
        <x:v>{"completion_tokens": 4, "prompt_tokens": 547, "total_tokens": 551, "completion_tokens_details": null, "prompt_tokens_details": {"audio_tokens": null, "cached_tokens": 512}, "prompt_cache_hit_tokens": 512, "prompt_cache_miss_tokens": 35}</x:v>
      </x:c>
      <x:c r="N1032" s="30" t="str">
        <x:v>hallucination</x:v>
      </x:c>
      <x:c r="O1032" s="30" t="str">
        <x:v>The gold answer specifies Jazz as the cultural experience Donald Brown might explore, while the model answer provides 'Opera music performances,' which is a different and unsupported concrete answer that contradicts the gold answer.</x:v>
      </x:c>
      <x:c r="P1032" s="30" t="str">
        <x:v>LongCat-2.0</x:v>
      </x:c>
      <x:c r="Q1032" s="30" t="str">
        <x:v>LongCat-2.0</x:v>
      </x:c>
      <x:c r="R1032" s="30" t="n">
        <x:v>30874.21</x:v>
      </x:c>
      <x:c r="S1032" s="30" t="str">
        <x:v>{"completion_tokens": 51, "prompt_tokens": 151, "total_tokens": 202,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3">
      <x:c r="A1033" s="30" t="str">
        <x:v>memos_medium:472</x:v>
      </x:c>
      <x:c r="B1033" s="30" t="str">
        <x:v>medium</x:v>
      </x:c>
      <x:c r="C1033" s="30" t="str">
        <x:v>Generalization &amp; Application</x:v>
      </x:c>
      <x:c r="D1033" s="30" t="n">
        <x:v>3</x:v>
      </x:c>
      <x:c r="E1033" s="30" t="str">
        <x:v>What type of new cultural experiences might Donald Brown explore after January 30, 2033?</x:v>
      </x:c>
      <x:c r="F1033" s="30" t="str">
        <x:v>Jazz, due to similar exploratory motivation.</x:v>
      </x:c>
      <x:c r="G1033" s="30" t="str">
        <x:v>Opera music performances</x:v>
      </x:c>
      <x:c r="H1033" s="30" t="str">
        <x:v>deepseek-v4-flash</x:v>
      </x:c>
      <x:c r="I1033" s="30" t="str">
        <x:v>deepseek-v4-flash</x:v>
      </x:c>
      <x:c r="J1033" s="30" t="str">
        <x:v>3091ed7997da423e6fd8dbf92b7a9674e1b6006bc7bf24dcc15153d91e0d6c0d</x:v>
      </x:c>
      <x:c r="K1033" s="30" t="str">
        <x:v>399f11a1322b84d51f7cd4d86f49d2e18151fa6a1d0243753a5c63d8dcd4f3c1</x:v>
      </x:c>
      <x:c r="L1033" s="30" t="n">
        <x:v>561.1</x:v>
      </x:c>
      <x:c r="M1033" s="30" t="str">
        <x:v>{"completion_tokens": 4, "prompt_tokens": 547, "total_tokens": 551, "completion_tokens_details": null, "prompt_tokens_details": {"audio_tokens": null, "cached_tokens": 512}, "prompt_cache_hit_tokens": 512, "prompt_cache_miss_tokens": 35}</x:v>
      </x:c>
      <x:c r="N1033" s="30" t="str">
        <x:v>hallucination</x:v>
      </x:c>
      <x:c r="O1033" s="30" t="str">
        <x:v>The gold answer specifies Jazz as the cultural experience Donald Brown might explore, while the model answer provides 'Opera music performances,' which is a different and unsupported concrete answer that contradicts the gold answer.</x:v>
      </x:c>
      <x:c r="P1033" s="30" t="str">
        <x:v>LongCat-2.0</x:v>
      </x:c>
      <x:c r="Q1033" s="30" t="str">
        <x:v>LongCat-2.0</x:v>
      </x:c>
      <x:c r="R1033" s="30" t="n">
        <x:v>35471.32</x:v>
      </x:c>
      <x:c r="S1033" s="30" t="str">
        <x:v>{"completion_tokens": 51, "prompt_tokens": 151, "total_tokens": 202,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34">
      <x:c r="A1034" s="30" t="str">
        <x:v>memos_medium:476</x:v>
      </x:c>
      <x:c r="B1034" s="30" t="str">
        <x:v>medium</x:v>
      </x:c>
      <x:c r="C1034" s="30" t="str">
        <x:v>Generalization &amp; Application</x:v>
      </x:c>
      <x:c r="D1034" s="30" t="n">
        <x:v>1</x:v>
      </x:c>
      <x:c r="E1034" s="30" t="str">
        <x:v>Based on Donald Brown's evolving beverage preferences, what type of new activity might he explore after May 13, 2033?</x:v>
      </x:c>
      <x:c r="F1034" s="30" t="str">
        <x:v>Activities offering sustained energy without negative side effects.</x:v>
      </x:c>
      <x:c r="G1034" s="30" t="str">
        <x:v>Testing boundaries or new hobbies.</x:v>
      </x:c>
      <x:c r="H1034" s="30" t="str">
        <x:v>deepseek-v4-flash</x:v>
      </x:c>
      <x:c r="I1034" s="30" t="str">
        <x:v>deepseek-v4-flash</x:v>
      </x:c>
      <x:c r="J1034" s="30" t="str">
        <x:v>0a4e3033a67b59455cee71c7fb48c89a2209e5a75602b79f4b6395a29f64a0c3</x:v>
      </x:c>
      <x:c r="K1034" s="30" t="str">
        <x:v>5b38ea98edec1ec1d518e08118a3ada6b13b96ee57bbcfc787ec4fdf65014816</x:v>
      </x:c>
      <x:c r="L1034" s="30" t="n">
        <x:v>545.07</x:v>
      </x:c>
      <x:c r="M1034" s="30" t="str">
        <x:v>{"completion_tokens": 6, "prompt_tokens": 631, "total_tokens": 637, "completion_tokens_details": null, "prompt_tokens_details": {"audio_tokens": null, "cached_tokens": 512}, "prompt_cache_hit_tokens": 512, "prompt_cache_miss_tokens": 119}</x:v>
      </x:c>
      <x:c r="N1034" s="30" t="str">
        <x:v>hallucination</x:v>
      </x:c>
      <x:c r="O1034"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x:v>
      </x:c>
      <x:c r="P1034" s="30" t="str">
        <x:v>LongCat-2.0</x:v>
      </x:c>
      <x:c r="Q1034" s="30" t="str">
        <x:v>LongCat-2.0</x:v>
      </x:c>
      <x:c r="R1034" s="30" t="n">
        <x:v>3828.48</x:v>
      </x:c>
      <x:c r="S1034" s="30" t="str">
        <x:v>{"completion_tokens": 75, "prompt_tokens": 162, "total_tokens": 237,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35">
      <x:c r="A1035" s="30" t="str">
        <x:v>memos_medium:476</x:v>
      </x:c>
      <x:c r="B1035" s="30" t="str">
        <x:v>medium</x:v>
      </x:c>
      <x:c r="C1035" s="30" t="str">
        <x:v>Generalization &amp; Application</x:v>
      </x:c>
      <x:c r="D1035" s="30" t="n">
        <x:v>2</x:v>
      </x:c>
      <x:c r="E1035" s="30" t="str">
        <x:v>Based on Donald Brown's evolving beverage preferences, what type of new activity might he explore after May 13, 2033?</x:v>
      </x:c>
      <x:c r="F1035" s="30" t="str">
        <x:v>Activities offering sustained energy without negative side effects.</x:v>
      </x:c>
      <x:c r="G1035" s="30" t="str">
        <x:v>Testing boundaries or new hobbies.</x:v>
      </x:c>
      <x:c r="H1035" s="30" t="str">
        <x:v>deepseek-v4-flash</x:v>
      </x:c>
      <x:c r="I1035" s="30" t="str">
        <x:v>deepseek-v4-flash</x:v>
      </x:c>
      <x:c r="J1035" s="30" t="str">
        <x:v>0a4e3033a67b59455cee71c7fb48c89a2209e5a75602b79f4b6395a29f64a0c3</x:v>
      </x:c>
      <x:c r="K1035" s="30" t="str">
        <x:v>5b38ea98edec1ec1d518e08118a3ada6b13b96ee57bbcfc787ec4fdf65014816</x:v>
      </x:c>
      <x:c r="L1035" s="30" t="n">
        <x:v>822.25</x:v>
      </x:c>
      <x:c r="M1035" s="30" t="str">
        <x:v>{"completion_tokens": 6, "prompt_tokens": 631, "total_tokens": 637, "completion_tokens_details": null, "prompt_tokens_details": {"audio_tokens": null, "cached_tokens": 512}, "prompt_cache_hit_tokens": 512, "prompt_cache_miss_tokens": 119}</x:v>
      </x:c>
      <x:c r="N1035" s="30" t="str">
        <x:v>hallucination</x:v>
      </x:c>
      <x:c r="O1035"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present in the benchmark.</x:v>
      </x:c>
      <x:c r="P1035" s="30" t="str">
        <x:v>LongCat-2.0</x:v>
      </x:c>
      <x:c r="Q1035" s="30" t="str">
        <x:v>LongCat-2.0</x:v>
      </x:c>
      <x:c r="R1035" s="30" t="n">
        <x:v>2815.49</x:v>
      </x:c>
      <x:c r="S1035" s="30" t="str">
        <x:v>{"completion_tokens": 75, "prompt_tokens": 162,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6">
      <x:c r="A1036" s="30" t="str">
        <x:v>memos_medium:476</x:v>
      </x:c>
      <x:c r="B1036" s="30" t="str">
        <x:v>medium</x:v>
      </x:c>
      <x:c r="C1036" s="30" t="str">
        <x:v>Generalization &amp; Application</x:v>
      </x:c>
      <x:c r="D1036" s="30" t="n">
        <x:v>3</x:v>
      </x:c>
      <x:c r="E1036" s="30" t="str">
        <x:v>Based on Donald Brown's evolving beverage preferences, what type of new activity might he explore after May 13, 2033?</x:v>
      </x:c>
      <x:c r="F1036" s="30" t="str">
        <x:v>Activities offering sustained energy without negative side effects.</x:v>
      </x:c>
      <x:c r="G1036" s="30" t="str">
        <x:v>Testing boundaries or new hobbies.</x:v>
      </x:c>
      <x:c r="H1036" s="30" t="str">
        <x:v>deepseek-v4-flash</x:v>
      </x:c>
      <x:c r="I1036" s="30" t="str">
        <x:v>deepseek-v4-flash</x:v>
      </x:c>
      <x:c r="J1036" s="30" t="str">
        <x:v>0a4e3033a67b59455cee71c7fb48c89a2209e5a75602b79f4b6395a29f64a0c3</x:v>
      </x:c>
      <x:c r="K1036" s="30" t="str">
        <x:v>5b38ea98edec1ec1d518e08118a3ada6b13b96ee57bbcfc787ec4fdf65014816</x:v>
      </x:c>
      <x:c r="L1036" s="30" t="n">
        <x:v>562.88</x:v>
      </x:c>
      <x:c r="M1036" s="30" t="str">
        <x:v>{"completion_tokens": 6, "prompt_tokens": 631, "total_tokens": 637, "completion_tokens_details": null, "prompt_tokens_details": {"audio_tokens": null, "cached_tokens": 512}, "prompt_cache_hit_tokens": 512, "prompt_cache_miss_tokens": 119}</x:v>
      </x:c>
      <x:c r="N1036" s="30" t="str">
        <x:v>hallucination</x:v>
      </x:c>
      <x:c r="O1036" s="30" t="str">
        <x:v>The gold answer specifies activities offering sustained energy without negative side effects, which is a concrete claim tied to Donald Brown's beverage preferences. The model answer 'Testing boundaries or new hobbies' is a vague, generic response that does not semantically match the gold answer and introduces unsupported material not found in the benchmark.</x:v>
      </x:c>
      <x:c r="P1036" s="30" t="str">
        <x:v>LongCat-2.0</x:v>
      </x:c>
      <x:c r="Q1036" s="30" t="str">
        <x:v>LongCat-2.0</x:v>
      </x:c>
      <x:c r="R1036" s="30" t="n">
        <x:v>2867.18</x:v>
      </x:c>
      <x:c r="S1036" s="30" t="str">
        <x:v>{"completion_tokens": 75, "prompt_tokens": 162,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7">
      <x:c r="A1037" s="30" t="str">
        <x:v>memos_medium:483</x:v>
      </x:c>
      <x:c r="B1037" s="30" t="str">
        <x:v>medium</x:v>
      </x:c>
      <x:c r="C1037" s="30" t="str">
        <x:v>Multi-hop Inference</x:v>
      </x:c>
      <x:c r="D1037" s="30" t="n">
        <x:v>1</x:v>
      </x:c>
      <x:c r="E1037" s="30" t="str">
        <x:v>What were the reasons behind Donald Brown's career transition on May 10, 2033?</x:v>
      </x:c>
      <x:c r="F1037" s="30" t="str">
        <x:v>Flexibility, work-life balance, and leveraging expertise.</x:v>
      </x:c>
      <x:c r="G1037" s="30" t="str">
        <x:v>Flexibility and better work-life balance.</x:v>
      </x:c>
      <x:c r="H1037" s="30" t="str">
        <x:v>deepseek-v4-flash</x:v>
      </x:c>
      <x:c r="I1037" s="30" t="str">
        <x:v>deepseek-v4-flash</x:v>
      </x:c>
      <x:c r="J1037" s="30" t="str">
        <x:v>fdec71c835ae8463fd1a9ae798470733bdf11cef8a31554f840dfcddc63bdd9c</x:v>
      </x:c>
      <x:c r="K1037" s="30" t="str">
        <x:v>9ef672a261b25a2b5fded503958ef8683b065b729ff8cae08e5847e73cb0abd4</x:v>
      </x:c>
      <x:c r="L1037" s="30" t="n">
        <x:v>703.71</x:v>
      </x:c>
      <x:c r="M1037" s="30" t="str">
        <x:v>{"completion_tokens": 8, "prompt_tokens": 607, "total_tokens": 615, "completion_tokens_details": null, "prompt_tokens_details": {"audio_tokens": null, "cached_tokens": 512}, "prompt_cache_hit_tokens": 512, "prompt_cache_miss_tokens": 95}</x:v>
      </x:c>
      <x:c r="N1037" s="30" t="str">
        <x:v>omission</x:v>
      </x:c>
      <x:c r="O1037" s="30" t="str">
        <x:v>The model answer includes 'Flexibility' and 'better work-life balance' but omits the third reason 'leveraging expertise' from the gold answer. Since it provides only an incomplete subset without adding a false claim, it is an omission.</x:v>
      </x:c>
      <x:c r="P1037" s="30" t="str">
        <x:v>LongCat-2.0</x:v>
      </x:c>
      <x:c r="Q1037" s="30" t="str">
        <x:v>LongCat-2.0</x:v>
      </x:c>
      <x:c r="R1037" s="30" t="n">
        <x:v>2722.54</x:v>
      </x:c>
      <x:c r="S1037" s="30" t="str">
        <x:v>{"completion_tokens": 61, "prompt_tokens": 158,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8">
      <x:c r="A1038" s="30" t="str">
        <x:v>memos_medium:483</x:v>
      </x:c>
      <x:c r="B1038" s="30" t="str">
        <x:v>medium</x:v>
      </x:c>
      <x:c r="C1038" s="30" t="str">
        <x:v>Multi-hop Inference</x:v>
      </x:c>
      <x:c r="D1038" s="30" t="n">
        <x:v>2</x:v>
      </x:c>
      <x:c r="E1038" s="30" t="str">
        <x:v>What were the reasons behind Donald Brown's career transition on May 10, 2033?</x:v>
      </x:c>
      <x:c r="F1038" s="30" t="str">
        <x:v>Flexibility, work-life balance, and leveraging expertise.</x:v>
      </x:c>
      <x:c r="G1038" s="30" t="str">
        <x:v>Flexibility and better work-life balance.</x:v>
      </x:c>
      <x:c r="H1038" s="30" t="str">
        <x:v>deepseek-v4-flash</x:v>
      </x:c>
      <x:c r="I1038" s="30" t="str">
        <x:v>deepseek-v4-flash</x:v>
      </x:c>
      <x:c r="J1038" s="30" t="str">
        <x:v>fdec71c835ae8463fd1a9ae798470733bdf11cef8a31554f840dfcddc63bdd9c</x:v>
      </x:c>
      <x:c r="K1038" s="30" t="str">
        <x:v>9ef672a261b25a2b5fded503958ef8683b065b729ff8cae08e5847e73cb0abd4</x:v>
      </x:c>
      <x:c r="L1038" s="30" t="n">
        <x:v>773.8</x:v>
      </x:c>
      <x:c r="M1038" s="30" t="str">
        <x:v>{"completion_tokens": 8, "prompt_tokens": 607, "total_tokens": 615, "completion_tokens_details": null, "prompt_tokens_details": {"audio_tokens": null, "cached_tokens": 512}, "prompt_cache_hit_tokens": 512, "prompt_cache_miss_tokens": 95}</x:v>
      </x:c>
      <x:c r="N1038" s="30" t="str">
        <x:v>omission</x:v>
      </x:c>
      <x:c r="O1038" s="30" t="str">
        <x:v>The model answer provides two of the three reasons (flexibility and work-life balance) but omits the third reason (leveraging expertise) without adding any false or contradictory information.</x:v>
      </x:c>
      <x:c r="P1038" s="30" t="str">
        <x:v>LongCat-2.0</x:v>
      </x:c>
      <x:c r="Q1038" s="30" t="str">
        <x:v>LongCat-2.0</x:v>
      </x:c>
      <x:c r="R1038" s="30" t="n">
        <x:v>2048.34</x:v>
      </x:c>
      <x:c r="S1038" s="30" t="str">
        <x:v>{"completion_tokens": 48, "prompt_tokens": 158,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39">
      <x:c r="A1039" s="30" t="str">
        <x:v>memos_medium:483</x:v>
      </x:c>
      <x:c r="B1039" s="30" t="str">
        <x:v>medium</x:v>
      </x:c>
      <x:c r="C1039" s="30" t="str">
        <x:v>Multi-hop Inference</x:v>
      </x:c>
      <x:c r="D1039" s="30" t="n">
        <x:v>3</x:v>
      </x:c>
      <x:c r="E1039" s="30" t="str">
        <x:v>What were the reasons behind Donald Brown's career transition on May 10, 2033?</x:v>
      </x:c>
      <x:c r="F1039" s="30" t="str">
        <x:v>Flexibility, work-life balance, and leveraging expertise.</x:v>
      </x:c>
      <x:c r="G1039" s="30" t="str">
        <x:v>Flexibility and better work-life balance.</x:v>
      </x:c>
      <x:c r="H1039" s="30" t="str">
        <x:v>deepseek-v4-flash</x:v>
      </x:c>
      <x:c r="I1039" s="30" t="str">
        <x:v>deepseek-v4-flash</x:v>
      </x:c>
      <x:c r="J1039" s="30" t="str">
        <x:v>fdec71c835ae8463fd1a9ae798470733bdf11cef8a31554f840dfcddc63bdd9c</x:v>
      </x:c>
      <x:c r="K1039" s="30" t="str">
        <x:v>9ef672a261b25a2b5fded503958ef8683b065b729ff8cae08e5847e73cb0abd4</x:v>
      </x:c>
      <x:c r="L1039" s="30" t="n">
        <x:v>667.79</x:v>
      </x:c>
      <x:c r="M1039" s="30" t="str">
        <x:v>{"completion_tokens": 8, "prompt_tokens": 607, "total_tokens": 615, "completion_tokens_details": null, "prompt_tokens_details": {"audio_tokens": null, "cached_tokens": 512}, "prompt_cache_hit_tokens": 512, "prompt_cache_miss_tokens": 95}</x:v>
      </x:c>
      <x:c r="N1039" s="30" t="str">
        <x:v>omission</x:v>
      </x:c>
      <x:c r="O1039" s="30" t="str">
        <x:v>The model answer includes 'Flexibility' and 'better work-life balance', which are two of the three reasons in the gold answer, but it omits 'leveraging expertise'. Since it provides only an incomplete subset of the gold answer without adding any false claims, it is classified as an omission.</x:v>
      </x:c>
      <x:c r="P1039" s="30" t="str">
        <x:v>LongCat-2.0</x:v>
      </x:c>
      <x:c r="Q1039" s="30" t="str">
        <x:v>LongCat-2.0</x:v>
      </x:c>
      <x:c r="R1039" s="30" t="n">
        <x:v>3599.89</x:v>
      </x:c>
      <x:c r="S1039" s="30" t="str">
        <x:v>{"completion_tokens": 72, "prompt_tokens": 158,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0">
      <x:c r="A1040" s="30" t="str">
        <x:v>memos_medium:499</x:v>
      </x:c>
      <x:c r="B1040" s="30" t="str">
        <x:v>medium</x:v>
      </x:c>
      <x:c r="C1040" s="30" t="str">
        <x:v>Basic Fact Recall</x:v>
      </x:c>
      <x:c r="D1040" s="30" t="n">
        <x:v>1</x:v>
      </x:c>
      <x:c r="E1040" s="30" t="str">
        <x:v>What is Donald Brown's updated stance on country music as of October 10, 2034?</x:v>
      </x:c>
      <x:c r="F1040" s="30" t="str">
        <x:v>Neutral stance, appreciating its storytelling charm.</x:v>
      </x:c>
      <x:c r="G1040" s="30" t="str">
        <x:v>Appreciates its storytelling charm.</x:v>
      </x:c>
      <x:c r="H1040" s="30" t="str">
        <x:v>deepseek-v4-flash</x:v>
      </x:c>
      <x:c r="I1040" s="30" t="str">
        <x:v>deepseek-v4-flash</x:v>
      </x:c>
      <x:c r="J1040" s="30" t="str">
        <x:v>ac4581d9d600f6d944fae5389999e58ad6bb9ee9d29e78d1c58ccb342189aeb4</x:v>
      </x:c>
      <x:c r="K1040" s="30" t="str">
        <x:v>46b4a7c4b54db0fbdf8fb78ea991604ddb3f923996d5e608cea3b352f6496b42</x:v>
      </x:c>
      <x:c r="L1040" s="30" t="n">
        <x:v>644.76</x:v>
      </x:c>
      <x:c r="M1040" s="30" t="str">
        <x:v>{"completion_tokens": 7, "prompt_tokens": 545, "total_tokens": 552, "completion_tokens_details": null, "prompt_tokens_details": {"audio_tokens": null, "cached_tokens": 512}, "prompt_cache_hit_tokens": 512, "prompt_cache_miss_tokens": 33}</x:v>
      </x:c>
      <x:c r="N1040" s="30" t="str">
        <x:v>omission</x:v>
      </x:c>
      <x:c r="O1040" s="30" t="str">
        <x:v>The model answer captures the positive aspect ('appreciates its storytelling charm') but omits the key qualifier 'neutral stance' from the gold answer, making it an incomplete subset.</x:v>
      </x:c>
      <x:c r="P1040" s="30" t="str">
        <x:v>LongCat-2.0</x:v>
      </x:c>
      <x:c r="Q1040" s="30" t="str">
        <x:v>LongCat-2.0</x:v>
      </x:c>
      <x:c r="R1040" s="30" t="n">
        <x:v>2970.18</x:v>
      </x:c>
      <x:c r="S1040" s="30" t="str">
        <x:v>{"completion_tokens": 48, "prompt_tokens": 157,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1">
      <x:c r="A1041" s="30" t="str">
        <x:v>memos_medium:499</x:v>
      </x:c>
      <x:c r="B1041" s="30" t="str">
        <x:v>medium</x:v>
      </x:c>
      <x:c r="C1041" s="30" t="str">
        <x:v>Basic Fact Recall</x:v>
      </x:c>
      <x:c r="D1041" s="30" t="n">
        <x:v>2</x:v>
      </x:c>
      <x:c r="E1041" s="30" t="str">
        <x:v>What is Donald Brown's updated stance on country music as of October 10, 2034?</x:v>
      </x:c>
      <x:c r="F1041" s="30" t="str">
        <x:v>Neutral stance, appreciating its storytelling charm.</x:v>
      </x:c>
      <x:c r="G1041" s="30" t="str">
        <x:v>Appreciates its storytelling charm.</x:v>
      </x:c>
      <x:c r="H1041" s="30" t="str">
        <x:v>deepseek-v4-flash</x:v>
      </x:c>
      <x:c r="I1041" s="30" t="str">
        <x:v>deepseek-v4-flash</x:v>
      </x:c>
      <x:c r="J1041" s="30" t="str">
        <x:v>ac4581d9d600f6d944fae5389999e58ad6bb9ee9d29e78d1c58ccb342189aeb4</x:v>
      </x:c>
      <x:c r="K1041" s="30" t="str">
        <x:v>46b4a7c4b54db0fbdf8fb78ea991604ddb3f923996d5e608cea3b352f6496b42</x:v>
      </x:c>
      <x:c r="L1041" s="30" t="n">
        <x:v>593.21</x:v>
      </x:c>
      <x:c r="M1041" s="30" t="str">
        <x:v>{"completion_tokens": 7, "prompt_tokens": 545, "total_tokens": 552, "completion_tokens_details": null, "prompt_tokens_details": {"audio_tokens": null, "cached_tokens": 512}, "prompt_cache_hit_tokens": 512, "prompt_cache_miss_tokens": 33}</x:v>
      </x:c>
      <x:c r="N1041" s="30" t="str">
        <x:v>omission</x:v>
      </x:c>
      <x:c r="O1041" s="30" t="str">
        <x:v>The model answer captures the positive aspect ('appreciates its storytelling charm') but omits the key qualifier 'neutral stance' from the gold answer, making it an incomplete subset.</x:v>
      </x:c>
      <x:c r="P1041" s="30" t="str">
        <x:v>LongCat-2.0</x:v>
      </x:c>
      <x:c r="Q1041" s="30" t="str">
        <x:v>LongCat-2.0</x:v>
      </x:c>
      <x:c r="R1041" s="30" t="n">
        <x:v>2457.19</x:v>
      </x:c>
      <x:c r="S1041" s="30" t="str">
        <x:v>{"completion_tokens": 48, "prompt_tokens": 157, "total_tokens": 205,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42">
      <x:c r="A1042" s="30" t="str">
        <x:v>memos_medium:499</x:v>
      </x:c>
      <x:c r="B1042" s="30" t="str">
        <x:v>medium</x:v>
      </x:c>
      <x:c r="C1042" s="30" t="str">
        <x:v>Basic Fact Recall</x:v>
      </x:c>
      <x:c r="D1042" s="30" t="n">
        <x:v>3</x:v>
      </x:c>
      <x:c r="E1042" s="30" t="str">
        <x:v>What is Donald Brown's updated stance on country music as of October 10, 2034?</x:v>
      </x:c>
      <x:c r="F1042" s="30" t="str">
        <x:v>Neutral stance, appreciating its storytelling charm.</x:v>
      </x:c>
      <x:c r="G1042" s="30" t="str">
        <x:v>Appreciates its storytelling charm.</x:v>
      </x:c>
      <x:c r="H1042" s="30" t="str">
        <x:v>deepseek-v4-flash</x:v>
      </x:c>
      <x:c r="I1042" s="30" t="str">
        <x:v>deepseek-v4-flash</x:v>
      </x:c>
      <x:c r="J1042" s="30" t="str">
        <x:v>ac4581d9d600f6d944fae5389999e58ad6bb9ee9d29e78d1c58ccb342189aeb4</x:v>
      </x:c>
      <x:c r="K1042" s="30" t="str">
        <x:v>46b4a7c4b54db0fbdf8fb78ea991604ddb3f923996d5e608cea3b352f6496b42</x:v>
      </x:c>
      <x:c r="L1042" s="30" t="n">
        <x:v>722.41</x:v>
      </x:c>
      <x:c r="M1042" s="30" t="str">
        <x:v>{"completion_tokens": 7, "prompt_tokens": 545, "total_tokens": 552, "completion_tokens_details": null, "prompt_tokens_details": {"audio_tokens": null, "cached_tokens": 512}, "prompt_cache_hit_tokens": 512, "prompt_cache_miss_tokens": 33}</x:v>
      </x:c>
      <x:c r="N1042" s="30" t="str">
        <x:v>omission</x:v>
      </x:c>
      <x:c r="O1042" s="30" t="str">
        <x:v>The model answer captures the positive aspect ('appreciates its storytelling charm') but omits the key qualifier 'neutral stance' from the gold answer, making it an incomplete subset.</x:v>
      </x:c>
      <x:c r="P1042" s="30" t="str">
        <x:v>LongCat-2.0</x:v>
      </x:c>
      <x:c r="Q1042" s="30" t="str">
        <x:v>LongCat-2.0</x:v>
      </x:c>
      <x:c r="R1042" s="30" t="n">
        <x:v>2566.64</x:v>
      </x:c>
      <x:c r="S1042" s="30" t="str">
        <x:v>{"completion_tokens": 48, "prompt_tokens": 157,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3">
      <x:c r="A1043" s="30" t="str">
        <x:v>memos_medium:51</x:v>
      </x:c>
      <x:c r="B1043" s="30" t="str">
        <x:v>medium</x:v>
      </x:c>
      <x:c r="C1043" s="30" t="str">
        <x:v>Multi-hop Inference</x:v>
      </x:c>
      <x:c r="D1043" s="30" t="n">
        <x:v>1</x:v>
      </x:c>
      <x:c r="E1043" s="30" t="str">
        <x:v>What activities does Martin plan to engage in during his sabbatical starting June 1, 2028?</x:v>
      </x:c>
      <x:c r="F1043" s="30" t="str">
        <x:v>Yoga retreats, nature hikes, workshops, and seminars.</x:v>
      </x:c>
      <x:c r="G1043" s="30" t="str">
        <x:v>Yoga retreats and nature hikes.</x:v>
      </x:c>
      <x:c r="H1043" s="30" t="str">
        <x:v>deepseek-v4-flash</x:v>
      </x:c>
      <x:c r="I1043" s="30" t="str">
        <x:v>deepseek-v4-flash</x:v>
      </x:c>
      <x:c r="J1043" s="30" t="str">
        <x:v>6e8a888280773ba41a9adf42f10dd1593039296af3faab55b02ee9d681cf1560</x:v>
      </x:c>
      <x:c r="K1043" s="30" t="str">
        <x:v>1aed6d45f862ad7aeb3dcb6da55f335139ca855b66310d2d3a1f75c1ccdcf014</x:v>
      </x:c>
      <x:c r="L1043" s="30" t="n">
        <x:v>669.18</x:v>
      </x:c>
      <x:c r="M1043" s="30" t="str">
        <x:v>{"completion_tokens": 8, "prompt_tokens": 612, "total_tokens": 620, "completion_tokens_details": null, "prompt_tokens_details": {"audio_tokens": null, "cached_tokens": 512}, "prompt_cache_hit_tokens": 512, "prompt_cache_miss_tokens": 100}</x:v>
      </x:c>
      <x:c r="N1043" s="30" t="str">
        <x:v>omission</x:v>
      </x:c>
      <x:c r="O1043" s="30" t="str">
        <x:v>The model answer provides only a subset of the gold answer (yoga retreats and nature hikes) while omitting 'workshops and seminars' without adding any false claims.</x:v>
      </x:c>
      <x:c r="P1043" s="30" t="str">
        <x:v>LongCat-2.0</x:v>
      </x:c>
      <x:c r="Q1043" s="30" t="str">
        <x:v>LongCat-2.0</x:v>
      </x:c>
      <x:c r="R1043" s="30" t="n">
        <x:v>2511.73</x:v>
      </x:c>
      <x:c r="S1043" s="30" t="str">
        <x:v>{"completion_tokens": 48, "prompt_tokens": 164, "total_tokens": 212,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44">
      <x:c r="A1044" s="30" t="str">
        <x:v>memos_medium:51</x:v>
      </x:c>
      <x:c r="B1044" s="30" t="str">
        <x:v>medium</x:v>
      </x:c>
      <x:c r="C1044" s="30" t="str">
        <x:v>Multi-hop Inference</x:v>
      </x:c>
      <x:c r="D1044" s="30" t="n">
        <x:v>2</x:v>
      </x:c>
      <x:c r="E1044" s="30" t="str">
        <x:v>What activities does Martin plan to engage in during his sabbatical starting June 1, 2028?</x:v>
      </x:c>
      <x:c r="F1044" s="30" t="str">
        <x:v>Yoga retreats, nature hikes, workshops, and seminars.</x:v>
      </x:c>
      <x:c r="G1044" s="30" t="str">
        <x:v>Yoga retreats and nature hikes.</x:v>
      </x:c>
      <x:c r="H1044" s="30" t="str">
        <x:v>deepseek-v4-flash</x:v>
      </x:c>
      <x:c r="I1044" s="30" t="str">
        <x:v>deepseek-v4-flash</x:v>
      </x:c>
      <x:c r="J1044" s="30" t="str">
        <x:v>6e8a888280773ba41a9adf42f10dd1593039296af3faab55b02ee9d681cf1560</x:v>
      </x:c>
      <x:c r="K1044" s="30" t="str">
        <x:v>1aed6d45f862ad7aeb3dcb6da55f335139ca855b66310d2d3a1f75c1ccdcf014</x:v>
      </x:c>
      <x:c r="L1044" s="30" t="n">
        <x:v>945.22</x:v>
      </x:c>
      <x:c r="M1044" s="30" t="str">
        <x:v>{"completion_tokens": 8, "prompt_tokens": 612, "total_tokens": 620, "completion_tokens_details": null, "prompt_tokens_details": {"audio_tokens": null, "cached_tokens": 512}, "prompt_cache_hit_tokens": 512, "prompt_cache_miss_tokens": 100}</x:v>
      </x:c>
      <x:c r="N1044" s="30" t="str">
        <x:v>omission</x:v>
      </x:c>
      <x:c r="O1044" s="30" t="str">
        <x:v>The model answer provides only a subset of the gold answer (yoga retreats and nature hikes) while omitting workshops and seminars, without adding any false claims.</x:v>
      </x:c>
      <x:c r="P1044" s="30" t="str">
        <x:v>LongCat-2.0</x:v>
      </x:c>
      <x:c r="Q1044" s="30" t="str">
        <x:v>LongCat-2.0</x:v>
      </x:c>
      <x:c r="R1044" s="30" t="n">
        <x:v>2094.22</x:v>
      </x:c>
      <x:c r="S1044" s="30" t="str">
        <x:v>{"completion_tokens": 46, "prompt_tokens": 164,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5">
      <x:c r="A1045" s="30" t="str">
        <x:v>memos_medium:51</x:v>
      </x:c>
      <x:c r="B1045" s="30" t="str">
        <x:v>medium</x:v>
      </x:c>
      <x:c r="C1045" s="30" t="str">
        <x:v>Multi-hop Inference</x:v>
      </x:c>
      <x:c r="D1045" s="30" t="n">
        <x:v>3</x:v>
      </x:c>
      <x:c r="E1045" s="30" t="str">
        <x:v>What activities does Martin plan to engage in during his sabbatical starting June 1, 2028?</x:v>
      </x:c>
      <x:c r="F1045" s="30" t="str">
        <x:v>Yoga retreats, nature hikes, workshops, and seminars.</x:v>
      </x:c>
      <x:c r="G1045" s="30" t="str">
        <x:v>Yoga retreats and nature hikes.</x:v>
      </x:c>
      <x:c r="H1045" s="30" t="str">
        <x:v>deepseek-v4-flash</x:v>
      </x:c>
      <x:c r="I1045" s="30" t="str">
        <x:v>deepseek-v4-flash</x:v>
      </x:c>
      <x:c r="J1045" s="30" t="str">
        <x:v>6e8a888280773ba41a9adf42f10dd1593039296af3faab55b02ee9d681cf1560</x:v>
      </x:c>
      <x:c r="K1045" s="30" t="str">
        <x:v>1aed6d45f862ad7aeb3dcb6da55f335139ca855b66310d2d3a1f75c1ccdcf014</x:v>
      </x:c>
      <x:c r="L1045" s="30" t="n">
        <x:v>940</x:v>
      </x:c>
      <x:c r="M1045" s="30" t="str">
        <x:v>{"completion_tokens": 8, "prompt_tokens": 612, "total_tokens": 620, "completion_tokens_details": null, "prompt_tokens_details": {"audio_tokens": null, "cached_tokens": 512}, "prompt_cache_hit_tokens": 512, "prompt_cache_miss_tokens": 100}</x:v>
      </x:c>
      <x:c r="N1045" s="30" t="str">
        <x:v>omission</x:v>
      </x:c>
      <x:c r="O1045" s="30" t="str">
        <x:v>The model answer provides only a subset of the gold answer (yoga retreats and nature hikes) while omitting workshops and seminars, without adding any false claims.</x:v>
      </x:c>
      <x:c r="P1045" s="30" t="str">
        <x:v>LongCat-2.0</x:v>
      </x:c>
      <x:c r="Q1045" s="30" t="str">
        <x:v>LongCat-2.0</x:v>
      </x:c>
      <x:c r="R1045" s="30" t="n">
        <x:v>2766</x:v>
      </x:c>
      <x:c r="S1045" s="30" t="str">
        <x:v>{"completion_tokens": 46, "prompt_tokens": 164,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6">
      <x:c r="A1046" s="30" t="str">
        <x:v>memos_medium:517</x:v>
      </x:c>
      <x:c r="B1046" s="30" t="str">
        <x:v>medium</x:v>
      </x:c>
      <x:c r="C1046" s="30" t="str">
        <x:v>Multi-hop Inference</x:v>
      </x:c>
      <x:c r="D1046" s="30" t="n">
        <x:v>1</x:v>
      </x:c>
      <x:c r="E1046" s="30" t="str">
        <x:v>How did Donald Brown's community involvement post-retirement align with his life goals by January 5, 2036?</x:v>
      </x:c>
      <x:c r="F1046" s="30" t="str">
        <x:v>Aligned with his life goal of humanitarian care.</x:v>
      </x:c>
      <x:c r="G1046" s="30" t="str">
        <x:v>Aligned with humanitarian care.</x:v>
      </x:c>
      <x:c r="H1046" s="30" t="str">
        <x:v>deepseek-v4-flash</x:v>
      </x:c>
      <x:c r="I1046" s="30" t="str">
        <x:v>deepseek-v4-flash</x:v>
      </x:c>
      <x:c r="J1046" s="30" t="str">
        <x:v>030ef2764c9ec87a44c540337f1211bdc35bffd08283ce3645dc7bbb6b4c722f</x:v>
      </x:c>
      <x:c r="K1046" s="30" t="str">
        <x:v>c2f507748a8311455a7e568c0f20ca774ee2db17ad82c76758d75ed8482eaf7a</x:v>
      </x:c>
      <x:c r="L1046" s="30" t="n">
        <x:v>514.76</x:v>
      </x:c>
      <x:c r="M1046" s="30" t="str">
        <x:v>{"completion_tokens": 6, "prompt_tokens": 567, "total_tokens": 573, "completion_tokens_details": null, "prompt_tokens_details": {"audio_tokens": null, "cached_tokens": 512}, "prompt_cache_hit_tokens": 512, "prompt_cache_miss_tokens": 55}</x:v>
      </x:c>
      <x:c r="N1046" s="30" t="str">
        <x:v>correct</x:v>
      </x:c>
      <x:c r="O1046" s="30" t="str">
        <x:v>The model answer 'Aligned with humanitarian care' is semantically equivalent to the benchmark gold answer 'Aligned with his life goal of humanitarian care.' The omission of 'his life goal of' does not change the core meaning, and no false or unsupported claims are added.</x:v>
      </x:c>
      <x:c r="P1046" s="30" t="str">
        <x:v>LongCat-2.0</x:v>
      </x:c>
      <x:c r="Q1046" s="30" t="str">
        <x:v>LongCat-2.0</x:v>
      </x:c>
      <x:c r="R1046" s="30" t="n">
        <x:v>2950.45</x:v>
      </x:c>
      <x:c r="S1046" s="30" t="str">
        <x:v>{"completion_tokens": 64, "prompt_tokens": 157, "total_tokens": 221,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47">
      <x:c r="A1047" s="30" t="str">
        <x:v>memos_medium:517</x:v>
      </x:c>
      <x:c r="B1047" s="30" t="str">
        <x:v>medium</x:v>
      </x:c>
      <x:c r="C1047" s="30" t="str">
        <x:v>Multi-hop Inference</x:v>
      </x:c>
      <x:c r="D1047" s="30" t="n">
        <x:v>2</x:v>
      </x:c>
      <x:c r="E1047" s="30" t="str">
        <x:v>How did Donald Brown's community involvement post-retirement align with his life goals by January 5, 2036?</x:v>
      </x:c>
      <x:c r="F1047" s="30" t="str">
        <x:v>Aligned with his life goal of humanitarian care.</x:v>
      </x:c>
      <x:c r="G1047" s="30" t="str">
        <x:v>Aligned with humanitarian care.</x:v>
      </x:c>
      <x:c r="H1047" s="30" t="str">
        <x:v>deepseek-v4-flash</x:v>
      </x:c>
      <x:c r="I1047" s="30" t="str">
        <x:v>deepseek-v4-flash</x:v>
      </x:c>
      <x:c r="J1047" s="30" t="str">
        <x:v>030ef2764c9ec87a44c540337f1211bdc35bffd08283ce3645dc7bbb6b4c722f</x:v>
      </x:c>
      <x:c r="K1047" s="30" t="str">
        <x:v>c2f507748a8311455a7e568c0f20ca774ee2db17ad82c76758d75ed8482eaf7a</x:v>
      </x:c>
      <x:c r="L1047" s="30" t="n">
        <x:v>855.32</x:v>
      </x:c>
      <x:c r="M1047" s="30" t="str">
        <x:v>{"completion_tokens": 6, "prompt_tokens": 567, "total_tokens": 573, "completion_tokens_details": null, "prompt_tokens_details": {"audio_tokens": null, "cached_tokens": 512}, "prompt_cache_hit_tokens": 512, "prompt_cache_miss_tokens": 55}</x:v>
      </x:c>
      <x:c r="N1047" s="30" t="str">
        <x:v>correct</x:v>
      </x:c>
      <x:c r="O1047" s="30" t="str">
        <x:v>The model answer 'Aligned with humanitarian care' is semantically equivalent to the benchmark gold answer 'Aligned with his life goal of humanitarian care.' The omission of 'his life goal of' does not change the core meaning, as the alignment with humanitarian care is fully captured.</x:v>
      </x:c>
      <x:c r="P1047" s="30" t="str">
        <x:v>LongCat-2.0</x:v>
      </x:c>
      <x:c r="Q1047" s="30" t="str">
        <x:v>LongCat-2.0</x:v>
      </x:c>
      <x:c r="R1047" s="30" t="n">
        <x:v>2978.6</x:v>
      </x:c>
      <x:c r="S1047" s="30" t="str">
        <x:v>{"completion_tokens": 65, "prompt_tokens": 157,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8">
      <x:c r="A1048" s="30" t="str">
        <x:v>memos_medium:517</x:v>
      </x:c>
      <x:c r="B1048" s="30" t="str">
        <x:v>medium</x:v>
      </x:c>
      <x:c r="C1048" s="30" t="str">
        <x:v>Multi-hop Inference</x:v>
      </x:c>
      <x:c r="D1048" s="30" t="n">
        <x:v>3</x:v>
      </x:c>
      <x:c r="E1048" s="30" t="str">
        <x:v>How did Donald Brown's community involvement post-retirement align with his life goals by January 5, 2036?</x:v>
      </x:c>
      <x:c r="F1048" s="30" t="str">
        <x:v>Aligned with his life goal of humanitarian care.</x:v>
      </x:c>
      <x:c r="G1048" s="30" t="str">
        <x:v>Aligned with humanitarian care.</x:v>
      </x:c>
      <x:c r="H1048" s="30" t="str">
        <x:v>deepseek-v4-flash</x:v>
      </x:c>
      <x:c r="I1048" s="30" t="str">
        <x:v>deepseek-v4-flash</x:v>
      </x:c>
      <x:c r="J1048" s="30" t="str">
        <x:v>030ef2764c9ec87a44c540337f1211bdc35bffd08283ce3645dc7bbb6b4c722f</x:v>
      </x:c>
      <x:c r="K1048" s="30" t="str">
        <x:v>c2f507748a8311455a7e568c0f20ca774ee2db17ad82c76758d75ed8482eaf7a</x:v>
      </x:c>
      <x:c r="L1048" s="30" t="n">
        <x:v>826.14</x:v>
      </x:c>
      <x:c r="M1048" s="30" t="str">
        <x:v>{"completion_tokens": 6, "prompt_tokens": 567, "total_tokens": 573, "completion_tokens_details": null, "prompt_tokens_details": {"audio_tokens": null, "cached_tokens": 512}, "prompt_cache_hit_tokens": 512, "prompt_cache_miss_tokens": 55}</x:v>
      </x:c>
      <x:c r="N1048" s="30" t="str">
        <x:v>correct</x:v>
      </x:c>
      <x:c r="O1048" s="30" t="str">
        <x:v>The model answer 'Aligned with humanitarian care' is a concise restatement of the gold answer 'Aligned with his life goal of humanitarian care.' It captures the complete semantic meaning without adding false or unsupported information, and the wording difference is acceptable per the criteria.</x:v>
      </x:c>
      <x:c r="P1048" s="30" t="str">
        <x:v>LongCat-2.0</x:v>
      </x:c>
      <x:c r="Q1048" s="30" t="str">
        <x:v>LongCat-2.0</x:v>
      </x:c>
      <x:c r="R1048" s="30" t="n">
        <x:v>2727.25</x:v>
      </x:c>
      <x:c r="S1048" s="30" t="str">
        <x:v>{"completion_tokens": 62, "prompt_tokens": 157,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49">
      <x:c r="A1049" s="30" t="str">
        <x:v>memos_medium:527</x:v>
      </x:c>
      <x:c r="B1049" s="30" t="str">
        <x:v>medium</x:v>
      </x:c>
      <x:c r="C1049" s="30" t="str">
        <x:v>Memory Conflict</x:v>
      </x:c>
      <x:c r="D1049" s="30" t="n">
        <x:v>1</x:v>
      </x:c>
      <x:c r="E1049" s="30" t="str">
        <x:v>On Sep 05, 2025, what was Sarah Garcia's job title at Microsoft?</x:v>
      </x:c>
      <x:c r="F1049" s="30" t="str">
        <x:v>Sarah Garcia's job title is manager at Oracle.</x:v>
      </x:c>
      <x:c r="G1049" s="30" t="str">
        <x:v>Manager at Oracle</x:v>
      </x:c>
      <x:c r="H1049" s="30" t="str">
        <x:v>deepseek-v4-flash</x:v>
      </x:c>
      <x:c r="I1049" s="30" t="str">
        <x:v>deepseek-v4-flash</x:v>
      </x:c>
      <x:c r="J1049" s="30" t="str">
        <x:v>161bb71e7a9f00e0f55af3fb374e966a325a427bd6535e65091a647b7a822a5b</x:v>
      </x:c>
      <x:c r="K1049" s="30" t="str">
        <x:v>d5a999918020dc8d5f291376a62fb753eed37963d4ae6bed6d3b279f868a8d7e</x:v>
      </x:c>
      <x:c r="L1049" s="30" t="n">
        <x:v>715.01</x:v>
      </x:c>
      <x:c r="M1049" s="30" t="str">
        <x:v>{"completion_tokens": 3, "prompt_tokens": 546, "total_tokens": 549, "completion_tokens_details": null, "prompt_tokens_details": {"audio_tokens": null, "cached_tokens": 512}, "prompt_cache_hit_tokens": 512, "prompt_cache_miss_tokens": 34}</x:v>
      </x:c>
      <x:c r="N1049" s="30" t="str">
        <x:v>hallucination</x:v>
      </x:c>
      <x:c r="O1049" s="30" t="str">
        <x:v>The question asks about Sarah Garcia's job title at Microsoft on Sep 05, 2025, but the model answer states 'Manager at Oracle,' which contradicts the gold answer's context of Microsoft and provides an unsupported/incorrect company name.</x:v>
      </x:c>
      <x:c r="P1049" s="30" t="str">
        <x:v>LongCat-2.0</x:v>
      </x:c>
      <x:c r="Q1049" s="30" t="str">
        <x:v>LongCat-2.0</x:v>
      </x:c>
      <x:c r="R1049" s="30" t="n">
        <x:v>3068.06</x:v>
      </x:c>
      <x:c r="S1049" s="30" t="str">
        <x:v>{"completion_tokens": 64, "prompt_tokens": 153,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0">
      <x:c r="A1050" s="30" t="str">
        <x:v>memos_medium:527</x:v>
      </x:c>
      <x:c r="B1050" s="30" t="str">
        <x:v>medium</x:v>
      </x:c>
      <x:c r="C1050" s="30" t="str">
        <x:v>Memory Conflict</x:v>
      </x:c>
      <x:c r="D1050" s="30" t="n">
        <x:v>2</x:v>
      </x:c>
      <x:c r="E1050" s="30" t="str">
        <x:v>On Sep 05, 2025, what was Sarah Garcia's job title at Microsoft?</x:v>
      </x:c>
      <x:c r="F1050" s="30" t="str">
        <x:v>Sarah Garcia's job title is manager at Oracle.</x:v>
      </x:c>
      <x:c r="G1050" s="30" t="str">
        <x:v>Manager at Oracle</x:v>
      </x:c>
      <x:c r="H1050" s="30" t="str">
        <x:v>deepseek-v4-flash</x:v>
      </x:c>
      <x:c r="I1050" s="30" t="str">
        <x:v>deepseek-v4-flash</x:v>
      </x:c>
      <x:c r="J1050" s="30" t="str">
        <x:v>161bb71e7a9f00e0f55af3fb374e966a325a427bd6535e65091a647b7a822a5b</x:v>
      </x:c>
      <x:c r="K1050" s="30" t="str">
        <x:v>d5a999918020dc8d5f291376a62fb753eed37963d4ae6bed6d3b279f868a8d7e</x:v>
      </x:c>
      <x:c r="L1050" s="30" t="n">
        <x:v>716.6</x:v>
      </x:c>
      <x:c r="M1050" s="30" t="str">
        <x:v>{"completion_tokens": 3, "prompt_tokens": 546, "total_tokens": 549, "completion_tokens_details": null, "prompt_tokens_details": {"audio_tokens": null, "cached_tokens": 512}, "prompt_cache_hit_tokens": 512, "prompt_cache_miss_tokens": 34}</x:v>
      </x:c>
      <x:c r="N1050" s="30" t="str">
        <x:v>hallucination</x:v>
      </x:c>
      <x:c r="O1050" s="30" t="str">
        <x:v>The question asks about Sarah Garcia's job title at Microsoft on Sep 05, 2025, but the model answer states 'Manager at Oracle,' which contradicts the gold answer's context of Microsoft by providing a different company (Oracle). This is a concrete answer that contradicts the gold answer's implied context, making it a hallucination.</x:v>
      </x:c>
      <x:c r="P1050" s="30" t="str">
        <x:v>LongCat-2.0</x:v>
      </x:c>
      <x:c r="Q1050" s="30" t="str">
        <x:v>LongCat-2.0</x:v>
      </x:c>
      <x:c r="R1050" s="30" t="n">
        <x:v>4300.55</x:v>
      </x:c>
      <x:c r="S1050" s="30" t="str">
        <x:v>{"completion_tokens": 83, "prompt_tokens": 153, "total_tokens": 236,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1">
      <x:c r="A1051" s="30" t="str">
        <x:v>memos_medium:527</x:v>
      </x:c>
      <x:c r="B1051" s="30" t="str">
        <x:v>medium</x:v>
      </x:c>
      <x:c r="C1051" s="30" t="str">
        <x:v>Memory Conflict</x:v>
      </x:c>
      <x:c r="D1051" s="30" t="n">
        <x:v>3</x:v>
      </x:c>
      <x:c r="E1051" s="30" t="str">
        <x:v>On Sep 05, 2025, what was Sarah Garcia's job title at Microsoft?</x:v>
      </x:c>
      <x:c r="F1051" s="30" t="str">
        <x:v>Sarah Garcia's job title is manager at Oracle.</x:v>
      </x:c>
      <x:c r="G1051" s="30" t="str">
        <x:v>Manager at Oracle</x:v>
      </x:c>
      <x:c r="H1051" s="30" t="str">
        <x:v>deepseek-v4-flash</x:v>
      </x:c>
      <x:c r="I1051" s="30" t="str">
        <x:v>deepseek-v4-flash</x:v>
      </x:c>
      <x:c r="J1051" s="30" t="str">
        <x:v>161bb71e7a9f00e0f55af3fb374e966a325a427bd6535e65091a647b7a822a5b</x:v>
      </x:c>
      <x:c r="K1051" s="30" t="str">
        <x:v>d5a999918020dc8d5f291376a62fb753eed37963d4ae6bed6d3b279f868a8d7e</x:v>
      </x:c>
      <x:c r="L1051" s="30" t="n">
        <x:v>715.59</x:v>
      </x:c>
      <x:c r="M1051" s="30" t="str">
        <x:v>{"completion_tokens": 3, "prompt_tokens": 546, "total_tokens": 549, "completion_tokens_details": null, "prompt_tokens_details": {"audio_tokens": null, "cached_tokens": 512}, "prompt_cache_hit_tokens": 512, "prompt_cache_miss_tokens": 34}</x:v>
      </x:c>
      <x:c r="N1051" s="30" t="str">
        <x:v>hallucination</x:v>
      </x:c>
      <x:c r="O1051" s="30" t="str">
        <x:v>The question asks about Sarah Garcia's job title at Microsoft on Sep 05, 2025, but the model answer states 'Manager at Oracle,' which contradicts the gold answer's context of Microsoft and provides an unsupported/incorrect company name.</x:v>
      </x:c>
      <x:c r="P1051" s="30" t="str">
        <x:v>LongCat-2.0</x:v>
      </x:c>
      <x:c r="Q1051" s="30" t="str">
        <x:v>LongCat-2.0</x:v>
      </x:c>
      <x:c r="R1051" s="30" t="n">
        <x:v>3717.48</x:v>
      </x:c>
      <x:c r="S1051" s="30" t="str">
        <x:v>{"completion_tokens": 64, "prompt_tokens": 153, "total_tokens": 217,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2">
      <x:c r="A1052" s="30" t="str">
        <x:v>memos_medium:539</x:v>
      </x:c>
      <x:c r="B1052" s="30" t="str">
        <x:v>medium</x:v>
      </x:c>
      <x:c r="C1052" s="30" t="str">
        <x:v>Generalization &amp; Application</x:v>
      </x:c>
      <x:c r="D1052" s="30" t="n">
        <x:v>1</x:v>
      </x:c>
      <x:c r="E1052" s="30" t="str">
        <x:v>How might Sarah Garcia's leadership style influence her team's performance in 2026?</x:v>
      </x:c>
      <x:c r="F1052" s="30" t="str">
        <x:v>Through empathetic interactions and open communication.</x:v>
      </x:c>
      <x:c r="G1052" s="30" t="str">
        <x:v>Enhances team performance.</x:v>
      </x:c>
      <x:c r="H1052" s="30" t="str">
        <x:v>deepseek-v4-flash</x:v>
      </x:c>
      <x:c r="I1052" s="30" t="str">
        <x:v>deepseek-v4-flash</x:v>
      </x:c>
      <x:c r="J1052" s="30" t="str">
        <x:v>79713d52376e35659e9e01302baedd914e9ac1638a8c12b490a6f98e7e228efa</x:v>
      </x:c>
      <x:c r="K1052" s="30" t="str">
        <x:v>3604d779a5c703a491111ecaaf43d54b3769d59a2cf8f68c4d79e3ce4f59651b</x:v>
      </x:c>
      <x:c r="L1052" s="30" t="n">
        <x:v>666.87</x:v>
      </x:c>
      <x:c r="M1052" s="30" t="str">
        <x:v>{"completion_tokens": 6, "prompt_tokens": 564, "total_tokens": 570, "completion_tokens_details": null, "prompt_tokens_details": {"audio_tokens": null, "cached_tokens": 512}, "prompt_cache_hit_tokens": 512, "prompt_cache_miss_tokens": 52}</x:v>
      </x:c>
      <x:c r="N1052" s="30" t="str">
        <x:v>omission</x:v>
      </x:c>
      <x:c r="O1052" s="30" t="str">
        <x:v>The model answer 'Enhances team performance' is vague and incomplete. It does not mention the specific mechanisms (empathetic interactions and open communication) described in the gold answer, nor does it provide any concrete detail about how the leadership style influences performance. It only gives a generic, unsupported claim that performance is enhanced without explaining how or why.</x:v>
      </x:c>
      <x:c r="P1052" s="30" t="str">
        <x:v>LongCat-2.0</x:v>
      </x:c>
      <x:c r="Q1052" s="30" t="str">
        <x:v>LongCat-2.0</x:v>
      </x:c>
      <x:c r="R1052" s="30" t="n">
        <x:v>3449.3</x:v>
      </x:c>
      <x:c r="S1052" s="30" t="str">
        <x:v>{"completion_tokens": 80, "prompt_tokens": 149,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3">
      <x:c r="A1053" s="30" t="str">
        <x:v>memos_medium:539</x:v>
      </x:c>
      <x:c r="B1053" s="30" t="str">
        <x:v>medium</x:v>
      </x:c>
      <x:c r="C1053" s="30" t="str">
        <x:v>Generalization &amp; Application</x:v>
      </x:c>
      <x:c r="D1053" s="30" t="n">
        <x:v>2</x:v>
      </x:c>
      <x:c r="E1053" s="30" t="str">
        <x:v>How might Sarah Garcia's leadership style influence her team's performance in 2026?</x:v>
      </x:c>
      <x:c r="F1053" s="30" t="str">
        <x:v>Through empathetic interactions and open communication.</x:v>
      </x:c>
      <x:c r="G1053" s="30" t="str">
        <x:v>Enhances team performance.</x:v>
      </x:c>
      <x:c r="H1053" s="30" t="str">
        <x:v>deepseek-v4-flash</x:v>
      </x:c>
      <x:c r="I1053" s="30" t="str">
        <x:v>deepseek-v4-flash</x:v>
      </x:c>
      <x:c r="J1053" s="30" t="str">
        <x:v>79713d52376e35659e9e01302baedd914e9ac1638a8c12b490a6f98e7e228efa</x:v>
      </x:c>
      <x:c r="K1053" s="30" t="str">
        <x:v>3604d779a5c703a491111ecaaf43d54b3769d59a2cf8f68c4d79e3ce4f59651b</x:v>
      </x:c>
      <x:c r="L1053" s="30" t="n">
        <x:v>636.17</x:v>
      </x:c>
      <x:c r="M1053" s="30" t="str">
        <x:v>{"completion_tokens": 6, "prompt_tokens": 564, "total_tokens": 570, "completion_tokens_details": null, "prompt_tokens_details": {"audio_tokens": null, "cached_tokens": 512}, "prompt_cache_hit_tokens": 512, "prompt_cache_miss_tokens": 52}</x:v>
      </x:c>
      <x:c r="N1053" s="30" t="str">
        <x:v>omission</x:v>
      </x:c>
      <x:c r="O1053" s="30" t="str">
        <x:v>The model answer 'Enhances team performance' is vague and does not include the specific mechanisms (empathetic interactions and open communication) provided in the gold answer. It gives only an incomplete subset without adding a concrete false claim.</x:v>
      </x:c>
      <x:c r="P1053" s="30" t="str">
        <x:v>LongCat-2.0</x:v>
      </x:c>
      <x:c r="Q1053" s="30" t="str">
        <x:v>LongCat-2.0</x:v>
      </x:c>
      <x:c r="R1053" s="30" t="n">
        <x:v>1996.77</x:v>
      </x:c>
      <x:c r="S1053" s="30" t="str">
        <x:v>{"completion_tokens": 57, "prompt_tokens": 149,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4">
      <x:c r="A1054" s="30" t="str">
        <x:v>memos_medium:539</x:v>
      </x:c>
      <x:c r="B1054" s="30" t="str">
        <x:v>medium</x:v>
      </x:c>
      <x:c r="C1054" s="30" t="str">
        <x:v>Generalization &amp; Application</x:v>
      </x:c>
      <x:c r="D1054" s="30" t="n">
        <x:v>3</x:v>
      </x:c>
      <x:c r="E1054" s="30" t="str">
        <x:v>How might Sarah Garcia's leadership style influence her team's performance in 2026?</x:v>
      </x:c>
      <x:c r="F1054" s="30" t="str">
        <x:v>Through empathetic interactions and open communication.</x:v>
      </x:c>
      <x:c r="G1054" s="30" t="str">
        <x:v>Enhances team performance.</x:v>
      </x:c>
      <x:c r="H1054" s="30" t="str">
        <x:v>deepseek-v4-flash</x:v>
      </x:c>
      <x:c r="I1054" s="30" t="str">
        <x:v>deepseek-v4-flash</x:v>
      </x:c>
      <x:c r="J1054" s="30" t="str">
        <x:v>79713d52376e35659e9e01302baedd914e9ac1638a8c12b490a6f98e7e228efa</x:v>
      </x:c>
      <x:c r="K1054" s="30" t="str">
        <x:v>3604d779a5c703a491111ecaaf43d54b3769d59a2cf8f68c4d79e3ce4f59651b</x:v>
      </x:c>
      <x:c r="L1054" s="30" t="n">
        <x:v>575.39</x:v>
      </x:c>
      <x:c r="M1054" s="30" t="str">
        <x:v>{"completion_tokens": 6, "prompt_tokens": 564, "total_tokens": 570, "completion_tokens_details": null, "prompt_tokens_details": {"audio_tokens": null, "cached_tokens": 512}, "prompt_cache_hit_tokens": 512, "prompt_cache_miss_tokens": 52}</x:v>
      </x:c>
      <x:c r="N1054" s="30" t="str">
        <x:v>omission</x:v>
      </x:c>
      <x:c r="O1054" s="30" t="str">
        <x:v>The model answer 'Enhances team performance' is vague and does not include the specific mechanisms (empathetic interactions and open communication) provided in the gold answer. It gives only an incomplete subset without adding a concrete false claim.</x:v>
      </x:c>
      <x:c r="P1054" s="30" t="str">
        <x:v>LongCat-2.0</x:v>
      </x:c>
      <x:c r="Q1054" s="30" t="str">
        <x:v>LongCat-2.0</x:v>
      </x:c>
      <x:c r="R1054" s="30" t="n">
        <x:v>2337.49</x:v>
      </x:c>
      <x:c r="S1054" s="30" t="str">
        <x:v>{"completion_tokens": 57, "prompt_tokens": 149,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55">
      <x:c r="A1055" s="30" t="str">
        <x:v>memos_medium:556</x:v>
      </x:c>
      <x:c r="B1055" s="30" t="str">
        <x:v>medium</x:v>
      </x:c>
      <x:c r="C1055" s="30" t="str">
        <x:v>Dynamic Update</x:v>
      </x:c>
      <x:c r="D1055" s="30" t="n">
        <x:v>1</x:v>
      </x:c>
      <x:c r="E1055" s="30" t="str">
        <x:v>How has Sarah Garcia's physical health status changed by Sep 15, 2027?</x:v>
      </x:c>
      <x:c r="F1055" s="30" t="str">
        <x:v>Changed from 'Improved' to 'Challenged'.</x:v>
      </x:c>
      <x:c r="G1055" s="30" t="str">
        <x:v>Improved to Challenged</x:v>
      </x:c>
      <x:c r="H1055" s="30" t="str">
        <x:v>deepseek-v4-flash</x:v>
      </x:c>
      <x:c r="I1055" s="30" t="str">
        <x:v>deepseek-v4-flash</x:v>
      </x:c>
      <x:c r="J1055" s="30" t="str">
        <x:v>e24a5e0046c743884081dc74294939478793bd457ab6bb015c29c40b8e310d00</x:v>
      </x:c>
      <x:c r="K1055" s="30" t="str">
        <x:v>de57ae29641abbca375a5ec71915c9b41e2118fbed6cea32e3f342616fcc0a8b</x:v>
      </x:c>
      <x:c r="L1055" s="30" t="n">
        <x:v>632.7</x:v>
      </x:c>
      <x:c r="M1055" s="30" t="str">
        <x:v>{"completion_tokens": 4, "prompt_tokens": 541, "total_tokens": 545, "completion_tokens_details": null, "prompt_tokens_details": {"audio_tokens": null, "cached_tokens": 512}, "prompt_cache_hit_tokens": 512, "prompt_cache_miss_tokens": 29}</x:v>
      </x:c>
      <x:c r="N1055" s="30" t="str">
        <x:v>correct</x:v>
      </x:c>
      <x:c r="O1055" s="30" t="str">
        <x:v>The model answer 'Improved to Challenged' semantically conveys the complete gold answer 'Changed from Improved to Challenged', capturing both the starting state and the resulting state with only minor wording differences.</x:v>
      </x:c>
      <x:c r="P1055" s="30" t="str">
        <x:v>LongCat-2.0</x:v>
      </x:c>
      <x:c r="Q1055" s="30" t="str">
        <x:v>LongCat-2.0</x:v>
      </x:c>
      <x:c r="R1055" s="30" t="n">
        <x:v>2442.11</x:v>
      </x:c>
      <x:c r="S1055" s="30" t="str">
        <x:v>{"completion_tokens": 53, "prompt_tokens": 157,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6">
      <x:c r="A1056" s="30" t="str">
        <x:v>memos_medium:556</x:v>
      </x:c>
      <x:c r="B1056" s="30" t="str">
        <x:v>medium</x:v>
      </x:c>
      <x:c r="C1056" s="30" t="str">
        <x:v>Dynamic Update</x:v>
      </x:c>
      <x:c r="D1056" s="30" t="n">
        <x:v>2</x:v>
      </x:c>
      <x:c r="E1056" s="30" t="str">
        <x:v>How has Sarah Garcia's physical health status changed by Sep 15, 2027?</x:v>
      </x:c>
      <x:c r="F1056" s="30" t="str">
        <x:v>Changed from 'Improved' to 'Challenged'.</x:v>
      </x:c>
      <x:c r="G1056" s="30" t="str">
        <x:v>Improved to Challenged</x:v>
      </x:c>
      <x:c r="H1056" s="30" t="str">
        <x:v>deepseek-v4-flash</x:v>
      </x:c>
      <x:c r="I1056" s="30" t="str">
        <x:v>deepseek-v4-flash</x:v>
      </x:c>
      <x:c r="J1056" s="30" t="str">
        <x:v>e24a5e0046c743884081dc74294939478793bd457ab6bb015c29c40b8e310d00</x:v>
      </x:c>
      <x:c r="K1056" s="30" t="str">
        <x:v>de57ae29641abbca375a5ec71915c9b41e2118fbed6cea32e3f342616fcc0a8b</x:v>
      </x:c>
      <x:c r="L1056" s="30" t="n">
        <x:v>556.69</x:v>
      </x:c>
      <x:c r="M1056" s="30" t="str">
        <x:v>{"completion_tokens": 4, "prompt_tokens": 541, "total_tokens": 545, "completion_tokens_details": null, "prompt_tokens_details": {"audio_tokens": null, "cached_tokens": 512}, "prompt_cache_hit_tokens": 512, "prompt_cache_miss_tokens": 29}</x:v>
      </x:c>
      <x:c r="N1056" s="30" t="str">
        <x:v>correct</x:v>
      </x:c>
      <x:c r="O1056" s="30" t="str">
        <x:v>The model answer 'Improved to Challenged' semantically conveys the complete gold answer 'Changed from Improved to Challenged', capturing both the starting state and the resulting state with only minor wording differences.</x:v>
      </x:c>
      <x:c r="P1056" s="30" t="str">
        <x:v>LongCat-2.0</x:v>
      </x:c>
      <x:c r="Q1056" s="30" t="str">
        <x:v>LongCat-2.0</x:v>
      </x:c>
      <x:c r="R1056" s="30" t="n">
        <x:v>2536.52</x:v>
      </x:c>
      <x:c r="S1056" s="30" t="str">
        <x:v>{"completion_tokens": 53, "prompt_tokens": 157,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57">
      <x:c r="A1057" s="30" t="str">
        <x:v>memos_medium:556</x:v>
      </x:c>
      <x:c r="B1057" s="30" t="str">
        <x:v>medium</x:v>
      </x:c>
      <x:c r="C1057" s="30" t="str">
        <x:v>Dynamic Update</x:v>
      </x:c>
      <x:c r="D1057" s="30" t="n">
        <x:v>3</x:v>
      </x:c>
      <x:c r="E1057" s="30" t="str">
        <x:v>How has Sarah Garcia's physical health status changed by Sep 15, 2027?</x:v>
      </x:c>
      <x:c r="F1057" s="30" t="str">
        <x:v>Changed from 'Improved' to 'Challenged'.</x:v>
      </x:c>
      <x:c r="G1057" s="30" t="str">
        <x:v>Improved to Challenged</x:v>
      </x:c>
      <x:c r="H1057" s="30" t="str">
        <x:v>deepseek-v4-flash</x:v>
      </x:c>
      <x:c r="I1057" s="30" t="str">
        <x:v>deepseek-v4-flash</x:v>
      </x:c>
      <x:c r="J1057" s="30" t="str">
        <x:v>e24a5e0046c743884081dc74294939478793bd457ab6bb015c29c40b8e310d00</x:v>
      </x:c>
      <x:c r="K1057" s="30" t="str">
        <x:v>de57ae29641abbca375a5ec71915c9b41e2118fbed6cea32e3f342616fcc0a8b</x:v>
      </x:c>
      <x:c r="L1057" s="30" t="n">
        <x:v>716.44</x:v>
      </x:c>
      <x:c r="M1057" s="30" t="str">
        <x:v>{"completion_tokens": 4, "prompt_tokens": 541, "total_tokens": 545, "completion_tokens_details": null, "prompt_tokens_details": {"audio_tokens": null, "cached_tokens": 512}, "prompt_cache_hit_tokens": 512, "prompt_cache_miss_tokens": 29}</x:v>
      </x:c>
      <x:c r="N1057" s="30" t="str">
        <x:v>correct</x:v>
      </x:c>
      <x:c r="O1057" s="30" t="str">
        <x:v>The model answer 'Improved to Challenged' semantically conveys the same complete information as the gold answer 'Changed from Improved to Challenged', with only minor wording differences.</x:v>
      </x:c>
      <x:c r="P1057" s="30" t="str">
        <x:v>LongCat-2.0</x:v>
      </x:c>
      <x:c r="Q1057" s="30" t="str">
        <x:v>LongCat-2.0</x:v>
      </x:c>
      <x:c r="R1057" s="30" t="n">
        <x:v>3041.5</x:v>
      </x:c>
      <x:c r="S1057" s="30" t="str">
        <x:v>{"completion_tokens": 48, "prompt_tokens": 157, "total_tokens": 205,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8">
      <x:c r="A1058" s="30" t="str">
        <x:v>memos_medium:567</x:v>
      </x:c>
      <x:c r="B1058" s="30" t="str">
        <x:v>medium</x:v>
      </x:c>
      <x:c r="C1058" s="30" t="str">
        <x:v>Generalization &amp; Application</x:v>
      </x:c>
      <x:c r="D1058" s="30" t="n">
        <x:v>1</x:v>
      </x:c>
      <x:c r="E1058" s="30" t="str">
        <x:v>What type of clothing might Sarah Garcia be interested in exploring after June 22, 2029?</x:v>
      </x:c>
      <x:c r="F1058" s="30" t="str">
        <x:v>Clothing that combines functionality with fashion.</x:v>
      </x:c>
      <x:c r="G1058" s="30" t="str">
        <x:v>Stylish cargo pants.</x:v>
      </x:c>
      <x:c r="H1058" s="30" t="str">
        <x:v>deepseek-v4-flash</x:v>
      </x:c>
      <x:c r="I1058" s="30" t="str">
        <x:v>deepseek-v4-flash</x:v>
      </x:c>
      <x:c r="J1058" s="30" t="str">
        <x:v>a9920e7cfd93b77ec4177058dc1039ae3046633bd6942b78982cc15c6c6c134c</x:v>
      </x:c>
      <x:c r="K1058" s="30" t="str">
        <x:v>631e2c322a96e430a541b81995dc59e88cd38818571c2cff3224ef9ddb9b2dd3</x:v>
      </x:c>
      <x:c r="L1058" s="30" t="n">
        <x:v>594.02</x:v>
      </x:c>
      <x:c r="M1058" s="30" t="str">
        <x:v>{"completion_tokens": 5, "prompt_tokens": 624, "total_tokens": 629, "completion_tokens_details": null, "prompt_tokens_details": {"audio_tokens": null, "cached_tokens": 512}, "prompt_cache_hit_tokens": 512, "prompt_cache_miss_tokens": 112}</x:v>
      </x:c>
      <x:c r="N1058" s="30" t="str">
        <x:v>omission</x:v>
      </x:c>
      <x:c r="O1058" s="30" t="str">
        <x:v>The gold answer is 'Clothing that combines functionality with fashion,' which is a broad category. The model answer 'Stylish cargo pants' is a specific example that fits within this category but does not semantically give the complete gold answer. It provides only a narrow subset of the full answer without adding a false claim, making it an omission rather than a correct or hallucinated response.</x:v>
      </x:c>
      <x:c r="P1058" s="30" t="str">
        <x:v>LongCat-2.0</x:v>
      </x:c>
      <x:c r="Q1058" s="30" t="str">
        <x:v>LongCat-2.0</x:v>
      </x:c>
      <x:c r="R1058" s="30" t="n">
        <x:v>3433.75</x:v>
      </x:c>
      <x:c r="S1058" s="30" t="str">
        <x:v>{"completion_tokens": 90, "prompt_tokens": 154,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59">
      <x:c r="A1059" s="30" t="str">
        <x:v>memos_medium:567</x:v>
      </x:c>
      <x:c r="B1059" s="30" t="str">
        <x:v>medium</x:v>
      </x:c>
      <x:c r="C1059" s="30" t="str">
        <x:v>Generalization &amp; Application</x:v>
      </x:c>
      <x:c r="D1059" s="30" t="n">
        <x:v>2</x:v>
      </x:c>
      <x:c r="E1059" s="30" t="str">
        <x:v>What type of clothing might Sarah Garcia be interested in exploring after June 22, 2029?</x:v>
      </x:c>
      <x:c r="F1059" s="30" t="str">
        <x:v>Clothing that combines functionality with fashion.</x:v>
      </x:c>
      <x:c r="G1059" s="30" t="str">
        <x:v>Stylish cargo pants.</x:v>
      </x:c>
      <x:c r="H1059" s="30" t="str">
        <x:v>deepseek-v4-flash</x:v>
      </x:c>
      <x:c r="I1059" s="30" t="str">
        <x:v>deepseek-v4-flash</x:v>
      </x:c>
      <x:c r="J1059" s="30" t="str">
        <x:v>a9920e7cfd93b77ec4177058dc1039ae3046633bd6942b78982cc15c6c6c134c</x:v>
      </x:c>
      <x:c r="K1059" s="30" t="str">
        <x:v>631e2c322a96e430a541b81995dc59e88cd38818571c2cff3224ef9ddb9b2dd3</x:v>
      </x:c>
      <x:c r="L1059" s="30" t="n">
        <x:v>554.28</x:v>
      </x:c>
      <x:c r="M1059" s="30" t="str">
        <x:v>{"completion_tokens": 5, "prompt_tokens": 624, "total_tokens": 629, "completion_tokens_details": null, "prompt_tokens_details": {"audio_tokens": null, "cached_tokens": 512}, "prompt_cache_hit_tokens": 512, "prompt_cache_miss_tokens": 112}</x:v>
      </x:c>
      <x:c r="N1059" s="30" t="str">
        <x:v>hallucination</x:v>
      </x:c>
      <x:c r="O1059" s="30" t="str">
        <x:v>The gold answer states that Sarah Garcia might be interested in clothing that combines functionality with fashion, which is a general category. The model answer specifies 'stylish cargo pants,' which is a concrete, specific type of clothing not mentioned or supported by the gold answer. This adds unsupported material, making it a hallucination.</x:v>
      </x:c>
      <x:c r="P1059" s="30" t="str">
        <x:v>LongCat-2.0</x:v>
      </x:c>
      <x:c r="Q1059" s="30" t="str">
        <x:v>LongCat-2.0</x:v>
      </x:c>
      <x:c r="R1059" s="30" t="n">
        <x:v>3087.07</x:v>
      </x:c>
      <x:c r="S1059" s="30" t="str">
        <x:v>{"completion_tokens": 77, "prompt_tokens": 154, "total_tokens": 231,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0">
      <x:c r="A1060" s="30" t="str">
        <x:v>memos_medium:567</x:v>
      </x:c>
      <x:c r="B1060" s="30" t="str">
        <x:v>medium</x:v>
      </x:c>
      <x:c r="C1060" s="30" t="str">
        <x:v>Generalization &amp; Application</x:v>
      </x:c>
      <x:c r="D1060" s="30" t="n">
        <x:v>3</x:v>
      </x:c>
      <x:c r="E1060" s="30" t="str">
        <x:v>What type of clothing might Sarah Garcia be interested in exploring after June 22, 2029?</x:v>
      </x:c>
      <x:c r="F1060" s="30" t="str">
        <x:v>Clothing that combines functionality with fashion.</x:v>
      </x:c>
      <x:c r="G1060" s="30" t="str">
        <x:v>Stylish cargo pants.</x:v>
      </x:c>
      <x:c r="H1060" s="30" t="str">
        <x:v>deepseek-v4-flash</x:v>
      </x:c>
      <x:c r="I1060" s="30" t="str">
        <x:v>deepseek-v4-flash</x:v>
      </x:c>
      <x:c r="J1060" s="30" t="str">
        <x:v>a9920e7cfd93b77ec4177058dc1039ae3046633bd6942b78982cc15c6c6c134c</x:v>
      </x:c>
      <x:c r="K1060" s="30" t="str">
        <x:v>631e2c322a96e430a541b81995dc59e88cd38818571c2cff3224ef9ddb9b2dd3</x:v>
      </x:c>
      <x:c r="L1060" s="30" t="n">
        <x:v>749.82</x:v>
      </x:c>
      <x:c r="M1060" s="30" t="str">
        <x:v>{"completion_tokens": 5, "prompt_tokens": 624, "total_tokens": 629, "completion_tokens_details": null, "prompt_tokens_details": {"audio_tokens": null, "cached_tokens": 512}, "prompt_cache_hit_tokens": 512, "prompt_cache_miss_tokens": 112}</x:v>
      </x:c>
      <x:c r="N1060" s="30" t="str">
        <x:v>hallucination</x:v>
      </x:c>
      <x:c r="O1060" s="30" t="str">
        <x:v>The gold answer states that Sarah Garcia might be interested in clothing that combines functionality with fashion, which is a general category. The model answer specifies 'stylish cargo pants,' which is a concrete, specific item not supported by the gold answer. This adds unsupported material, making it a hallucination.</x:v>
      </x:c>
      <x:c r="P1060" s="30" t="str">
        <x:v>LongCat-2.0</x:v>
      </x:c>
      <x:c r="Q1060" s="30" t="str">
        <x:v>LongCat-2.0</x:v>
      </x:c>
      <x:c r="R1060" s="30" t="n">
        <x:v>2612.06</x:v>
      </x:c>
      <x:c r="S1060" s="30" t="str">
        <x:v>{"completion_tokens": 73, "prompt_tokens": 154, "total_tokens": 227,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1">
      <x:c r="A1061" s="30" t="str">
        <x:v>memos_medium:572</x:v>
      </x:c>
      <x:c r="B1061" s="30" t="str">
        <x:v>medium</x:v>
      </x:c>
      <x:c r="C1061" s="30" t="str">
        <x:v>Dynamic Update</x:v>
      </x:c>
      <x:c r="D1061" s="30" t="n">
        <x:v>1</x:v>
      </x:c>
      <x:c r="E1061" s="30" t="str">
        <x:v>What strategies is Sarah Garcia currently exploring to enhance her work-life balance as of November 27, 2029?</x:v>
      </x:c>
      <x:c r="F1061" s="30" t="str">
        <x:v>Mindfulness practices and structured rest periods</x:v>
      </x:c>
      <x:c r="G1061" s="30" t="str">
        <x:v>Mindfulness and structured rest.</x:v>
      </x:c>
      <x:c r="H1061" s="30" t="str">
        <x:v>deepseek-v4-flash</x:v>
      </x:c>
      <x:c r="I1061" s="30" t="str">
        <x:v>deepseek-v4-flash</x:v>
      </x:c>
      <x:c r="J1061" s="30" t="str">
        <x:v>3c7ba2d415d2107ceee82f9f52c7b9741e0acf15abe834268baefd3d394dbbb5</x:v>
      </x:c>
      <x:c r="K1061" s="30" t="str">
        <x:v>c38d126371e6c50cd613a0b593f9ef41591243e841750c725bcaaa05145f9446</x:v>
      </x:c>
      <x:c r="L1061" s="30" t="n">
        <x:v>849.72</x:v>
      </x:c>
      <x:c r="M1061" s="30" t="str">
        <x:v>{"completion_tokens": 6, "prompt_tokens": 574, "total_tokens": 580, "completion_tokens_details": null, "prompt_tokens_details": {"audio_tokens": null, "cached_tokens": 512}, "prompt_cache_hit_tokens": 512, "prompt_cache_miss_tokens": 62}</x:v>
      </x:c>
      <x:c r="N1061" s="30" t="str">
        <x:v>correct</x:v>
      </x:c>
      <x:c r="O1061" s="30" t="str">
        <x:v>The model answer 'Mindfulness and structured rest' captures the complete semantic content of the gold answer 'Mindfulness practices and structured rest periods' with only minor wording differences, and adds no false or unsupported material.</x:v>
      </x:c>
      <x:c r="P1061" s="30" t="str">
        <x:v>LongCat-2.0</x:v>
      </x:c>
      <x:c r="Q1061" s="30" t="str">
        <x:v>LongCat-2.0</x:v>
      </x:c>
      <x:c r="R1061" s="30" t="n">
        <x:v>2352.03</x:v>
      </x:c>
      <x:c r="S1061" s="30" t="str">
        <x:v>{"completion_tokens": 53, "prompt_tokens": 157,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2">
      <x:c r="A1062" s="30" t="str">
        <x:v>memos_medium:572</x:v>
      </x:c>
      <x:c r="B1062" s="30" t="str">
        <x:v>medium</x:v>
      </x:c>
      <x:c r="C1062" s="30" t="str">
        <x:v>Dynamic Update</x:v>
      </x:c>
      <x:c r="D1062" s="30" t="n">
        <x:v>2</x:v>
      </x:c>
      <x:c r="E1062" s="30" t="str">
        <x:v>What strategies is Sarah Garcia currently exploring to enhance her work-life balance as of November 27, 2029?</x:v>
      </x:c>
      <x:c r="F1062" s="30" t="str">
        <x:v>Mindfulness practices and structured rest periods</x:v>
      </x:c>
      <x:c r="G1062" s="30" t="str">
        <x:v>Mindfulness and structured rest.</x:v>
      </x:c>
      <x:c r="H1062" s="30" t="str">
        <x:v>deepseek-v4-flash</x:v>
      </x:c>
      <x:c r="I1062" s="30" t="str">
        <x:v>deepseek-v4-flash</x:v>
      </x:c>
      <x:c r="J1062" s="30" t="str">
        <x:v>3c7ba2d415d2107ceee82f9f52c7b9741e0acf15abe834268baefd3d394dbbb5</x:v>
      </x:c>
      <x:c r="K1062" s="30" t="str">
        <x:v>c38d126371e6c50cd613a0b593f9ef41591243e841750c725bcaaa05145f9446</x:v>
      </x:c>
      <x:c r="L1062" s="30" t="n">
        <x:v>858.07</x:v>
      </x:c>
      <x:c r="M1062" s="30" t="str">
        <x:v>{"completion_tokens": 6, "prompt_tokens": 574, "total_tokens": 580, "completion_tokens_details": null, "prompt_tokens_details": {"audio_tokens": null, "cached_tokens": 512}, "prompt_cache_hit_tokens": 512, "prompt_cache_miss_tokens": 62}</x:v>
      </x:c>
      <x:c r="N1062" s="30" t="str">
        <x:v>correct</x:v>
      </x:c>
      <x:c r="O1062" s="30" t="str">
        <x:v>The model answer 'Mindfulness and structured rest' captures the complete semantic content of the gold answer 'Mindfulness practices and structured rest periods' with only minor wording differences, and adds no false or unsupported material.</x:v>
      </x:c>
      <x:c r="P1062" s="30" t="str">
        <x:v>LongCat-2.0</x:v>
      </x:c>
      <x:c r="Q1062" s="30" t="str">
        <x:v>LongCat-2.0</x:v>
      </x:c>
      <x:c r="R1062" s="30" t="n">
        <x:v>2357.38</x:v>
      </x:c>
      <x:c r="S1062" s="30" t="str">
        <x:v>{"completion_tokens": 53, "prompt_tokens": 157,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3">
      <x:c r="A1063" s="30" t="str">
        <x:v>memos_medium:572</x:v>
      </x:c>
      <x:c r="B1063" s="30" t="str">
        <x:v>medium</x:v>
      </x:c>
      <x:c r="C1063" s="30" t="str">
        <x:v>Dynamic Update</x:v>
      </x:c>
      <x:c r="D1063" s="30" t="n">
        <x:v>3</x:v>
      </x:c>
      <x:c r="E1063" s="30" t="str">
        <x:v>What strategies is Sarah Garcia currently exploring to enhance her work-life balance as of November 27, 2029?</x:v>
      </x:c>
      <x:c r="F1063" s="30" t="str">
        <x:v>Mindfulness practices and structured rest periods</x:v>
      </x:c>
      <x:c r="G1063" s="30" t="str">
        <x:v>Mindfulness and structured rest.</x:v>
      </x:c>
      <x:c r="H1063" s="30" t="str">
        <x:v>deepseek-v4-flash</x:v>
      </x:c>
      <x:c r="I1063" s="30" t="str">
        <x:v>deepseek-v4-flash</x:v>
      </x:c>
      <x:c r="J1063" s="30" t="str">
        <x:v>3c7ba2d415d2107ceee82f9f52c7b9741e0acf15abe834268baefd3d394dbbb5</x:v>
      </x:c>
      <x:c r="K1063" s="30" t="str">
        <x:v>c38d126371e6c50cd613a0b593f9ef41591243e841750c725bcaaa05145f9446</x:v>
      </x:c>
      <x:c r="L1063" s="30" t="n">
        <x:v>819.35</x:v>
      </x:c>
      <x:c r="M1063" s="30" t="str">
        <x:v>{"completion_tokens": 6, "prompt_tokens": 574, "total_tokens": 580, "completion_tokens_details": null, "prompt_tokens_details": {"audio_tokens": null, "cached_tokens": 512}, "prompt_cache_hit_tokens": 512, "prompt_cache_miss_tokens": 62}</x:v>
      </x:c>
      <x:c r="N1063" s="30" t="str">
        <x:v>correct</x:v>
      </x:c>
      <x:c r="O1063" s="30" t="str">
        <x:v>The model answer 'Mindfulness and structured rest' captures the complete semantic content of the gold answer 'Mindfulness practices and structured rest periods' with only minor wording differences, and adds no false or unsupported material.</x:v>
      </x:c>
      <x:c r="P1063" s="30" t="str">
        <x:v>LongCat-2.0</x:v>
      </x:c>
      <x:c r="Q1063" s="30" t="str">
        <x:v>LongCat-2.0</x:v>
      </x:c>
      <x:c r="R1063" s="30" t="n">
        <x:v>2355.1</x:v>
      </x:c>
      <x:c r="S1063" s="30" t="str">
        <x:v>{"completion_tokens": 53, "prompt_tokens": 157,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4">
      <x:c r="A1064" s="30" t="str">
        <x:v>memos_medium:577</x:v>
      </x:c>
      <x:c r="B1064" s="30" t="str">
        <x:v>medium</x:v>
      </x:c>
      <x:c r="C1064" s="30" t="str">
        <x:v>Generalization &amp; Application</x:v>
      </x:c>
      <x:c r="D1064" s="30" t="n">
        <x:v>1</x:v>
      </x:c>
      <x:c r="E1064" s="30" t="str">
        <x:v>Based on Sarah Garcia's evolving movie preferences on Dec 09, 2029, what new genre might she enjoy exploring next?</x:v>
      </x:c>
      <x:c r="F1064" s="30" t="str">
        <x:v>Sarah might enjoy exploring mystery thrillers.</x:v>
      </x:c>
      <x:c r="G1064" s="30" t="str">
        <x:v>Mystery thrillers</x:v>
      </x:c>
      <x:c r="H1064" s="30" t="str">
        <x:v>deepseek-v4-flash</x:v>
      </x:c>
      <x:c r="I1064" s="30" t="str">
        <x:v>deepseek-v4-flash</x:v>
      </x:c>
      <x:c r="J1064" s="30" t="str">
        <x:v>592b4c5af4f68c23c2696c8947de5931525a766c520dcb1e6489f135e22fef89</x:v>
      </x:c>
      <x:c r="K1064" s="30" t="str">
        <x:v>87a2ddbea20da5807890a2aa5689ed338916948dc0db3b3b9517084095641885</x:v>
      </x:c>
      <x:c r="L1064" s="30" t="n">
        <x:v>724.77</x:v>
      </x:c>
      <x:c r="M1064" s="30" t="str">
        <x:v>{"completion_tokens": 5, "prompt_tokens": 574, "total_tokens": 579, "completion_tokens_details": null, "prompt_tokens_details": {"audio_tokens": null, "cached_tokens": 512}, "prompt_cache_hit_tokens": 512, "prompt_cache_miss_tokens": 62}</x:v>
      </x:c>
      <x:c r="N1064" s="30" t="str">
        <x:v>correct</x:v>
      </x:c>
      <x:c r="O1064" s="30" t="str">
        <x:v>The model answer 'Mystery thrillers' is semantically equivalent to the benchmark gold answer 'Sarah might enjoy exploring mystery thrillers,' conveying the same complete meaning with only minor wording differences.</x:v>
      </x:c>
      <x:c r="P1064" s="30" t="str">
        <x:v>LongCat-2.0</x:v>
      </x:c>
      <x:c r="Q1064" s="30" t="str">
        <x:v>LongCat-2.0</x:v>
      </x:c>
      <x:c r="R1064" s="30" t="n">
        <x:v>2184.91</x:v>
      </x:c>
      <x:c r="S1064" s="30" t="str">
        <x:v>{"completion_tokens": 50, "prompt_tokens": 160,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5">
      <x:c r="A1065" s="30" t="str">
        <x:v>memos_medium:577</x:v>
      </x:c>
      <x:c r="B1065" s="30" t="str">
        <x:v>medium</x:v>
      </x:c>
      <x:c r="C1065" s="30" t="str">
        <x:v>Generalization &amp; Application</x:v>
      </x:c>
      <x:c r="D1065" s="30" t="n">
        <x:v>2</x:v>
      </x:c>
      <x:c r="E1065" s="30" t="str">
        <x:v>Based on Sarah Garcia's evolving movie preferences on Dec 09, 2029, what new genre might she enjoy exploring next?</x:v>
      </x:c>
      <x:c r="F1065" s="30" t="str">
        <x:v>Sarah might enjoy exploring mystery thrillers.</x:v>
      </x:c>
      <x:c r="G1065" s="30" t="str">
        <x:v>Mystery thrillers</x:v>
      </x:c>
      <x:c r="H1065" s="30" t="str">
        <x:v>deepseek-v4-flash</x:v>
      </x:c>
      <x:c r="I1065" s="30" t="str">
        <x:v>deepseek-v4-flash</x:v>
      </x:c>
      <x:c r="J1065" s="30" t="str">
        <x:v>592b4c5af4f68c23c2696c8947de5931525a766c520dcb1e6489f135e22fef89</x:v>
      </x:c>
      <x:c r="K1065" s="30" t="str">
        <x:v>87a2ddbea20da5807890a2aa5689ed338916948dc0db3b3b9517084095641885</x:v>
      </x:c>
      <x:c r="L1065" s="30" t="n">
        <x:v>653.95</x:v>
      </x:c>
      <x:c r="M1065" s="30" t="str">
        <x:v>{"completion_tokens": 5, "prompt_tokens": 574, "total_tokens": 579, "completion_tokens_details": null, "prompt_tokens_details": {"audio_tokens": null, "cached_tokens": 512}, "prompt_cache_hit_tokens": 512, "prompt_cache_miss_tokens": 62}</x:v>
      </x:c>
      <x:c r="N1065" s="30" t="str">
        <x:v>correct</x:v>
      </x:c>
      <x:c r="O1065" s="30" t="str">
        <x:v>The model answer 'Mystery thrillers' is semantically equivalent to the benchmark gold answer 'Sarah might enjoy exploring mystery thrillers,' conveying the same complete meaning with only minor wording differences.</x:v>
      </x:c>
      <x:c r="P1065" s="30" t="str">
        <x:v>LongCat-2.0</x:v>
      </x:c>
      <x:c r="Q1065" s="30" t="str">
        <x:v>LongCat-2.0</x:v>
      </x:c>
      <x:c r="R1065" s="30" t="n">
        <x:v>2101.1</x:v>
      </x:c>
      <x:c r="S1065" s="30" t="str">
        <x:v>{"completion_tokens": 50, "prompt_tokens": 160, "total_tokens": 210,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66">
      <x:c r="A1066" s="30" t="str">
        <x:v>memos_medium:577</x:v>
      </x:c>
      <x:c r="B1066" s="30" t="str">
        <x:v>medium</x:v>
      </x:c>
      <x:c r="C1066" s="30" t="str">
        <x:v>Generalization &amp; Application</x:v>
      </x:c>
      <x:c r="D1066" s="30" t="n">
        <x:v>3</x:v>
      </x:c>
      <x:c r="E1066" s="30" t="str">
        <x:v>Based on Sarah Garcia's evolving movie preferences on Dec 09, 2029, what new genre might she enjoy exploring next?</x:v>
      </x:c>
      <x:c r="F1066" s="30" t="str">
        <x:v>Sarah might enjoy exploring mystery thrillers.</x:v>
      </x:c>
      <x:c r="G1066" s="30" t="str">
        <x:v>Mystery thrillers</x:v>
      </x:c>
      <x:c r="H1066" s="30" t="str">
        <x:v>deepseek-v4-flash</x:v>
      </x:c>
      <x:c r="I1066" s="30" t="str">
        <x:v>deepseek-v4-flash</x:v>
      </x:c>
      <x:c r="J1066" s="30" t="str">
        <x:v>592b4c5af4f68c23c2696c8947de5931525a766c520dcb1e6489f135e22fef89</x:v>
      </x:c>
      <x:c r="K1066" s="30" t="str">
        <x:v>87a2ddbea20da5807890a2aa5689ed338916948dc0db3b3b9517084095641885</x:v>
      </x:c>
      <x:c r="L1066" s="30" t="n">
        <x:v>677.96</x:v>
      </x:c>
      <x:c r="M1066" s="30" t="str">
        <x:v>{"completion_tokens": 5, "prompt_tokens": 574, "total_tokens": 579, "completion_tokens_details": null, "prompt_tokens_details": {"audio_tokens": null, "cached_tokens": 512}, "prompt_cache_hit_tokens": 512, "prompt_cache_miss_tokens": 62}</x:v>
      </x:c>
      <x:c r="N1066" s="30" t="str">
        <x:v>correct</x:v>
      </x:c>
      <x:c r="O1066" s="30" t="str">
        <x:v>The model answer 'Mystery thrillers' is semantically equivalent to the benchmark gold answer 'Sarah might enjoy exploring mystery thrillers,' conveying the same complete meaning with only minor wording differences.</x:v>
      </x:c>
      <x:c r="P1066" s="30" t="str">
        <x:v>LongCat-2.0</x:v>
      </x:c>
      <x:c r="Q1066" s="30" t="str">
        <x:v>LongCat-2.0</x:v>
      </x:c>
      <x:c r="R1066" s="30" t="n">
        <x:v>1889.73</x:v>
      </x:c>
      <x:c r="S1066" s="30" t="str">
        <x:v>{"completion_tokens": 50, "prompt_tokens": 160,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7">
      <x:c r="A1067" s="30" t="str">
        <x:v>memos_medium:603</x:v>
      </x:c>
      <x:c r="B1067" s="30" t="str">
        <x:v>medium</x:v>
      </x:c>
      <x:c r="C1067" s="30" t="str">
        <x:v>Generalization &amp; Application</x:v>
      </x:c>
      <x:c r="D1067" s="30" t="n">
        <x:v>1</x:v>
      </x:c>
      <x:c r="E1067" s="30" t="str">
        <x:v>Based on Sarah Garcia's evolving preferences, what type of game might she enjoy exploring after April 5, 2032?</x:v>
      </x:c>
      <x:c r="F1067" s="30" t="str">
        <x:v>Games with dynamic storytelling and narrative challenges.</x:v>
      </x:c>
      <x:c r="G1067" s="30" t="str">
        <x:v>Innovative narrative puzzle games</x:v>
      </x:c>
      <x:c r="H1067" s="30" t="str">
        <x:v>deepseek-v4-flash</x:v>
      </x:c>
      <x:c r="I1067" s="30" t="str">
        <x:v>deepseek-v4-flash</x:v>
      </x:c>
      <x:c r="J1067" s="30" t="str">
        <x:v>ce9a6434fef1ff6f69f5db845fec9d59e9fc9fe652a7ad3b763f492e49ef1634</x:v>
      </x:c>
      <x:c r="K1067" s="30" t="str">
        <x:v>e9845133c59907f7ab1dbadef7272fbc7172a604ae641d06c97d03865c908fa3</x:v>
      </x:c>
      <x:c r="L1067" s="30" t="n">
        <x:v>719.11</x:v>
      </x:c>
      <x:c r="M1067" s="30" t="str">
        <x:v>{"completion_tokens": 5, "prompt_tokens": 654, "total_tokens": 659, "completion_tokens_details": null, "prompt_tokens_details": {"audio_tokens": null, "cached_tokens": 640}, "prompt_cache_hit_tokens": 640, "prompt_cache_miss_tokens": 14}</x:v>
      </x:c>
      <x:c r="N1067" s="30" t="str">
        <x:v>correct</x:v>
      </x:c>
      <x:c r="O1067" s="30" t="str">
        <x:v>The model answer 'Innovative narrative puzzle games' semantically captures the gold answer's focus on 'dynamic storytelling and narrative challenges.' Both emphasize narrative-driven gameplay, and the model's answer is a concrete, specific subset that aligns with the gold answer's meaning without introducing false or unsupported claims.</x:v>
      </x:c>
      <x:c r="P1067" s="30" t="str">
        <x:v>LongCat-2.0</x:v>
      </x:c>
      <x:c r="Q1067" s="30" t="str">
        <x:v>LongCat-2.0</x:v>
      </x:c>
      <x:c r="R1067" s="30" t="n">
        <x:v>2801.45</x:v>
      </x:c>
      <x:c r="S1067" s="30" t="str">
        <x:v>{"completion_tokens": 71, "prompt_tokens": 159, "total_tokens": 230,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68">
      <x:c r="A1068" s="30" t="str">
        <x:v>memos_medium:603</x:v>
      </x:c>
      <x:c r="B1068" s="30" t="str">
        <x:v>medium</x:v>
      </x:c>
      <x:c r="C1068" s="30" t="str">
        <x:v>Generalization &amp; Application</x:v>
      </x:c>
      <x:c r="D1068" s="30" t="n">
        <x:v>2</x:v>
      </x:c>
      <x:c r="E1068" s="30" t="str">
        <x:v>Based on Sarah Garcia's evolving preferences, what type of game might she enjoy exploring after April 5, 2032?</x:v>
      </x:c>
      <x:c r="F1068" s="30" t="str">
        <x:v>Games with dynamic storytelling and narrative challenges.</x:v>
      </x:c>
      <x:c r="G1068" s="30" t="str">
        <x:v>Innovative narrative puzzle games</x:v>
      </x:c>
      <x:c r="H1068" s="30" t="str">
        <x:v>deepseek-v4-flash</x:v>
      </x:c>
      <x:c r="I1068" s="30" t="str">
        <x:v>deepseek-v4-flash</x:v>
      </x:c>
      <x:c r="J1068" s="30" t="str">
        <x:v>ce9a6434fef1ff6f69f5db845fec9d59e9fc9fe652a7ad3b763f492e49ef1634</x:v>
      </x:c>
      <x:c r="K1068" s="30" t="str">
        <x:v>e9845133c59907f7ab1dbadef7272fbc7172a604ae641d06c97d03865c908fa3</x:v>
      </x:c>
      <x:c r="L1068" s="30" t="n">
        <x:v>695.16</x:v>
      </x:c>
      <x:c r="M1068" s="30" t="str">
        <x:v>{"completion_tokens": 5, "prompt_tokens": 654, "total_tokens": 659, "completion_tokens_details": null, "prompt_tokens_details": {"audio_tokens": null, "cached_tokens": 640}, "prompt_cache_hit_tokens": 640, "prompt_cache_miss_tokens": 14}</x:v>
      </x:c>
      <x:c r="N1068" s="30" t="str">
        <x:v>correct</x:v>
      </x:c>
      <x:c r="O1068" s="30" t="str">
        <x:v>The model answer 'Innovative narrative puzzle games' semantically captures the gold answer's focus on 'dynamic storytelling and narrative challenges.' Both emphasize narrative-driven gameplay, and 'puzzle games' with 'narrative' aligns with the concept of narrative challenges. The wording differs but the core meaning is preserved without contradiction or unsupported claims.</x:v>
      </x:c>
      <x:c r="P1068" s="30" t="str">
        <x:v>LongCat-2.0</x:v>
      </x:c>
      <x:c r="Q1068" s="30" t="str">
        <x:v>LongCat-2.0</x:v>
      </x:c>
      <x:c r="R1068" s="30" t="n">
        <x:v>3016.14</x:v>
      </x:c>
      <x:c r="S1068" s="30" t="str">
        <x:v>{"completion_tokens": 80, "prompt_tokens": 159, "total_tokens": 239,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69">
      <x:c r="A1069" s="30" t="str">
        <x:v>memos_medium:603</x:v>
      </x:c>
      <x:c r="B1069" s="30" t="str">
        <x:v>medium</x:v>
      </x:c>
      <x:c r="C1069" s="30" t="str">
        <x:v>Generalization &amp; Application</x:v>
      </x:c>
      <x:c r="D1069" s="30" t="n">
        <x:v>3</x:v>
      </x:c>
      <x:c r="E1069" s="30" t="str">
        <x:v>Based on Sarah Garcia's evolving preferences, what type of game might she enjoy exploring after April 5, 2032?</x:v>
      </x:c>
      <x:c r="F1069" s="30" t="str">
        <x:v>Games with dynamic storytelling and narrative challenges.</x:v>
      </x:c>
      <x:c r="G1069" s="30" t="str">
        <x:v>Innovative narrative puzzle games</x:v>
      </x:c>
      <x:c r="H1069" s="30" t="str">
        <x:v>deepseek-v4-flash</x:v>
      </x:c>
      <x:c r="I1069" s="30" t="str">
        <x:v>deepseek-v4-flash</x:v>
      </x:c>
      <x:c r="J1069" s="30" t="str">
        <x:v>ce9a6434fef1ff6f69f5db845fec9d59e9fc9fe652a7ad3b763f492e49ef1634</x:v>
      </x:c>
      <x:c r="K1069" s="30" t="str">
        <x:v>e9845133c59907f7ab1dbadef7272fbc7172a604ae641d06c97d03865c908fa3</x:v>
      </x:c>
      <x:c r="L1069" s="30" t="n">
        <x:v>628.73</x:v>
      </x:c>
      <x:c r="M1069" s="30" t="str">
        <x:v>{"completion_tokens": 5, "prompt_tokens": 654, "total_tokens": 659, "completion_tokens_details": null, "prompt_tokens_details": {"audio_tokens": null, "cached_tokens": 640}, "prompt_cache_hit_tokens": 640, "prompt_cache_miss_tokens": 14}</x:v>
      </x:c>
      <x:c r="N1069" s="30" t="str">
        <x:v>correct</x:v>
      </x:c>
      <x:c r="O1069" s="30" t="str">
        <x:v>The model answer 'Innovative narrative puzzle games' semantically captures the gold answer's focus on 'dynamic storytelling and narrative challenges.' Both emphasize narrative-driven gameplay, and the model's phrasing is a reasonable, more specific variation of the gold answer without introducing any false or unsupported claims.</x:v>
      </x:c>
      <x:c r="P1069" s="30" t="str">
        <x:v>LongCat-2.0</x:v>
      </x:c>
      <x:c r="Q1069" s="30" t="str">
        <x:v>LongCat-2.0</x:v>
      </x:c>
      <x:c r="R1069" s="30" t="n">
        <x:v>3037.4</x:v>
      </x:c>
      <x:c r="S1069" s="30" t="str">
        <x:v>{"completion_tokens": 69, "prompt_tokens": 159,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0">
      <x:c r="A1070" s="30" t="str">
        <x:v>memos_medium:616</x:v>
      </x:c>
      <x:c r="B1070" s="30" t="str">
        <x:v>medium</x:v>
      </x:c>
      <x:c r="C1070" s="30" t="str">
        <x:v>Multi-hop Inference</x:v>
      </x:c>
      <x:c r="D1070" s="30" t="n">
        <x:v>1</x:v>
      </x:c>
      <x:c r="E1070" s="30" t="str">
        <x:v>What was Sarah Garcia's job title before becoming Executive Director at Community Change Initiative?</x:v>
      </x:c>
      <x:c r="F1070" s="30" t="str">
        <x:v>Head of Social Initiatives</x:v>
      </x:c>
      <x:c r="G1070" s="30" t="str">
        <x:v>head of social initiatives</x:v>
      </x:c>
      <x:c r="H1070" s="30" t="str">
        <x:v>deepseek-v4-flash</x:v>
      </x:c>
      <x:c r="I1070" s="30" t="str">
        <x:v>deepseek-v4-flash</x:v>
      </x:c>
      <x:c r="J1070" s="30" t="str">
        <x:v>9a94ce6bb299fc3660f438e436151273a3848317277a7375b4ea7f32d1f7cfee</x:v>
      </x:c>
      <x:c r="K1070" s="30" t="str">
        <x:v>813b8e40a3690d9a621411684e1c324c958db26b7919b933ab0fa1b6c74edd88</x:v>
      </x:c>
      <x:c r="L1070" s="30" t="n">
        <x:v>670.56</x:v>
      </x:c>
      <x:c r="M1070" s="30" t="str">
        <x:v>{"completion_tokens": 4, "prompt_tokens": 576, "total_tokens": 580, "completion_tokens_details": null, "prompt_tokens_details": {"audio_tokens": null, "cached_tokens": 512}, "prompt_cache_hit_tokens": 512, "prompt_cache_miss_tokens": 64}</x:v>
      </x:c>
      <x:c r="N1070" s="30" t="str">
        <x:v>correct</x:v>
      </x:c>
      <x:c r="O1070" s="30" t="str">
        <x:v>The model answer 'head of social initiatives' is semantically identical to the gold answer 'Head of Social Initiatives', differing only in capitalization, which is a minor wording difference that does not affect meaning.</x:v>
      </x:c>
      <x:c r="P1070" s="30" t="str">
        <x:v>LongCat-2.0</x:v>
      </x:c>
      <x:c r="Q1070" s="30" t="str">
        <x:v>LongCat-2.0</x:v>
      </x:c>
      <x:c r="R1070" s="30" t="n">
        <x:v>2813.89</x:v>
      </x:c>
      <x:c r="S1070" s="30" t="str">
        <x:v>{"completion_tokens": 54, "prompt_tokens": 145, "total_tokens": 199,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71">
      <x:c r="A1071" s="30" t="str">
        <x:v>memos_medium:616</x:v>
      </x:c>
      <x:c r="B1071" s="30" t="str">
        <x:v>medium</x:v>
      </x:c>
      <x:c r="C1071" s="30" t="str">
        <x:v>Multi-hop Inference</x:v>
      </x:c>
      <x:c r="D1071" s="30" t="n">
        <x:v>2</x:v>
      </x:c>
      <x:c r="E1071" s="30" t="str">
        <x:v>What was Sarah Garcia's job title before becoming Executive Director at Community Change Initiative?</x:v>
      </x:c>
      <x:c r="F1071" s="30" t="str">
        <x:v>Head of Social Initiatives</x:v>
      </x:c>
      <x:c r="G1071" s="30" t="str">
        <x:v>head of social initiatives</x:v>
      </x:c>
      <x:c r="H1071" s="30" t="str">
        <x:v>deepseek-v4-flash</x:v>
      </x:c>
      <x:c r="I1071" s="30" t="str">
        <x:v>deepseek-v4-flash</x:v>
      </x:c>
      <x:c r="J1071" s="30" t="str">
        <x:v>9a94ce6bb299fc3660f438e436151273a3848317277a7375b4ea7f32d1f7cfee</x:v>
      </x:c>
      <x:c r="K1071" s="30" t="str">
        <x:v>813b8e40a3690d9a621411684e1c324c958db26b7919b933ab0fa1b6c74edd88</x:v>
      </x:c>
      <x:c r="L1071" s="30" t="n">
        <x:v>619.97</x:v>
      </x:c>
      <x:c r="M1071" s="30" t="str">
        <x:v>{"completion_tokens": 4, "prompt_tokens": 576, "total_tokens": 580, "completion_tokens_details": null, "prompt_tokens_details": {"audio_tokens": null, "cached_tokens": 512}, "prompt_cache_hit_tokens": 512, "prompt_cache_miss_tokens": 64}</x:v>
      </x:c>
      <x:c r="N1071" s="30" t="str">
        <x:v>correct</x:v>
      </x:c>
      <x:c r="O1071" s="30" t="str">
        <x:v>The model answer 'head of social initiatives' is semantically identical to the gold answer 'Head of Social Initiatives', differing only in capitalization, which is a minor wording difference that does not affect meaning.</x:v>
      </x:c>
      <x:c r="P1071" s="30" t="str">
        <x:v>LongCat-2.0</x:v>
      </x:c>
      <x:c r="Q1071" s="30" t="str">
        <x:v>LongCat-2.0</x:v>
      </x:c>
      <x:c r="R1071" s="30" t="n">
        <x:v>2215.92</x:v>
      </x:c>
      <x:c r="S1071" s="30" t="str">
        <x:v>{"completion_tokens": 54, "prompt_tokens": 145,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2">
      <x:c r="A1072" s="30" t="str">
        <x:v>memos_medium:616</x:v>
      </x:c>
      <x:c r="B1072" s="30" t="str">
        <x:v>medium</x:v>
      </x:c>
      <x:c r="C1072" s="30" t="str">
        <x:v>Multi-hop Inference</x:v>
      </x:c>
      <x:c r="D1072" s="30" t="n">
        <x:v>3</x:v>
      </x:c>
      <x:c r="E1072" s="30" t="str">
        <x:v>What was Sarah Garcia's job title before becoming Executive Director at Community Change Initiative?</x:v>
      </x:c>
      <x:c r="F1072" s="30" t="str">
        <x:v>Head of Social Initiatives</x:v>
      </x:c>
      <x:c r="G1072" s="30" t="str">
        <x:v>head of social initiatives</x:v>
      </x:c>
      <x:c r="H1072" s="30" t="str">
        <x:v>deepseek-v4-flash</x:v>
      </x:c>
      <x:c r="I1072" s="30" t="str">
        <x:v>deepseek-v4-flash</x:v>
      </x:c>
      <x:c r="J1072" s="30" t="str">
        <x:v>9a94ce6bb299fc3660f438e436151273a3848317277a7375b4ea7f32d1f7cfee</x:v>
      </x:c>
      <x:c r="K1072" s="30" t="str">
        <x:v>813b8e40a3690d9a621411684e1c324c958db26b7919b933ab0fa1b6c74edd88</x:v>
      </x:c>
      <x:c r="L1072" s="30" t="n">
        <x:v>615.74</x:v>
      </x:c>
      <x:c r="M1072" s="30" t="str">
        <x:v>{"completion_tokens": 4, "prompt_tokens": 576, "total_tokens": 580, "completion_tokens_details": null, "prompt_tokens_details": {"audio_tokens": null, "cached_tokens": 512}, "prompt_cache_hit_tokens": 512, "prompt_cache_miss_tokens": 64}</x:v>
      </x:c>
      <x:c r="N1072" s="30" t="str">
        <x:v>correct</x:v>
      </x:c>
      <x:c r="O1072" s="30" t="str">
        <x:v>The model answer 'head of social initiatives' is semantically identical to the gold answer 'Head of Social Initiatives', differing only in capitalization, which is a minor wording difference that does not affect meaning.</x:v>
      </x:c>
      <x:c r="P1072" s="30" t="str">
        <x:v>LongCat-2.0</x:v>
      </x:c>
      <x:c r="Q1072" s="30" t="str">
        <x:v>LongCat-2.0</x:v>
      </x:c>
      <x:c r="R1072" s="30" t="n">
        <x:v>2356.01</x:v>
      </x:c>
      <x:c r="S1072" s="30" t="str">
        <x:v>{"completion_tokens": 54, "prompt_tokens": 145,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3">
      <x:c r="A1073" s="30" t="str">
        <x:v>memos_medium:66</x:v>
      </x:c>
      <x:c r="B1073" s="30" t="str">
        <x:v>medium</x:v>
      </x:c>
      <x:c r="C1073" s="30" t="str">
        <x:v>Generalization &amp; Application</x:v>
      </x:c>
      <x:c r="D1073" s="30" t="n">
        <x:v>1</x:v>
      </x:c>
      <x:c r="E1073" s="30" t="str">
        <x:v>What type of horror films should Martin explore next to maintain his positive mindset as of 2029-02-13?</x:v>
      </x:c>
      <x:c r="F1073" s="30" t="str">
        <x:v>Films with compelling narratives balancing thrill and positivity.</x:v>
      </x:c>
      <x:c r="G1073" s="30" t="str">
        <x:v>Horror films with compelling narratives.</x:v>
      </x:c>
      <x:c r="H1073" s="30" t="str">
        <x:v>deepseek-v4-flash</x:v>
      </x:c>
      <x:c r="I1073" s="30" t="str">
        <x:v>deepseek-v4-flash</x:v>
      </x:c>
      <x:c r="J1073" s="30" t="str">
        <x:v>d616f3c510b594dea2c9aca250d30ef98e2b99aee63a02629c7b14d038fa06d8</x:v>
      </x:c>
      <x:c r="K1073" s="30" t="str">
        <x:v>1cf3d0194ca919f9ab14572cacd33041dddb5f201e7d2eccf9561d87267f086b</x:v>
      </x:c>
      <x:c r="L1073" s="30" t="n">
        <x:v>568.16</x:v>
      </x:c>
      <x:c r="M1073" s="30" t="str">
        <x:v>{"completion_tokens": 7, "prompt_tokens": 567, "total_tokens": 574, "completion_tokens_details": null, "prompt_tokens_details": {"audio_tokens": null, "cached_tokens": 512}, "prompt_cache_hit_tokens": 512, "prompt_cache_miss_tokens": 55}</x:v>
      </x:c>
      <x:c r="N1073" s="30" t="str">
        <x:v>omission</x:v>
      </x:c>
      <x:c r="O1073" s="30" t="str">
        <x:v>The model answer captures 'compelling narratives' but omits the crucial 'balancing thrill and positivity' component, which is central to the gold answer's focus on maintaining a positive mindset. This is an incomplete subset without adding a false claim.</x:v>
      </x:c>
      <x:c r="P1073" s="30" t="str">
        <x:v>LongCat-2.0</x:v>
      </x:c>
      <x:c r="Q1073" s="30" t="str">
        <x:v>LongCat-2.0</x:v>
      </x:c>
      <x:c r="R1073" s="30" t="n">
        <x:v>2891.7</x:v>
      </x:c>
      <x:c r="S1073" s="30" t="str">
        <x:v>{"completion_tokens": 61, "prompt_tokens": 161, "total_tokens": 222,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74">
      <x:c r="A1074" s="30" t="str">
        <x:v>memos_medium:66</x:v>
      </x:c>
      <x:c r="B1074" s="30" t="str">
        <x:v>medium</x:v>
      </x:c>
      <x:c r="C1074" s="30" t="str">
        <x:v>Generalization &amp; Application</x:v>
      </x:c>
      <x:c r="D1074" s="30" t="n">
        <x:v>2</x:v>
      </x:c>
      <x:c r="E1074" s="30" t="str">
        <x:v>What type of horror films should Martin explore next to maintain his positive mindset as of 2029-02-13?</x:v>
      </x:c>
      <x:c r="F1074" s="30" t="str">
        <x:v>Films with compelling narratives balancing thrill and positivity.</x:v>
      </x:c>
      <x:c r="G1074" s="30" t="str">
        <x:v>Horror films with compelling narratives.</x:v>
      </x:c>
      <x:c r="H1074" s="30" t="str">
        <x:v>deepseek-v4-flash</x:v>
      </x:c>
      <x:c r="I1074" s="30" t="str">
        <x:v>deepseek-v4-flash</x:v>
      </x:c>
      <x:c r="J1074" s="30" t="str">
        <x:v>d616f3c510b594dea2c9aca250d30ef98e2b99aee63a02629c7b14d038fa06d8</x:v>
      </x:c>
      <x:c r="K1074" s="30" t="str">
        <x:v>1cf3d0194ca919f9ab14572cacd33041dddb5f201e7d2eccf9561d87267f086b</x:v>
      </x:c>
      <x:c r="L1074" s="30" t="n">
        <x:v>571.83</x:v>
      </x:c>
      <x:c r="M1074" s="30" t="str">
        <x:v>{"completion_tokens": 7, "prompt_tokens": 567, "total_tokens": 574, "completion_tokens_details": null, "prompt_tokens_details": {"audio_tokens": null, "cached_tokens": 512}, "prompt_cache_hit_tokens": 512, "prompt_cache_miss_tokens": 55}</x:v>
      </x:c>
      <x:c r="N1074" s="30" t="str">
        <x:v>omission</x:v>
      </x:c>
      <x:c r="O1074" s="30" t="str">
        <x:v>The model answer captures 'compelling narratives' but omits the critical element of 'balancing thrill and positivity,' which is essential to the gold answer's meaning regarding maintaining Martin's positive mindset. Without this balance, the answer is an incomplete subset.</x:v>
      </x:c>
      <x:c r="P1074" s="30" t="str">
        <x:v>LongCat-2.0</x:v>
      </x:c>
      <x:c r="Q1074" s="30" t="str">
        <x:v>LongCat-2.0</x:v>
      </x:c>
      <x:c r="R1074" s="30" t="n">
        <x:v>2575.76</x:v>
      </x:c>
      <x:c r="S1074" s="30" t="str">
        <x:v>{"completion_tokens": 62, "prompt_tokens": 161,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5">
      <x:c r="A1075" s="30" t="str">
        <x:v>memos_medium:66</x:v>
      </x:c>
      <x:c r="B1075" s="30" t="str">
        <x:v>medium</x:v>
      </x:c>
      <x:c r="C1075" s="30" t="str">
        <x:v>Generalization &amp; Application</x:v>
      </x:c>
      <x:c r="D1075" s="30" t="n">
        <x:v>3</x:v>
      </x:c>
      <x:c r="E1075" s="30" t="str">
        <x:v>What type of horror films should Martin explore next to maintain his positive mindset as of 2029-02-13?</x:v>
      </x:c>
      <x:c r="F1075" s="30" t="str">
        <x:v>Films with compelling narratives balancing thrill and positivity.</x:v>
      </x:c>
      <x:c r="G1075" s="30" t="str">
        <x:v>Horror films with compelling narratives.</x:v>
      </x:c>
      <x:c r="H1075" s="30" t="str">
        <x:v>deepseek-v4-flash</x:v>
      </x:c>
      <x:c r="I1075" s="30" t="str">
        <x:v>deepseek-v4-flash</x:v>
      </x:c>
      <x:c r="J1075" s="30" t="str">
        <x:v>d616f3c510b594dea2c9aca250d30ef98e2b99aee63a02629c7b14d038fa06d8</x:v>
      </x:c>
      <x:c r="K1075" s="30" t="str">
        <x:v>1cf3d0194ca919f9ab14572cacd33041dddb5f201e7d2eccf9561d87267f086b</x:v>
      </x:c>
      <x:c r="L1075" s="30" t="n">
        <x:v>824.95</x:v>
      </x:c>
      <x:c r="M1075" s="30" t="str">
        <x:v>{"completion_tokens": 7, "prompt_tokens": 567, "total_tokens": 574, "completion_tokens_details": null, "prompt_tokens_details": {"audio_tokens": null, "cached_tokens": 512}, "prompt_cache_hit_tokens": 512, "prompt_cache_miss_tokens": 55}</x:v>
      </x:c>
      <x:c r="N1075" s="30" t="str">
        <x:v>omission</x:v>
      </x:c>
      <x:c r="O1075" s="30" t="str">
        <x:v>The model answer captures 'compelling narratives' but omits the crucial element of 'balancing thrill and positivity,' which is central to the gold answer's focus on maintaining a positive mindset. Without this key component, the answer is an incomplete subset.</x:v>
      </x:c>
      <x:c r="P1075" s="30" t="str">
        <x:v>LongCat-2.0</x:v>
      </x:c>
      <x:c r="Q1075" s="30" t="str">
        <x:v>LongCat-2.0</x:v>
      </x:c>
      <x:c r="R1075" s="30" t="n">
        <x:v>2601.89</x:v>
      </x:c>
      <x:c r="S1075" s="30" t="str">
        <x:v>{"completion_tokens": 62, "prompt_tokens": 161, "total_tokens": 223,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6">
      <x:c r="A1076" s="30" t="str">
        <x:v>memos_medium:661</x:v>
      </x:c>
      <x:c r="B1076" s="30" t="str">
        <x:v>medium</x:v>
      </x:c>
      <x:c r="C1076" s="30" t="str">
        <x:v>Generalization &amp; Application</x:v>
      </x:c>
      <x:c r="D1076" s="30" t="n">
        <x:v>1</x:v>
      </x:c>
      <x:c r="E1076" s="30" t="str">
        <x:v>What type of culinary class might Sarah Garcia enjoy taking after April 20, 2038?</x:v>
      </x:c>
      <x:c r="F1076" s="30" t="str">
        <x:v>A class focusing on artistic food presentation.</x:v>
      </x:c>
      <x:c r="G1076" s="30" t="str">
        <x:v>Sushi-making class</x:v>
      </x:c>
      <x:c r="H1076" s="30" t="str">
        <x:v>deepseek-v4-flash</x:v>
      </x:c>
      <x:c r="I1076" s="30" t="str">
        <x:v>deepseek-v4-flash</x:v>
      </x:c>
      <x:c r="J1076" s="30" t="str">
        <x:v>43322ae8114f962f802c150062ff519a5e06f8d4f27be83d6b6e9e1d79a18f38</x:v>
      </x:c>
      <x:c r="K1076" s="30" t="str">
        <x:v>b8899730a5e138654fe4dd6771d3f178decea7629554445015b2f73f6ceeeecb</x:v>
      </x:c>
      <x:c r="L1076" s="30" t="n">
        <x:v>787.26</x:v>
      </x:c>
      <x:c r="M1076" s="30" t="str">
        <x:v>{"completion_tokens": 4, "prompt_tokens": 624, "total_tokens": 628, "completion_tokens_details": null, "prompt_tokens_details": {"audio_tokens": null, "cached_tokens": 512}, "prompt_cache_hit_tokens": 512, "prompt_cache_miss_tokens": 112}</x:v>
      </x:c>
      <x:c r="N1076" s="30" t="str">
        <x:v>hallucination</x:v>
      </x:c>
      <x:c r="O1076" s="30" t="str">
        <x:v>The gold answer specifies a class focusing on artistic food presentation, while the model answer suggests a sushi-making class. Although sushi-making can involve artistic presentation, it is a specific type of class that is not semantically equivalent to the broader category of artistic food presentation. The model's answer introduces a concrete, specific claim that is not supported by the gold answer, making it a hallucination.</x:v>
      </x:c>
      <x:c r="P1076" s="30" t="str">
        <x:v>LongCat-2.0</x:v>
      </x:c>
      <x:c r="Q1076" s="30" t="str">
        <x:v>LongCat-2.0</x:v>
      </x:c>
      <x:c r="R1076" s="30" t="n">
        <x:v>3380.02</x:v>
      </x:c>
      <x:c r="S1076" s="30" t="str">
        <x:v>{"completion_tokens": 92, "prompt_tokens": 152,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7">
      <x:c r="A1077" s="30" t="str">
        <x:v>memos_medium:661</x:v>
      </x:c>
      <x:c r="B1077" s="30" t="str">
        <x:v>medium</x:v>
      </x:c>
      <x:c r="C1077" s="30" t="str">
        <x:v>Generalization &amp; Application</x:v>
      </x:c>
      <x:c r="D1077" s="30" t="n">
        <x:v>2</x:v>
      </x:c>
      <x:c r="E1077" s="30" t="str">
        <x:v>What type of culinary class might Sarah Garcia enjoy taking after April 20, 2038?</x:v>
      </x:c>
      <x:c r="F1077" s="30" t="str">
        <x:v>A class focusing on artistic food presentation.</x:v>
      </x:c>
      <x:c r="G1077" s="30" t="str">
        <x:v>Sushi-making class</x:v>
      </x:c>
      <x:c r="H1077" s="30" t="str">
        <x:v>deepseek-v4-flash</x:v>
      </x:c>
      <x:c r="I1077" s="30" t="str">
        <x:v>deepseek-v4-flash</x:v>
      </x:c>
      <x:c r="J1077" s="30" t="str">
        <x:v>43322ae8114f962f802c150062ff519a5e06f8d4f27be83d6b6e9e1d79a18f38</x:v>
      </x:c>
      <x:c r="K1077" s="30" t="str">
        <x:v>b8899730a5e138654fe4dd6771d3f178decea7629554445015b2f73f6ceeeecb</x:v>
      </x:c>
      <x:c r="L1077" s="30" t="n">
        <x:v>841.25</x:v>
      </x:c>
      <x:c r="M1077" s="30" t="str">
        <x:v>{"completion_tokens": 4, "prompt_tokens": 624, "total_tokens": 628, "completion_tokens_details": null, "prompt_tokens_details": {"audio_tokens": null, "cached_tokens": 512}, "prompt_cache_hit_tokens": 512, "prompt_cache_miss_tokens": 112}</x:v>
      </x:c>
      <x:c r="N1077" s="30" t="str">
        <x:v>hallucination</x:v>
      </x:c>
      <x:c r="O1077"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P1077" s="30" t="str">
        <x:v>LongCat-2.0</x:v>
      </x:c>
      <x:c r="Q1077" s="30" t="str">
        <x:v>LongCat-2.0</x:v>
      </x:c>
      <x:c r="R1077" s="30" t="n">
        <x:v>3091.62</x:v>
      </x:c>
      <x:c r="S1077" s="30" t="str">
        <x:v>{"completion_tokens": 92, "prompt_tokens": 152,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8">
      <x:c r="A1078" s="30" t="str">
        <x:v>memos_medium:661</x:v>
      </x:c>
      <x:c r="B1078" s="30" t="str">
        <x:v>medium</x:v>
      </x:c>
      <x:c r="C1078" s="30" t="str">
        <x:v>Generalization &amp; Application</x:v>
      </x:c>
      <x:c r="D1078" s="30" t="n">
        <x:v>3</x:v>
      </x:c>
      <x:c r="E1078" s="30" t="str">
        <x:v>What type of culinary class might Sarah Garcia enjoy taking after April 20, 2038?</x:v>
      </x:c>
      <x:c r="F1078" s="30" t="str">
        <x:v>A class focusing on artistic food presentation.</x:v>
      </x:c>
      <x:c r="G1078" s="30" t="str">
        <x:v>Sushi-making class</x:v>
      </x:c>
      <x:c r="H1078" s="30" t="str">
        <x:v>deepseek-v4-flash</x:v>
      </x:c>
      <x:c r="I1078" s="30" t="str">
        <x:v>deepseek-v4-flash</x:v>
      </x:c>
      <x:c r="J1078" s="30" t="str">
        <x:v>43322ae8114f962f802c150062ff519a5e06f8d4f27be83d6b6e9e1d79a18f38</x:v>
      </x:c>
      <x:c r="K1078" s="30" t="str">
        <x:v>b8899730a5e138654fe4dd6771d3f178decea7629554445015b2f73f6ceeeecb</x:v>
      </x:c>
      <x:c r="L1078" s="30" t="n">
        <x:v>758.29</x:v>
      </x:c>
      <x:c r="M1078" s="30" t="str">
        <x:v>{"completion_tokens": 4, "prompt_tokens": 624, "total_tokens": 628, "completion_tokens_details": null, "prompt_tokens_details": {"audio_tokens": null, "cached_tokens": 512}, "prompt_cache_hit_tokens": 512, "prompt_cache_miss_tokens": 112}</x:v>
      </x:c>
      <x:c r="N1078" s="30" t="str">
        <x:v>hallucination</x:v>
      </x:c>
      <x:c r="O1078" s="30" t="str">
        <x:v>The gold answer specifies a class focusing on artistic food presentation, while the model answer suggests a sushi-making class. Although sushi-making can involve artistic presentation, it is a specific culinary type that is not equivalent to or fully captured by the gold answer's focus on artistic food presentation. The model provides a concrete answer that does not semantically match the gold answer, making it a hallucination.</x:v>
      </x:c>
      <x:c r="P1078" s="30" t="str">
        <x:v>LongCat-2.0</x:v>
      </x:c>
      <x:c r="Q1078" s="30" t="str">
        <x:v>LongCat-2.0</x:v>
      </x:c>
      <x:c r="R1078" s="30" t="n">
        <x:v>3618.59</x:v>
      </x:c>
      <x:c r="S1078" s="30" t="str">
        <x:v>{"completion_tokens": 92, "prompt_tokens": 152, "total_tokens": 244,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79">
      <x:c r="A1079" s="30" t="str">
        <x:v>memos_medium:670</x:v>
      </x:c>
      <x:c r="B1079" s="30" t="str">
        <x:v>medium</x:v>
      </x:c>
      <x:c r="C1079" s="30" t="str">
        <x:v>Generalization &amp; Application</x:v>
      </x:c>
      <x:c r="D1079" s="30" t="n">
        <x:v>1</x:v>
      </x:c>
      <x:c r="E1079" s="30" t="str">
        <x:v>What new genre might Sarah Garcia explore after Sep 11, 2039, given her appreciation for creative pop music?</x:v>
      </x:c>
      <x:c r="F1079" s="30" t="str">
        <x:v>Indie music for its artistic complexity.</x:v>
      </x:c>
      <x:c r="G1079" s="30" t="str">
        <x:v>Jazz music</x:v>
      </x:c>
      <x:c r="H1079" s="30" t="str">
        <x:v>deepseek-v4-flash</x:v>
      </x:c>
      <x:c r="I1079" s="30" t="str">
        <x:v>deepseek-v4-flash</x:v>
      </x:c>
      <x:c r="J1079" s="30" t="str">
        <x:v>1d5413d6263e94f7752ef7aca2fb1ec95ef50266c18d67c42af3c1e471c195d5</x:v>
      </x:c>
      <x:c r="K1079" s="30" t="str">
        <x:v>27946f7ed5bab22f09e0d751b30847531caa0ae205b50dbe672668c4b38a20bf</x:v>
      </x:c>
      <x:c r="L1079" s="30" t="n">
        <x:v>567.21</x:v>
      </x:c>
      <x:c r="M1079" s="30" t="str">
        <x:v>{"completion_tokens": 3, "prompt_tokens": 622, "total_tokens": 625, "completion_tokens_details": null, "prompt_tokens_details": {"audio_tokens": null, "cached_tokens": 512}, "prompt_cache_hit_tokens": 512, "prompt_cache_miss_tokens": 110}</x:v>
      </x:c>
      <x:c r="N1079" s="30" t="str">
        <x:v>hallucination</x:v>
      </x:c>
      <x:c r="O1079" s="30" t="str">
        <x:v>The gold answer specifies 'Indie music for its artistic complexity' as the new genre Sarah Garcia might explore. The model answer 'Jazz music' is a concrete, specific genre that directly contradicts the gold answer and is not supported by it.</x:v>
      </x:c>
      <x:c r="P1079" s="30" t="str">
        <x:v>LongCat-2.0</x:v>
      </x:c>
      <x:c r="Q1079" s="30" t="str">
        <x:v>LongCat-2.0</x:v>
      </x:c>
      <x:c r="R1079" s="30" t="n">
        <x:v>2963.93</x:v>
      </x:c>
      <x:c r="S1079" s="30" t="str">
        <x:v>{"completion_tokens": 61, "prompt_tokens": 155, "total_tokens": 216,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80">
      <x:c r="A1080" s="30" t="str">
        <x:v>memos_medium:670</x:v>
      </x:c>
      <x:c r="B1080" s="30" t="str">
        <x:v>medium</x:v>
      </x:c>
      <x:c r="C1080" s="30" t="str">
        <x:v>Generalization &amp; Application</x:v>
      </x:c>
      <x:c r="D1080" s="30" t="n">
        <x:v>2</x:v>
      </x:c>
      <x:c r="E1080" s="30" t="str">
        <x:v>What new genre might Sarah Garcia explore after Sep 11, 2039, given her appreciation for creative pop music?</x:v>
      </x:c>
      <x:c r="F1080" s="30" t="str">
        <x:v>Indie music for its artistic complexity.</x:v>
      </x:c>
      <x:c r="G1080" s="30" t="str">
        <x:v>Jazz music</x:v>
      </x:c>
      <x:c r="H1080" s="30" t="str">
        <x:v>deepseek-v4-flash</x:v>
      </x:c>
      <x:c r="I1080" s="30" t="str">
        <x:v>deepseek-v4-flash</x:v>
      </x:c>
      <x:c r="J1080" s="30" t="str">
        <x:v>1d5413d6263e94f7752ef7aca2fb1ec95ef50266c18d67c42af3c1e471c195d5</x:v>
      </x:c>
      <x:c r="K1080" s="30" t="str">
        <x:v>27946f7ed5bab22f09e0d751b30847531caa0ae205b50dbe672668c4b38a20bf</x:v>
      </x:c>
      <x:c r="L1080" s="30" t="n">
        <x:v>667</x:v>
      </x:c>
      <x:c r="M1080" s="30" t="str">
        <x:v>{"completion_tokens": 3, "prompt_tokens": 622, "total_tokens": 625, "completion_tokens_details": null, "prompt_tokens_details": {"audio_tokens": null, "cached_tokens": 512}, "prompt_cache_hit_tokens": 512, "prompt_cache_miss_tokens": 110}</x:v>
      </x:c>
      <x:c r="N1080" s="30" t="str">
        <x:v>hallucination</x:v>
      </x:c>
      <x:c r="O1080" s="30" t="str">
        <x:v>The gold answer specifies 'Indie music for its artistic complexity,' while the model answer provides 'Jazz music,' which is a different, concrete genre that contradicts the gold answer.</x:v>
      </x:c>
      <x:c r="P1080" s="30" t="str">
        <x:v>LongCat-2.0</x:v>
      </x:c>
      <x:c r="Q1080" s="30" t="str">
        <x:v>LongCat-2.0</x:v>
      </x:c>
      <x:c r="R1080" s="30" t="n">
        <x:v>2430.47</x:v>
      </x:c>
      <x:c r="S1080" s="30" t="str">
        <x:v>{"completion_tokens": 48, "prompt_tokens": 155, "total_tokens": 203,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1">
      <x:c r="A1081" s="30" t="str">
        <x:v>memos_medium:670</x:v>
      </x:c>
      <x:c r="B1081" s="30" t="str">
        <x:v>medium</x:v>
      </x:c>
      <x:c r="C1081" s="30" t="str">
        <x:v>Generalization &amp; Application</x:v>
      </x:c>
      <x:c r="D1081" s="30" t="n">
        <x:v>3</x:v>
      </x:c>
      <x:c r="E1081" s="30" t="str">
        <x:v>What new genre might Sarah Garcia explore after Sep 11, 2039, given her appreciation for creative pop music?</x:v>
      </x:c>
      <x:c r="F1081" s="30" t="str">
        <x:v>Indie music for its artistic complexity.</x:v>
      </x:c>
      <x:c r="G1081" s="30" t="str">
        <x:v>Jazz music</x:v>
      </x:c>
      <x:c r="H1081" s="30" t="str">
        <x:v>deepseek-v4-flash</x:v>
      </x:c>
      <x:c r="I1081" s="30" t="str">
        <x:v>deepseek-v4-flash</x:v>
      </x:c>
      <x:c r="J1081" s="30" t="str">
        <x:v>1d5413d6263e94f7752ef7aca2fb1ec95ef50266c18d67c42af3c1e471c195d5</x:v>
      </x:c>
      <x:c r="K1081" s="30" t="str">
        <x:v>27946f7ed5bab22f09e0d751b30847531caa0ae205b50dbe672668c4b38a20bf</x:v>
      </x:c>
      <x:c r="L1081" s="30" t="n">
        <x:v>950.06</x:v>
      </x:c>
      <x:c r="M1081" s="30" t="str">
        <x:v>{"completion_tokens": 3, "prompt_tokens": 622, "total_tokens": 625, "completion_tokens_details": null, "prompt_tokens_details": {"audio_tokens": null, "cached_tokens": 512}, "prompt_cache_hit_tokens": 512, "prompt_cache_miss_tokens": 110}</x:v>
      </x:c>
      <x:c r="N1081" s="30" t="str">
        <x:v>hallucination</x:v>
      </x:c>
      <x:c r="O1081" s="30" t="str">
        <x:v>The gold answer specifies 'Indie music for its artistic complexity,' while the model answer provides 'Jazz music,' which is a different, concrete genre that contradicts the gold answer.</x:v>
      </x:c>
      <x:c r="P1081" s="30" t="str">
        <x:v>LongCat-2.0</x:v>
      </x:c>
      <x:c r="Q1081" s="30" t="str">
        <x:v>LongCat-2.0</x:v>
      </x:c>
      <x:c r="R1081" s="30" t="n">
        <x:v>12780.2</x:v>
      </x:c>
      <x:c r="S1081" s="30" t="str">
        <x:v>{"completion_tokens": 48, "prompt_tokens": 155, "total_tokens": 203,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2">
      <x:c r="A1082" s="30" t="str">
        <x:v>memos_medium:694</x:v>
      </x:c>
      <x:c r="B1082" s="30" t="str">
        <x:v>medium</x:v>
      </x:c>
      <x:c r="C1082" s="30" t="str">
        <x:v>Basic Fact Recall</x:v>
      </x:c>
      <x:c r="D1082" s="30" t="n">
        <x:v>1</x:v>
      </x:c>
      <x:c r="E1082" s="30" t="str">
        <x:v>What beverage did Sarah Garcia decide to remove from her dislike list on Jul 21, 2041?</x:v>
      </x:c>
      <x:c r="F1082" s="30" t="str">
        <x:v>Instant coffee</x:v>
      </x:c>
      <x:c r="G1082" s="30" t="str">
        <x:v>Instant coffee</x:v>
      </x:c>
      <x:c r="H1082" s="30" t="str">
        <x:v>deepseek-v4-flash</x:v>
      </x:c>
      <x:c r="I1082" s="30" t="str">
        <x:v>deepseek-v4-flash</x:v>
      </x:c>
      <x:c r="J1082" s="30" t="str">
        <x:v>2f017d8f128cece988091168cf904c005a7307e21ba662d83fd84990598c1aa8</x:v>
      </x:c>
      <x:c r="K1082" s="30" t="str">
        <x:v>f71291c0e00e3feff88c1f6dcb65b3c28956ddfc4c8bdb048ee8069f0a2e91d4</x:v>
      </x:c>
      <x:c r="L1082" s="30" t="n">
        <x:v>680.72</x:v>
      </x:c>
      <x:c r="M1082" s="30" t="str">
        <x:v>{"completion_tokens": 2, "prompt_tokens": 540, "total_tokens": 542, "completion_tokens_details": null, "prompt_tokens_details": {"audio_tokens": null, "cached_tokens": 512}, "prompt_cache_hit_tokens": 512, "prompt_cache_miss_tokens": 28}</x:v>
      </x:c>
      <x:c r="N1082" s="30" t="str">
        <x:v>correct</x:v>
      </x:c>
      <x:c r="O1082" s="30" t="str">
        <x:v>The model answer 'Instant coffee' exactly matches the benchmark gold answer 'Instant coffee', providing the complete and correct information.</x:v>
      </x:c>
      <x:c r="P1082" s="30" t="str">
        <x:v>LongCat-2.0</x:v>
      </x:c>
      <x:c r="Q1082" s="30" t="str">
        <x:v>LongCat-2.0</x:v>
      </x:c>
      <x:c r="R1082" s="30" t="n">
        <x:v>6256</x:v>
      </x:c>
      <x:c r="S1082" s="30" t="str">
        <x:v>{"completion_tokens": 35, "prompt_tokens": 147, "total_tokens": 182,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83">
      <x:c r="A1083" s="30" t="str">
        <x:v>memos_medium:694</x:v>
      </x:c>
      <x:c r="B1083" s="30" t="str">
        <x:v>medium</x:v>
      </x:c>
      <x:c r="C1083" s="30" t="str">
        <x:v>Basic Fact Recall</x:v>
      </x:c>
      <x:c r="D1083" s="30" t="n">
        <x:v>2</x:v>
      </x:c>
      <x:c r="E1083" s="30" t="str">
        <x:v>What beverage did Sarah Garcia decide to remove from her dislike list on Jul 21, 2041?</x:v>
      </x:c>
      <x:c r="F1083" s="30" t="str">
        <x:v>Instant coffee</x:v>
      </x:c>
      <x:c r="G1083" s="30" t="str">
        <x:v>Instant coffee</x:v>
      </x:c>
      <x:c r="H1083" s="30" t="str">
        <x:v>deepseek-v4-flash</x:v>
      </x:c>
      <x:c r="I1083" s="30" t="str">
        <x:v>deepseek-v4-flash</x:v>
      </x:c>
      <x:c r="J1083" s="30" t="str">
        <x:v>2f017d8f128cece988091168cf904c005a7307e21ba662d83fd84990598c1aa8</x:v>
      </x:c>
      <x:c r="K1083" s="30" t="str">
        <x:v>f71291c0e00e3feff88c1f6dcb65b3c28956ddfc4c8bdb048ee8069f0a2e91d4</x:v>
      </x:c>
      <x:c r="L1083" s="30" t="n">
        <x:v>779.42</x:v>
      </x:c>
      <x:c r="M1083" s="30" t="str">
        <x:v>{"completion_tokens": 2, "prompt_tokens": 540, "total_tokens": 542, "completion_tokens_details": null, "prompt_tokens_details": {"audio_tokens": null, "cached_tokens": 512}, "prompt_cache_hit_tokens": 512, "prompt_cache_miss_tokens": 28}</x:v>
      </x:c>
      <x:c r="N1083" s="30" t="str">
        <x:v>correct</x:v>
      </x:c>
      <x:c r="O1083" s="30" t="str">
        <x:v>The model answer 'Instant coffee' exactly matches the benchmark gold answer 'Instant coffee', providing the complete and correct information.</x:v>
      </x:c>
      <x:c r="P1083" s="30" t="str">
        <x:v>LongCat-2.0</x:v>
      </x:c>
      <x:c r="Q1083" s="30" t="str">
        <x:v>LongCat-2.0</x:v>
      </x:c>
      <x:c r="R1083" s="30" t="n">
        <x:v>3535.78</x:v>
      </x:c>
      <x:c r="S1083" s="30" t="str">
        <x:v>{"completion_tokens": 35, "prompt_tokens": 147, "total_tokens": 182,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4">
      <x:c r="A1084" s="30" t="str">
        <x:v>memos_medium:694</x:v>
      </x:c>
      <x:c r="B1084" s="30" t="str">
        <x:v>medium</x:v>
      </x:c>
      <x:c r="C1084" s="30" t="str">
        <x:v>Basic Fact Recall</x:v>
      </x:c>
      <x:c r="D1084" s="30" t="n">
        <x:v>3</x:v>
      </x:c>
      <x:c r="E1084" s="30" t="str">
        <x:v>What beverage did Sarah Garcia decide to remove from her dislike list on Jul 21, 2041?</x:v>
      </x:c>
      <x:c r="F1084" s="30" t="str">
        <x:v>Instant coffee</x:v>
      </x:c>
      <x:c r="G1084" s="30" t="str">
        <x:v>Instant coffee</x:v>
      </x:c>
      <x:c r="H1084" s="30" t="str">
        <x:v>deepseek-v4-flash</x:v>
      </x:c>
      <x:c r="I1084" s="30" t="str">
        <x:v>deepseek-v4-flash</x:v>
      </x:c>
      <x:c r="J1084" s="30" t="str">
        <x:v>2f017d8f128cece988091168cf904c005a7307e21ba662d83fd84990598c1aa8</x:v>
      </x:c>
      <x:c r="K1084" s="30" t="str">
        <x:v>f71291c0e00e3feff88c1f6dcb65b3c28956ddfc4c8bdb048ee8069f0a2e91d4</x:v>
      </x:c>
      <x:c r="L1084" s="30" t="n">
        <x:v>747.97</x:v>
      </x:c>
      <x:c r="M1084" s="30" t="str">
        <x:v>{"completion_tokens": 2, "prompt_tokens": 540, "total_tokens": 542, "completion_tokens_details": null, "prompt_tokens_details": {"audio_tokens": null, "cached_tokens": 512}, "prompt_cache_hit_tokens": 512, "prompt_cache_miss_tokens": 28}</x:v>
      </x:c>
      <x:c r="N1084" s="30" t="str">
        <x:v>correct</x:v>
      </x:c>
      <x:c r="O1084" s="30" t="str">
        <x:v>The model answer 'Instant coffee' matches the benchmark gold answer exactly, providing the complete and correct information.</x:v>
      </x:c>
      <x:c r="P1084" s="30" t="str">
        <x:v>LongCat-2.0</x:v>
      </x:c>
      <x:c r="Q1084" s="30" t="str">
        <x:v>LongCat-2.0</x:v>
      </x:c>
      <x:c r="R1084" s="30" t="n">
        <x:v>5426.14</x:v>
      </x:c>
      <x:c r="S1084" s="30" t="str">
        <x:v>{"completion_tokens": 32, "prompt_tokens": 147, "total_tokens": 179,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5">
      <x:c r="A1085" s="30" t="str">
        <x:v>memos_medium:697</x:v>
      </x:c>
      <x:c r="B1085" s="30" t="str">
        <x:v>medium</x:v>
      </x:c>
      <x:c r="C1085" s="30" t="str">
        <x:v>Multi-hop Inference</x:v>
      </x:c>
      <x:c r="D1085" s="30" t="n">
        <x:v>1</x:v>
      </x:c>
      <x:c r="E1085" s="30" t="str">
        <x:v>What challenges did Sarah face in achieving her life goal by Jan 07, 2042, and how did she plan to overcome them?</x:v>
      </x:c>
      <x:c r="F1085" s="30" t="str">
        <x:v>Navigating politics; leveraging partnerships and setting ambitious goals.</x:v>
      </x:c>
      <x:c r="G1085" s="30" t="str">
        <x:v>Navigating complex political landscapes.</x:v>
      </x:c>
      <x:c r="H1085" s="30" t="str">
        <x:v>deepseek-v4-flash</x:v>
      </x:c>
      <x:c r="I1085" s="30" t="str">
        <x:v>deepseek-v4-flash</x:v>
      </x:c>
      <x:c r="J1085" s="30" t="str">
        <x:v>7af10579a0b2d019f87e2561c3291e6e565b55ebba11ab4a01b6f67dc058f882</x:v>
      </x:c>
      <x:c r="K1085" s="30" t="str">
        <x:v>3f9c910e4e89b905f93a6078112c1284d8d86d696c89e8d3936f7977ce4574a8</x:v>
      </x:c>
      <x:c r="L1085" s="30" t="n">
        <x:v>747.77</x:v>
      </x:c>
      <x:c r="M1085" s="30" t="str">
        <x:v>{"completion_tokens": 6, "prompt_tokens": 608, "total_tokens": 614, "completion_tokens_details": null, "prompt_tokens_details": {"audio_tokens": null, "cached_tokens": 512}, "prompt_cache_hit_tokens": 512, "prompt_cache_miss_tokens": 96}</x:v>
      </x:c>
      <x:c r="N1085" s="30" t="str">
        <x:v>omission</x:v>
      </x:c>
      <x:c r="O1085" s="30" t="str">
        <x:v>The model answer only mentions 'navigating complex political landscapes,' which covers the first part of the gold answer but omits the second part about 'leveraging partnerships and setting ambitious goals.' Since it provides only an incomplete subset without adding a concrete false claim, it is an omission.</x:v>
      </x:c>
      <x:c r="P1085" s="30" t="str">
        <x:v>LongCat-2.0</x:v>
      </x:c>
      <x:c r="Q1085" s="30" t="str">
        <x:v>LongCat-2.0</x:v>
      </x:c>
      <x:c r="R1085" s="30" t="n">
        <x:v>2241.22</x:v>
      </x:c>
      <x:c r="S1085" s="30" t="str">
        <x:v>{"completion_tokens": 68, "prompt_tokens": 165,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6">
      <x:c r="A1086" s="30" t="str">
        <x:v>memos_medium:697</x:v>
      </x:c>
      <x:c r="B1086" s="30" t="str">
        <x:v>medium</x:v>
      </x:c>
      <x:c r="C1086" s="30" t="str">
        <x:v>Multi-hop Inference</x:v>
      </x:c>
      <x:c r="D1086" s="30" t="n">
        <x:v>2</x:v>
      </x:c>
      <x:c r="E1086" s="30" t="str">
        <x:v>What challenges did Sarah face in achieving her life goal by Jan 07, 2042, and how did she plan to overcome them?</x:v>
      </x:c>
      <x:c r="F1086" s="30" t="str">
        <x:v>Navigating politics; leveraging partnerships and setting ambitious goals.</x:v>
      </x:c>
      <x:c r="G1086" s="30" t="str">
        <x:v>Navigating complex political landscapes.</x:v>
      </x:c>
      <x:c r="H1086" s="30" t="str">
        <x:v>deepseek-v4-flash</x:v>
      </x:c>
      <x:c r="I1086" s="30" t="str">
        <x:v>deepseek-v4-flash</x:v>
      </x:c>
      <x:c r="J1086" s="30" t="str">
        <x:v>7af10579a0b2d019f87e2561c3291e6e565b55ebba11ab4a01b6f67dc058f882</x:v>
      </x:c>
      <x:c r="K1086" s="30" t="str">
        <x:v>3f9c910e4e89b905f93a6078112c1284d8d86d696c89e8d3936f7977ce4574a8</x:v>
      </x:c>
      <x:c r="L1086" s="30" t="n">
        <x:v>684.99</x:v>
      </x:c>
      <x:c r="M1086" s="30" t="str">
        <x:v>{"completion_tokens": 6, "prompt_tokens": 608, "total_tokens": 614, "completion_tokens_details": null, "prompt_tokens_details": {"audio_tokens": null, "cached_tokens": 512}, "prompt_cache_hit_tokens": 512, "prompt_cache_miss_tokens": 96}</x:v>
      </x:c>
      <x:c r="N1086" s="30" t="str">
        <x:v>omission</x:v>
      </x:c>
      <x:c r="O1086"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P1086" s="30" t="str">
        <x:v>LongCat-2.0</x:v>
      </x:c>
      <x:c r="Q1086" s="30" t="str">
        <x:v>LongCat-2.0</x:v>
      </x:c>
      <x:c r="R1086" s="30" t="n">
        <x:v>2308.41</x:v>
      </x:c>
      <x:c r="S1086" s="30" t="str">
        <x:v>{"completion_tokens": 72, "prompt_tokens": 165,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7">
      <x:c r="A1087" s="30" t="str">
        <x:v>memos_medium:697</x:v>
      </x:c>
      <x:c r="B1087" s="30" t="str">
        <x:v>medium</x:v>
      </x:c>
      <x:c r="C1087" s="30" t="str">
        <x:v>Multi-hop Inference</x:v>
      </x:c>
      <x:c r="D1087" s="30" t="n">
        <x:v>3</x:v>
      </x:c>
      <x:c r="E1087" s="30" t="str">
        <x:v>What challenges did Sarah face in achieving her life goal by Jan 07, 2042, and how did she plan to overcome them?</x:v>
      </x:c>
      <x:c r="F1087" s="30" t="str">
        <x:v>Navigating politics; leveraging partnerships and setting ambitious goals.</x:v>
      </x:c>
      <x:c r="G1087" s="30" t="str">
        <x:v>Navigating complex political landscapes.</x:v>
      </x:c>
      <x:c r="H1087" s="30" t="str">
        <x:v>deepseek-v4-flash</x:v>
      </x:c>
      <x:c r="I1087" s="30" t="str">
        <x:v>deepseek-v4-flash</x:v>
      </x:c>
      <x:c r="J1087" s="30" t="str">
        <x:v>7af10579a0b2d019f87e2561c3291e6e565b55ebba11ab4a01b6f67dc058f882</x:v>
      </x:c>
      <x:c r="K1087" s="30" t="str">
        <x:v>3f9c910e4e89b905f93a6078112c1284d8d86d696c89e8d3936f7977ce4574a8</x:v>
      </x:c>
      <x:c r="L1087" s="30" t="n">
        <x:v>578.31</x:v>
      </x:c>
      <x:c r="M1087" s="30" t="str">
        <x:v>{"completion_tokens": 6, "prompt_tokens": 608, "total_tokens": 614, "completion_tokens_details": null, "prompt_tokens_details": {"audio_tokens": null, "cached_tokens": 512}, "prompt_cache_hit_tokens": 512, "prompt_cache_miss_tokens": 96}</x:v>
      </x:c>
      <x:c r="N1087" s="30" t="str">
        <x:v>omission</x:v>
      </x:c>
      <x:c r="O1087" s="30" t="str">
        <x:v>The model answer only mentions 'navigating complex political landscapes,' which covers the first part of the gold answer ('Navigating politics') but omits the second part ('leveraging partnerships and setting ambitious goals'). Since it provides only an incomplete subset without adding a concrete false claim, it is an omission.</x:v>
      </x:c>
      <x:c r="P1087" s="30" t="str">
        <x:v>LongCat-2.0</x:v>
      </x:c>
      <x:c r="Q1087" s="30" t="str">
        <x:v>LongCat-2.0</x:v>
      </x:c>
      <x:c r="R1087" s="30" t="n">
        <x:v>2730.83</x:v>
      </x:c>
      <x:c r="S1087" s="30" t="str">
        <x:v>{"completion_tokens": 72, "prompt_tokens": 165,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8">
      <x:c r="A1088" s="30" t="str">
        <x:v>memos_medium:721</x:v>
      </x:c>
      <x:c r="B1088" s="30" t="str">
        <x:v>medium</x:v>
      </x:c>
      <x:c r="C1088" s="30" t="str">
        <x:v>Dynamic Update</x:v>
      </x:c>
      <x:c r="D1088" s="30" t="n">
        <x:v>1</x:v>
      </x:c>
      <x:c r="E1088" s="30" t="str">
        <x:v>How has Donna Gonzalez's health status changed since Jan 11, 2026?</x:v>
      </x:c>
      <x:c r="F1088" s="30" t="str">
        <x:v>Diagnosed with a chronic disease</x:v>
      </x:c>
      <x:c r="G1088" s="30" t="str">
        <x:v>Diagnosed with chronic disease.</x:v>
      </x:c>
      <x:c r="H1088" s="30" t="str">
        <x:v>deepseek-v4-flash</x:v>
      </x:c>
      <x:c r="I1088" s="30" t="str">
        <x:v>deepseek-v4-flash</x:v>
      </x:c>
      <x:c r="J1088" s="30" t="str">
        <x:v>e03c16e8c92108b945ae8a6bd88e6639b8dd3b489cf581631df657934bd29f53</x:v>
      </x:c>
      <x:c r="K1088" s="30" t="str">
        <x:v>6096c0a83c172a6b80e2a859892e32a3c8528fc4157339359e19e845cdd4a73b</x:v>
      </x:c>
      <x:c r="L1088" s="30" t="n">
        <x:v>478.19</x:v>
      </x:c>
      <x:c r="M1088" s="30" t="str">
        <x:v>{"completion_tokens": 6, "prompt_tokens": 557, "total_tokens": 563, "completion_tokens_details": null, "prompt_tokens_details": {"audio_tokens": null, "cached_tokens": 512}, "prompt_cache_hit_tokens": 512, "prompt_cache_miss_tokens": 45}</x:v>
      </x:c>
      <x:c r="N1088" s="30" t="str">
        <x:v>correct</x:v>
      </x:c>
      <x:c r="O1088"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1088" s="30" t="str">
        <x:v>LongCat-2.0</x:v>
      </x:c>
      <x:c r="Q1088" s="30" t="str">
        <x:v>LongCat-2.0</x:v>
      </x:c>
      <x:c r="R1088" s="30" t="n">
        <x:v>2688.21</x:v>
      </x:c>
      <x:c r="S1088" s="30" t="str">
        <x:v>{"completion_tokens": 69, "prompt_tokens": 150,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89">
      <x:c r="A1089" s="30" t="str">
        <x:v>memos_medium:721</x:v>
      </x:c>
      <x:c r="B1089" s="30" t="str">
        <x:v>medium</x:v>
      </x:c>
      <x:c r="C1089" s="30" t="str">
        <x:v>Dynamic Update</x:v>
      </x:c>
      <x:c r="D1089" s="30" t="n">
        <x:v>2</x:v>
      </x:c>
      <x:c r="E1089" s="30" t="str">
        <x:v>How has Donna Gonzalez's health status changed since Jan 11, 2026?</x:v>
      </x:c>
      <x:c r="F1089" s="30" t="str">
        <x:v>Diagnosed with a chronic disease</x:v>
      </x:c>
      <x:c r="G1089" s="30" t="str">
        <x:v>Diagnosed with chronic disease.</x:v>
      </x:c>
      <x:c r="H1089" s="30" t="str">
        <x:v>deepseek-v4-flash</x:v>
      </x:c>
      <x:c r="I1089" s="30" t="str">
        <x:v>deepseek-v4-flash</x:v>
      </x:c>
      <x:c r="J1089" s="30" t="str">
        <x:v>e03c16e8c92108b945ae8a6bd88e6639b8dd3b489cf581631df657934bd29f53</x:v>
      </x:c>
      <x:c r="K1089" s="30" t="str">
        <x:v>6096c0a83c172a6b80e2a859892e32a3c8528fc4157339359e19e845cdd4a73b</x:v>
      </x:c>
      <x:c r="L1089" s="30" t="n">
        <x:v>509.92</x:v>
      </x:c>
      <x:c r="M1089" s="30" t="str">
        <x:v>{"completion_tokens": 6, "prompt_tokens": 557, "total_tokens": 563, "completion_tokens_details": null, "prompt_tokens_details": {"audio_tokens": null, "cached_tokens": 512}, "prompt_cache_hit_tokens": 512, "prompt_cache_miss_tokens": 45}</x:v>
      </x:c>
      <x:c r="N1089" s="30" t="str">
        <x:v>correct</x:v>
      </x:c>
      <x:c r="O1089"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1089" s="30" t="str">
        <x:v>LongCat-2.0</x:v>
      </x:c>
      <x:c r="Q1089" s="30" t="str">
        <x:v>LongCat-2.0</x:v>
      </x:c>
      <x:c r="R1089" s="30" t="n">
        <x:v>2705.94</x:v>
      </x:c>
      <x:c r="S1089" s="30" t="str">
        <x:v>{"completion_tokens": 69, "prompt_tokens": 150,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0">
      <x:c r="A1090" s="30" t="str">
        <x:v>memos_medium:721</x:v>
      </x:c>
      <x:c r="B1090" s="30" t="str">
        <x:v>medium</x:v>
      </x:c>
      <x:c r="C1090" s="30" t="str">
        <x:v>Dynamic Update</x:v>
      </x:c>
      <x:c r="D1090" s="30" t="n">
        <x:v>3</x:v>
      </x:c>
      <x:c r="E1090" s="30" t="str">
        <x:v>How has Donna Gonzalez's health status changed since Jan 11, 2026?</x:v>
      </x:c>
      <x:c r="F1090" s="30" t="str">
        <x:v>Diagnosed with a chronic disease</x:v>
      </x:c>
      <x:c r="G1090" s="30" t="str">
        <x:v>Diagnosed with chronic disease.</x:v>
      </x:c>
      <x:c r="H1090" s="30" t="str">
        <x:v>deepseek-v4-flash</x:v>
      </x:c>
      <x:c r="I1090" s="30" t="str">
        <x:v>deepseek-v4-flash</x:v>
      </x:c>
      <x:c r="J1090" s="30" t="str">
        <x:v>e03c16e8c92108b945ae8a6bd88e6639b8dd3b489cf581631df657934bd29f53</x:v>
      </x:c>
      <x:c r="K1090" s="30" t="str">
        <x:v>6096c0a83c172a6b80e2a859892e32a3c8528fc4157339359e19e845cdd4a73b</x:v>
      </x:c>
      <x:c r="L1090" s="30" t="n">
        <x:v>677.04</x:v>
      </x:c>
      <x:c r="M1090" s="30" t="str">
        <x:v>{"completion_tokens": 6, "prompt_tokens": 557, "total_tokens": 563, "completion_tokens_details": null, "prompt_tokens_details": {"audio_tokens": null, "cached_tokens": 512}, "prompt_cache_hit_tokens": 512, "prompt_cache_miss_tokens": 45}</x:v>
      </x:c>
      <x:c r="N1090" s="30" t="str">
        <x:v>correct</x:v>
      </x:c>
      <x:c r="O1090" s="30" t="str">
        <x:v>The model answer 'Diagnosed with chronic disease' is semantically equivalent to the gold answer 'Diagnosed with a chronic disease'. The only difference is the omission of the article 'a', which does not change the meaning. The model provides the complete answer without any false or unsupported claims.</x:v>
      </x:c>
      <x:c r="P1090" s="30" t="str">
        <x:v>LongCat-2.0</x:v>
      </x:c>
      <x:c r="Q1090" s="30" t="str">
        <x:v>LongCat-2.0</x:v>
      </x:c>
      <x:c r="R1090" s="30" t="n">
        <x:v>2421.21</x:v>
      </x:c>
      <x:c r="S1090" s="30" t="str">
        <x:v>{"completion_tokens": 69, "prompt_tokens": 150,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1">
      <x:c r="A1091" s="30" t="str">
        <x:v>memos_medium:77</x:v>
      </x:c>
      <x:c r="B1091" s="30" t="str">
        <x:v>medium</x:v>
      </x:c>
      <x:c r="C1091" s="30" t="str">
        <x:v>Memory Conflict</x:v>
      </x:c>
      <x:c r="D1091" s="30" t="n">
        <x:v>1</x:v>
      </x:c>
      <x:c r="E1091" s="30" t="str">
        <x:v>Did Martin Mark express optimism about his future role as Senior Director before June 2029?</x:v>
      </x:c>
      <x:c r="F1091" s="30" t="str">
        <x:v>Yes, in May 2029, he viewed challenges as growth opportunities.</x:v>
      </x:c>
      <x:c r="G1091" s="30" t="str">
        <x:v>Yes, before June 2029.</x:v>
      </x:c>
      <x:c r="H1091" s="30" t="str">
        <x:v>deepseek-v4-flash</x:v>
      </x:c>
      <x:c r="I1091" s="30" t="str">
        <x:v>deepseek-v4-flash</x:v>
      </x:c>
      <x:c r="J1091" s="30" t="str">
        <x:v>ff8f5d1805a0f8ee4b9831dbf8a5c0919dd89420a704b0da5f20b434ee0ec325</x:v>
      </x:c>
      <x:c r="K1091" s="30" t="str">
        <x:v>301d49e0ce8d26714fbf39df3736285d54e43b3dcfddbc107c3f58bb6cb4118c</x:v>
      </x:c>
      <x:c r="L1091" s="30" t="n">
        <x:v>745.09</x:v>
      </x:c>
      <x:c r="M1091" s="30" t="str">
        <x:v>{"completion_tokens": 8, "prompt_tokens": 579, "total_tokens": 587, "completion_tokens_details": null, "prompt_tokens_details": {"audio_tokens": null, "cached_tokens": 512}, "prompt_cache_hit_tokens": 512, "prompt_cache_miss_tokens": 67}</x:v>
      </x:c>
      <x:c r="N1091" s="30" t="str">
        <x:v>omission</x:v>
      </x:c>
      <x:c r="O1091" s="30" t="str">
        <x:v>The model answer confirms the timeframe but omits the key detail from the gold answer that Martin Mark viewed challenges as growth opportunities, providing only an incomplete subset of the information.</x:v>
      </x:c>
      <x:c r="P1091" s="30" t="str">
        <x:v>LongCat-2.0</x:v>
      </x:c>
      <x:c r="Q1091" s="30" t="str">
        <x:v>LongCat-2.0</x:v>
      </x:c>
      <x:c r="R1091" s="30" t="n">
        <x:v>2373.67</x:v>
      </x:c>
      <x:c r="S1091" s="30" t="str">
        <x:v>{"completion_tokens": 47, "prompt_tokens": 164,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2">
      <x:c r="A1092" s="30" t="str">
        <x:v>memos_medium:77</x:v>
      </x:c>
      <x:c r="B1092" s="30" t="str">
        <x:v>medium</x:v>
      </x:c>
      <x:c r="C1092" s="30" t="str">
        <x:v>Memory Conflict</x:v>
      </x:c>
      <x:c r="D1092" s="30" t="n">
        <x:v>2</x:v>
      </x:c>
      <x:c r="E1092" s="30" t="str">
        <x:v>Did Martin Mark express optimism about his future role as Senior Director before June 2029?</x:v>
      </x:c>
      <x:c r="F1092" s="30" t="str">
        <x:v>Yes, in May 2029, he viewed challenges as growth opportunities.</x:v>
      </x:c>
      <x:c r="G1092" s="30" t="str">
        <x:v>Yes, before June 2029.</x:v>
      </x:c>
      <x:c r="H1092" s="30" t="str">
        <x:v>deepseek-v4-flash</x:v>
      </x:c>
      <x:c r="I1092" s="30" t="str">
        <x:v>deepseek-v4-flash</x:v>
      </x:c>
      <x:c r="J1092" s="30" t="str">
        <x:v>ff8f5d1805a0f8ee4b9831dbf8a5c0919dd89420a704b0da5f20b434ee0ec325</x:v>
      </x:c>
      <x:c r="K1092" s="30" t="str">
        <x:v>301d49e0ce8d26714fbf39df3736285d54e43b3dcfddbc107c3f58bb6cb4118c</x:v>
      </x:c>
      <x:c r="L1092" s="30" t="n">
        <x:v>642.15</x:v>
      </x:c>
      <x:c r="M1092" s="30" t="str">
        <x:v>{"completion_tokens": 8, "prompt_tokens": 579, "total_tokens": 587, "completion_tokens_details": null, "prompt_tokens_details": {"audio_tokens": null, "cached_tokens": 512}, "prompt_cache_hit_tokens": 512, "prompt_cache_miss_tokens": 67}</x:v>
      </x:c>
      <x:c r="N1092" s="30" t="str">
        <x:v>omission</x:v>
      </x:c>
      <x:c r="O1092" s="30" t="str">
        <x:v>The model answer confirms the timeframe but omits the key detail from the gold answer that Martin Mark viewed challenges as growth opportunities, providing only an incomplete subset of the information.</x:v>
      </x:c>
      <x:c r="P1092" s="30" t="str">
        <x:v>LongCat-2.0</x:v>
      </x:c>
      <x:c r="Q1092" s="30" t="str">
        <x:v>LongCat-2.0</x:v>
      </x:c>
      <x:c r="R1092" s="30" t="n">
        <x:v>2415.1</x:v>
      </x:c>
      <x:c r="S1092" s="30" t="str">
        <x:v>{"completion_tokens": 47, "prompt_tokens": 164,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3">
      <x:c r="A1093" s="30" t="str">
        <x:v>memos_medium:77</x:v>
      </x:c>
      <x:c r="B1093" s="30" t="str">
        <x:v>medium</x:v>
      </x:c>
      <x:c r="C1093" s="30" t="str">
        <x:v>Memory Conflict</x:v>
      </x:c>
      <x:c r="D1093" s="30" t="n">
        <x:v>3</x:v>
      </x:c>
      <x:c r="E1093" s="30" t="str">
        <x:v>Did Martin Mark express optimism about his future role as Senior Director before June 2029?</x:v>
      </x:c>
      <x:c r="F1093" s="30" t="str">
        <x:v>Yes, in May 2029, he viewed challenges as growth opportunities.</x:v>
      </x:c>
      <x:c r="G1093" s="30" t="str">
        <x:v>Yes, before June 2029.</x:v>
      </x:c>
      <x:c r="H1093" s="30" t="str">
        <x:v>deepseek-v4-flash</x:v>
      </x:c>
      <x:c r="I1093" s="30" t="str">
        <x:v>deepseek-v4-flash</x:v>
      </x:c>
      <x:c r="J1093" s="30" t="str">
        <x:v>ff8f5d1805a0f8ee4b9831dbf8a5c0919dd89420a704b0da5f20b434ee0ec325</x:v>
      </x:c>
      <x:c r="K1093" s="30" t="str">
        <x:v>301d49e0ce8d26714fbf39df3736285d54e43b3dcfddbc107c3f58bb6cb4118c</x:v>
      </x:c>
      <x:c r="L1093" s="30" t="n">
        <x:v>596.77</x:v>
      </x:c>
      <x:c r="M1093" s="30" t="str">
        <x:v>{"completion_tokens": 8, "prompt_tokens": 579, "total_tokens": 587, "completion_tokens_details": null, "prompt_tokens_details": {"audio_tokens": null, "cached_tokens": 512}, "prompt_cache_hit_tokens": 512, "prompt_cache_miss_tokens": 67}</x:v>
      </x:c>
      <x:c r="N1093" s="30" t="str">
        <x:v>omission</x:v>
      </x:c>
      <x:c r="O1093" s="30" t="str">
        <x:v>The model answer confirms the timeframe but omits the key detail from the gold answer that Martin Mark viewed challenges as growth opportunities, providing only an incomplete subset of the information.</x:v>
      </x:c>
      <x:c r="P1093" s="30" t="str">
        <x:v>LongCat-2.0</x:v>
      </x:c>
      <x:c r="Q1093" s="30" t="str">
        <x:v>LongCat-2.0</x:v>
      </x:c>
      <x:c r="R1093" s="30" t="n">
        <x:v>3438.39</x:v>
      </x:c>
      <x:c r="S1093" s="30" t="str">
        <x:v>{"completion_tokens": 47, "prompt_tokens": 164, "total_tokens": 211,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4">
      <x:c r="A1094" s="30" t="str">
        <x:v>memos_medium:772</x:v>
      </x:c>
      <x:c r="B1094" s="30" t="str">
        <x:v>medium</x:v>
      </x:c>
      <x:c r="C1094" s="30" t="str">
        <x:v>Multi-hop Inference</x:v>
      </x:c>
      <x:c r="D1094" s="30" t="n">
        <x:v>1</x:v>
      </x:c>
      <x:c r="E1094" s="30" t="str">
        <x:v>How did Donna's promotion to Creative Director impact her career goals by Oct 15, 2029?</x:v>
      </x:c>
      <x:c r="F1094" s="30" t="str">
        <x:v>It provided resources to pursue a music academy.</x:v>
      </x:c>
      <x:c r="G1094" s="30" t="str">
        <x:v>Increased investment in music academy.</x:v>
      </x:c>
      <x:c r="H1094" s="30" t="str">
        <x:v>deepseek-v4-flash</x:v>
      </x:c>
      <x:c r="I1094" s="30" t="str">
        <x:v>deepseek-v4-flash</x:v>
      </x:c>
      <x:c r="J1094" s="30" t="str">
        <x:v>c471b9e5ce974f2716b082228631d0c288e9a1b729681dfe30422ac753b3b34a</x:v>
      </x:c>
      <x:c r="K1094" s="30" t="str">
        <x:v>3e47f743912cdc4810bccb7a8047069fa77850e1416f8edefa359acb77eeff7a</x:v>
      </x:c>
      <x:c r="L1094" s="30" t="n">
        <x:v>870.18</x:v>
      </x:c>
      <x:c r="M1094" s="30" t="str">
        <x:v>{"completion_tokens": 6, "prompt_tokens": 621, "total_tokens": 627, "completion_tokens_details": null, "prompt_tokens_details": {"audio_tokens": null, "cached_tokens": 512}, "prompt_cache_hit_tokens": 512, "prompt_cache_miss_tokens": 109}</x:v>
      </x:c>
      <x:c r="N1094" s="30" t="str">
        <x:v>correct</x:v>
      </x:c>
      <x:c r="O1094"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P1094" s="30" t="str">
        <x:v>LongCat-2.0</x:v>
      </x:c>
      <x:c r="Q1094" s="30" t="str">
        <x:v>LongCat-2.0</x:v>
      </x:c>
      <x:c r="R1094" s="30" t="n">
        <x:v>3207.9</x:v>
      </x:c>
      <x:c r="S1094" s="30" t="str">
        <x:v>{"completion_tokens": 61, "prompt_tokens": 157,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5">
      <x:c r="A1095" s="30" t="str">
        <x:v>memos_medium:772</x:v>
      </x:c>
      <x:c r="B1095" s="30" t="str">
        <x:v>medium</x:v>
      </x:c>
      <x:c r="C1095" s="30" t="str">
        <x:v>Multi-hop Inference</x:v>
      </x:c>
      <x:c r="D1095" s="30" t="n">
        <x:v>2</x:v>
      </x:c>
      <x:c r="E1095" s="30" t="str">
        <x:v>How did Donna's promotion to Creative Director impact her career goals by Oct 15, 2029?</x:v>
      </x:c>
      <x:c r="F1095" s="30" t="str">
        <x:v>It provided resources to pursue a music academy.</x:v>
      </x:c>
      <x:c r="G1095" s="30" t="str">
        <x:v>Increased investment in music academy.</x:v>
      </x:c>
      <x:c r="H1095" s="30" t="str">
        <x:v>deepseek-v4-flash</x:v>
      </x:c>
      <x:c r="I1095" s="30" t="str">
        <x:v>deepseek-v4-flash</x:v>
      </x:c>
      <x:c r="J1095" s="30" t="str">
        <x:v>c471b9e5ce974f2716b082228631d0c288e9a1b729681dfe30422ac753b3b34a</x:v>
      </x:c>
      <x:c r="K1095" s="30" t="str">
        <x:v>3e47f743912cdc4810bccb7a8047069fa77850e1416f8edefa359acb77eeff7a</x:v>
      </x:c>
      <x:c r="L1095" s="30" t="n">
        <x:v>1158.45</x:v>
      </x:c>
      <x:c r="M1095" s="30" t="str">
        <x:v>{"completion_tokens": 6, "prompt_tokens": 621, "total_tokens": 627, "completion_tokens_details": null, "prompt_tokens_details": {"audio_tokens": null, "cached_tokens": 512}, "prompt_cache_hit_tokens": 512, "prompt_cache_miss_tokens": 109}</x:v>
      </x:c>
      <x:c r="N1095" s="30" t="str">
        <x:v>correct</x:v>
      </x:c>
      <x:c r="O1095"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P1095" s="30" t="str">
        <x:v>LongCat-2.0</x:v>
      </x:c>
      <x:c r="Q1095" s="30" t="str">
        <x:v>LongCat-2.0</x:v>
      </x:c>
      <x:c r="R1095" s="30" t="n">
        <x:v>2815.9</x:v>
      </x:c>
      <x:c r="S1095" s="30" t="str">
        <x:v>{"completion_tokens": 61, "prompt_tokens": 157,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6">
      <x:c r="A1096" s="30" t="str">
        <x:v>memos_medium:772</x:v>
      </x:c>
      <x:c r="B1096" s="30" t="str">
        <x:v>medium</x:v>
      </x:c>
      <x:c r="C1096" s="30" t="str">
        <x:v>Multi-hop Inference</x:v>
      </x:c>
      <x:c r="D1096" s="30" t="n">
        <x:v>3</x:v>
      </x:c>
      <x:c r="E1096" s="30" t="str">
        <x:v>How did Donna's promotion to Creative Director impact her career goals by Oct 15, 2029?</x:v>
      </x:c>
      <x:c r="F1096" s="30" t="str">
        <x:v>It provided resources to pursue a music academy.</x:v>
      </x:c>
      <x:c r="G1096" s="30" t="str">
        <x:v>Increased investment in music academy.</x:v>
      </x:c>
      <x:c r="H1096" s="30" t="str">
        <x:v>deepseek-v4-flash</x:v>
      </x:c>
      <x:c r="I1096" s="30" t="str">
        <x:v>deepseek-v4-flash</x:v>
      </x:c>
      <x:c r="J1096" s="30" t="str">
        <x:v>c471b9e5ce974f2716b082228631d0c288e9a1b729681dfe30422ac753b3b34a</x:v>
      </x:c>
      <x:c r="K1096" s="30" t="str">
        <x:v>3e47f743912cdc4810bccb7a8047069fa77850e1416f8edefa359acb77eeff7a</x:v>
      </x:c>
      <x:c r="L1096" s="30" t="n">
        <x:v>526.17</x:v>
      </x:c>
      <x:c r="M1096" s="30" t="str">
        <x:v>{"completion_tokens": 6, "prompt_tokens": 621, "total_tokens": 627, "completion_tokens_details": null, "prompt_tokens_details": {"audio_tokens": null, "cached_tokens": 512}, "prompt_cache_hit_tokens": 512, "prompt_cache_miss_tokens": 109}</x:v>
      </x:c>
      <x:c r="N1096" s="30" t="str">
        <x:v>correct</x:v>
      </x:c>
      <x:c r="O1096" s="30" t="str">
        <x:v>The model answer 'Increased investment in music academy' semantically captures the gold answer's meaning that the promotion provided resources to pursue a music academy. Both convey that the promotion enabled greater support/funding for the music academy, with only wording differences.</x:v>
      </x:c>
      <x:c r="P1096" s="30" t="str">
        <x:v>LongCat-2.0</x:v>
      </x:c>
      <x:c r="Q1096" s="30" t="str">
        <x:v>LongCat-2.0</x:v>
      </x:c>
      <x:c r="R1096" s="30" t="n">
        <x:v>4308.59</x:v>
      </x:c>
      <x:c r="S1096" s="30" t="str">
        <x:v>{"completion_tokens": 61, "prompt_tokens": 157, "total_tokens": 218,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97">
      <x:c r="A1097" s="30" t="str">
        <x:v>memos_medium:775</x:v>
      </x:c>
      <x:c r="B1097" s="30" t="str">
        <x:v>medium</x:v>
      </x:c>
      <x:c r="C1097" s="30" t="str">
        <x:v>Basic Fact Recall</x:v>
      </x:c>
      <x:c r="D1097" s="30" t="n">
        <x:v>1</x:v>
      </x:c>
      <x:c r="E1097" s="30" t="str">
        <x:v>What is Donna Gonzalez's long-term vision articulated on Oct 15, 2029?</x:v>
      </x:c>
      <x:c r="F1097" s="30" t="str">
        <x:v>Establishing a music academy to nurture future composers.</x:v>
      </x:c>
      <x:c r="G1097" s="30" t="str">
        <x:v>Establish a music academy.</x:v>
      </x:c>
      <x:c r="H1097" s="30" t="str">
        <x:v>deepseek-v4-flash</x:v>
      </x:c>
      <x:c r="I1097" s="30" t="str">
        <x:v>deepseek-v4-flash</x:v>
      </x:c>
      <x:c r="J1097" s="30" t="str">
        <x:v>ec3b32e6ef472403f213667227c69673e809f0644ff4f7bd93ac0f2f0b30bc80</x:v>
      </x:c>
      <x:c r="K1097" s="30" t="str">
        <x:v>a5abe47bc9fd7d751f130aeaad33c1b7468d64e0591dd5191f3d9773aeb61df4</x:v>
      </x:c>
      <x:c r="L1097" s="30" t="n">
        <x:v>569.86</x:v>
      </x:c>
      <x:c r="M1097" s="30" t="str">
        <x:v>{"completion_tokens": 5, "prompt_tokens": 544, "total_tokens": 549, "completion_tokens_details": null, "prompt_tokens_details": {"audio_tokens": null, "cached_tokens": 512}, "prompt_cache_hit_tokens": 512, "prompt_cache_miss_tokens": 32}</x:v>
      </x:c>
      <x:c r="N1097" s="30" t="str">
        <x:v>omission</x:v>
      </x:c>
      <x:c r="O1097" s="30" t="str">
        <x:v>The model answer 'Establish a music academy' captures part of the gold answer but omits the key purpose 'to nurture future composers,' which is a substantive part of the long-term vision. This is an incomplete subset of the gold answer.</x:v>
      </x:c>
      <x:c r="P1097" s="30" t="str">
        <x:v>LongCat-2.0</x:v>
      </x:c>
      <x:c r="Q1097" s="30" t="str">
        <x:v>LongCat-2.0</x:v>
      </x:c>
      <x:c r="R1097" s="30" t="n">
        <x:v>2728.46</x:v>
      </x:c>
      <x:c r="S1097" s="30" t="str">
        <x:v>{"completion_tokens": 62, "prompt_tokens": 155, "total_tokens": 217,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098">
      <x:c r="A1098" s="30" t="str">
        <x:v>memos_medium:775</x:v>
      </x:c>
      <x:c r="B1098" s="30" t="str">
        <x:v>medium</x:v>
      </x:c>
      <x:c r="C1098" s="30" t="str">
        <x:v>Basic Fact Recall</x:v>
      </x:c>
      <x:c r="D1098" s="30" t="n">
        <x:v>2</x:v>
      </x:c>
      <x:c r="E1098" s="30" t="str">
        <x:v>What is Donna Gonzalez's long-term vision articulated on Oct 15, 2029?</x:v>
      </x:c>
      <x:c r="F1098" s="30" t="str">
        <x:v>Establishing a music academy to nurture future composers.</x:v>
      </x:c>
      <x:c r="G1098" s="30" t="str">
        <x:v>Establish a music academy.</x:v>
      </x:c>
      <x:c r="H1098" s="30" t="str">
        <x:v>deepseek-v4-flash</x:v>
      </x:c>
      <x:c r="I1098" s="30" t="str">
        <x:v>deepseek-v4-flash</x:v>
      </x:c>
      <x:c r="J1098" s="30" t="str">
        <x:v>ec3b32e6ef472403f213667227c69673e809f0644ff4f7bd93ac0f2f0b30bc80</x:v>
      </x:c>
      <x:c r="K1098" s="30" t="str">
        <x:v>a5abe47bc9fd7d751f130aeaad33c1b7468d64e0591dd5191f3d9773aeb61df4</x:v>
      </x:c>
      <x:c r="L1098" s="30" t="n">
        <x:v>442.41</x:v>
      </x:c>
      <x:c r="M1098" s="30" t="str">
        <x:v>{"completion_tokens": 5, "prompt_tokens": 544, "total_tokens": 549, "completion_tokens_details": null, "prompt_tokens_details": {"audio_tokens": null, "cached_tokens": 512}, "prompt_cache_hit_tokens": 512, "prompt_cache_miss_tokens": 32}</x:v>
      </x:c>
      <x:c r="N1098" s="30" t="str">
        <x:v>correct</x:v>
      </x:c>
      <x:c r="O1098" s="30" t="str">
        <x:v>The model answer 'Establish a music academy' captures the core semantic content of the gold answer 'Establishing a music academy to nurture future composers.' While the model omits the purpose clause 'to nurture future composers,' the main vision—establishing a music academy—is fully and accurately conveyed without any false or contradictory claims. The wording differs slightly (infinitive vs. gerund), but the essential meaning is preserved, making this a correct answer.</x:v>
      </x:c>
      <x:c r="P1098" s="30" t="str">
        <x:v>LongCat-2.0</x:v>
      </x:c>
      <x:c r="Q1098" s="30" t="str">
        <x:v>LongCat-2.0</x:v>
      </x:c>
      <x:c r="R1098" s="30" t="n">
        <x:v>3992.5</x:v>
      </x:c>
      <x:c r="S1098" s="30" t="str">
        <x:v>{"completion_tokens": 105, "prompt_tokens": 155, "total_tokens": 260,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099">
      <x:c r="A1099" s="30" t="str">
        <x:v>memos_medium:775</x:v>
      </x:c>
      <x:c r="B1099" s="30" t="str">
        <x:v>medium</x:v>
      </x:c>
      <x:c r="C1099" s="30" t="str">
        <x:v>Basic Fact Recall</x:v>
      </x:c>
      <x:c r="D1099" s="30" t="n">
        <x:v>3</x:v>
      </x:c>
      <x:c r="E1099" s="30" t="str">
        <x:v>What is Donna Gonzalez's long-term vision articulated on Oct 15, 2029?</x:v>
      </x:c>
      <x:c r="F1099" s="30" t="str">
        <x:v>Establishing a music academy to nurture future composers.</x:v>
      </x:c>
      <x:c r="G1099" s="30" t="str">
        <x:v>Establish a music academy.</x:v>
      </x:c>
      <x:c r="H1099" s="30" t="str">
        <x:v>deepseek-v4-flash</x:v>
      </x:c>
      <x:c r="I1099" s="30" t="str">
        <x:v>deepseek-v4-flash</x:v>
      </x:c>
      <x:c r="J1099" s="30" t="str">
        <x:v>ec3b32e6ef472403f213667227c69673e809f0644ff4f7bd93ac0f2f0b30bc80</x:v>
      </x:c>
      <x:c r="K1099" s="30" t="str">
        <x:v>a5abe47bc9fd7d751f130aeaad33c1b7468d64e0591dd5191f3d9773aeb61df4</x:v>
      </x:c>
      <x:c r="L1099" s="30" t="n">
        <x:v>817.44</x:v>
      </x:c>
      <x:c r="M1099" s="30" t="str">
        <x:v>{"completion_tokens": 5, "prompt_tokens": 544, "total_tokens": 549, "completion_tokens_details": null, "prompt_tokens_details": {"audio_tokens": null, "cached_tokens": 512}, "prompt_cache_hit_tokens": 512, "prompt_cache_miss_tokens": 32}</x:v>
      </x:c>
      <x:c r="N1099" s="30" t="str">
        <x:v>omission</x:v>
      </x:c>
      <x:c r="O1099" s="30" t="str">
        <x:v>The model answer 'Establish a music academy' captures part of the gold answer but omits the key purpose 'to nurture future composers,' which is a substantive part of the long-term vision. This makes it an incomplete subset of the gold answer.</x:v>
      </x:c>
      <x:c r="P1099" s="30" t="str">
        <x:v>LongCat-2.0</x:v>
      </x:c>
      <x:c r="Q1099" s="30" t="str">
        <x:v>LongCat-2.0</x:v>
      </x:c>
      <x:c r="R1099" s="30" t="n">
        <x:v>3722.07</x:v>
      </x:c>
      <x:c r="S1099" s="30" t="str">
        <x:v>{"completion_tokens": 63, "prompt_tokens": 155, "total_tokens": 218,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0">
      <x:c r="A1100" s="30" t="str">
        <x:v>memos_medium:797</x:v>
      </x:c>
      <x:c r="B1100" s="30" t="str">
        <x:v>medium</x:v>
      </x:c>
      <x:c r="C1100" s="30" t="str">
        <x:v>Basic Fact Recall</x:v>
      </x:c>
      <x:c r="D1100" s="30" t="n">
        <x:v>1</x:v>
      </x:c>
      <x:c r="E1100" s="30" t="str">
        <x:v>What did Donna Gonzalez decide about romance novels on May 16, 2032?</x:v>
      </x:c>
      <x:c r="F1100" s="30" t="str">
        <x:v>She decided to no longer actively dislike them.</x:v>
      </x:c>
      <x:c r="G1100" s="30" t="str">
        <x:v>No longer actively dislike them.</x:v>
      </x:c>
      <x:c r="H1100" s="30" t="str">
        <x:v>deepseek-v4-flash</x:v>
      </x:c>
      <x:c r="I1100" s="30" t="str">
        <x:v>deepseek-v4-flash</x:v>
      </x:c>
      <x:c r="J1100" s="30" t="str">
        <x:v>3d07ce0dd915ce978e1f78cd9306cc40459b7d240604af0e0cdd2b0586ef225e</x:v>
      </x:c>
      <x:c r="K1100" s="30" t="str">
        <x:v>181baf34358597922b1257018f701e503a7e9880efcb2c7f6a86360c706a9db4</x:v>
      </x:c>
      <x:c r="L1100" s="30" t="n">
        <x:v>663.3</x:v>
      </x:c>
      <x:c r="M1100" s="30" t="str">
        <x:v>{"completion_tokens": 6, "prompt_tokens": 545, "total_tokens": 551, "completion_tokens_details": null, "prompt_tokens_details": {"audio_tokens": null, "cached_tokens": 512}, "prompt_cache_hit_tokens": 512, "prompt_cache_miss_tokens": 33}</x:v>
      </x:c>
      <x:c r="N1100" s="30" t="str">
        <x:v>correct</x:v>
      </x:c>
      <x:c r="O1100" s="30" t="str">
        <x:v>The model answer 'No longer actively dislike them' is a semantically complete match to the gold answer 'She decided to no longer actively dislike them.' The only difference is the omission of the subject 'She decided to', which does not change the meaning or introduce any false information. The core decision is fully captured.</x:v>
      </x:c>
      <x:c r="P1100" s="30" t="str">
        <x:v>LongCat-2.0</x:v>
      </x:c>
      <x:c r="Q1100" s="30" t="str">
        <x:v>LongCat-2.0</x:v>
      </x:c>
      <x:c r="R1100" s="30" t="n">
        <x:v>2806.32</x:v>
      </x:c>
      <x:c r="S1100" s="30" t="str">
        <x:v>{"completion_tokens": 74, "prompt_tokens": 152, "total_tokens": 226,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01">
      <x:c r="A1101" s="30" t="str">
        <x:v>memos_medium:797</x:v>
      </x:c>
      <x:c r="B1101" s="30" t="str">
        <x:v>medium</x:v>
      </x:c>
      <x:c r="C1101" s="30" t="str">
        <x:v>Basic Fact Recall</x:v>
      </x:c>
      <x:c r="D1101" s="30" t="n">
        <x:v>2</x:v>
      </x:c>
      <x:c r="E1101" s="30" t="str">
        <x:v>What did Donna Gonzalez decide about romance novels on May 16, 2032?</x:v>
      </x:c>
      <x:c r="F1101" s="30" t="str">
        <x:v>She decided to no longer actively dislike them.</x:v>
      </x:c>
      <x:c r="G1101" s="30" t="str">
        <x:v>No longer actively dislike them.</x:v>
      </x:c>
      <x:c r="H1101" s="30" t="str">
        <x:v>deepseek-v4-flash</x:v>
      </x:c>
      <x:c r="I1101" s="30" t="str">
        <x:v>deepseek-v4-flash</x:v>
      </x:c>
      <x:c r="J1101" s="30" t="str">
        <x:v>3d07ce0dd915ce978e1f78cd9306cc40459b7d240604af0e0cdd2b0586ef225e</x:v>
      </x:c>
      <x:c r="K1101" s="30" t="str">
        <x:v>181baf34358597922b1257018f701e503a7e9880efcb2c7f6a86360c706a9db4</x:v>
      </x:c>
      <x:c r="L1101" s="30" t="n">
        <x:v>839.16</x:v>
      </x:c>
      <x:c r="M1101" s="30" t="str">
        <x:v>{"completion_tokens": 6, "prompt_tokens": 545, "total_tokens": 551, "completion_tokens_details": null, "prompt_tokens_details": {"audio_tokens": null, "cached_tokens": 512}, "prompt_cache_hit_tokens": 512, "prompt_cache_miss_tokens": 33}</x:v>
      </x:c>
      <x:c r="N1101" s="30" t="str">
        <x:v>correct</x:v>
      </x:c>
      <x:c r="O1101" s="30" t="str">
        <x:v>The model answer 'No longer actively dislike them' is a semantically complete match to the gold answer 'She decided to no longer actively dislike them.' The omission of the subject 'She decided to' does not change the meaning or introduce any false claim; it simply provides the core decision in a more concise form.</x:v>
      </x:c>
      <x:c r="P1101" s="30" t="str">
        <x:v>LongCat-2.0</x:v>
      </x:c>
      <x:c r="Q1101" s="30" t="str">
        <x:v>LongCat-2.0</x:v>
      </x:c>
      <x:c r="R1101" s="30" t="n">
        <x:v>3065.84</x:v>
      </x:c>
      <x:c r="S1101" s="30" t="str">
        <x:v>{"completion_tokens": 74, "prompt_tokens": 152, "total_tokens": 226,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2">
      <x:c r="A1102" s="30" t="str">
        <x:v>memos_medium:797</x:v>
      </x:c>
      <x:c r="B1102" s="30" t="str">
        <x:v>medium</x:v>
      </x:c>
      <x:c r="C1102" s="30" t="str">
        <x:v>Basic Fact Recall</x:v>
      </x:c>
      <x:c r="D1102" s="30" t="n">
        <x:v>3</x:v>
      </x:c>
      <x:c r="E1102" s="30" t="str">
        <x:v>What did Donna Gonzalez decide about romance novels on May 16, 2032?</x:v>
      </x:c>
      <x:c r="F1102" s="30" t="str">
        <x:v>She decided to no longer actively dislike them.</x:v>
      </x:c>
      <x:c r="G1102" s="30" t="str">
        <x:v>No longer actively dislike them.</x:v>
      </x:c>
      <x:c r="H1102" s="30" t="str">
        <x:v>deepseek-v4-flash</x:v>
      </x:c>
      <x:c r="I1102" s="30" t="str">
        <x:v>deepseek-v4-flash</x:v>
      </x:c>
      <x:c r="J1102" s="30" t="str">
        <x:v>3d07ce0dd915ce978e1f78cd9306cc40459b7d240604af0e0cdd2b0586ef225e</x:v>
      </x:c>
      <x:c r="K1102" s="30" t="str">
        <x:v>181baf34358597922b1257018f701e503a7e9880efcb2c7f6a86360c706a9db4</x:v>
      </x:c>
      <x:c r="L1102" s="30" t="n">
        <x:v>853.52</x:v>
      </x:c>
      <x:c r="M1102" s="30" t="str">
        <x:v>{"completion_tokens": 6, "prompt_tokens": 545, "total_tokens": 551, "completion_tokens_details": null, "prompt_tokens_details": {"audio_tokens": null, "cached_tokens": 512}, "prompt_cache_hit_tokens": 512, "prompt_cache_miss_tokens": 33}</x:v>
      </x:c>
      <x:c r="N1102" s="30" t="str">
        <x:v>correct</x:v>
      </x:c>
      <x:c r="O1102" s="30" t="str">
        <x:v>The model answer 'No longer actively dislike them' is a semantically complete match to the gold answer 'She decided to no longer actively dislike them.' The only difference is the omission of the subject 'She decided to', which does not change the meaning or introduce any false or unsupported information. The core decision is fully captured.</x:v>
      </x:c>
      <x:c r="P1102" s="30" t="str">
        <x:v>LongCat-2.0</x:v>
      </x:c>
      <x:c r="Q1102" s="30" t="str">
        <x:v>LongCat-2.0</x:v>
      </x:c>
      <x:c r="R1102" s="30" t="n">
        <x:v>3225</x:v>
      </x:c>
      <x:c r="S1102" s="30" t="str">
        <x:v>{"completion_tokens": 76, "prompt_tokens": 152,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3">
      <x:c r="A1103" s="30" t="str">
        <x:v>memos_medium:808</x:v>
      </x:c>
      <x:c r="B1103" s="30" t="str">
        <x:v>medium</x:v>
      </x:c>
      <x:c r="C1103" s="30" t="str">
        <x:v>Generalization &amp; Application</x:v>
      </x:c>
      <x:c r="D1103" s="30" t="n">
        <x:v>1</x:v>
      </x:c>
      <x:c r="E1103" s="30" t="str">
        <x:v>What strategic planning steps might Donna take for her music academy after July 15, 2033?</x:v>
      </x:c>
      <x:c r="F1103" s="30" t="str">
        <x:v>Consider locations, funding, and curriculum development.</x:v>
      </x:c>
      <x:c r="G1103" s="30" t="str">
        <x:v>Sponsorships and faculty recruitment.</x:v>
      </x:c>
      <x:c r="H1103" s="30" t="str">
        <x:v>deepseek-v4-flash</x:v>
      </x:c>
      <x:c r="I1103" s="30" t="str">
        <x:v>deepseek-v4-flash</x:v>
      </x:c>
      <x:c r="J1103" s="30" t="str">
        <x:v>77d4f0617ebfb60eaa625c1787031936644e8be9c5c171b0b108672735f0deb7</x:v>
      </x:c>
      <x:c r="K1103" s="30" t="str">
        <x:v>13e681dcf011ea92bcba291da24bb0dc94ea1a4c47bf034f193452cc50d8f98d</x:v>
      </x:c>
      <x:c r="L1103" s="30" t="n">
        <x:v>673.13</x:v>
      </x:c>
      <x:c r="M1103" s="30" t="str">
        <x:v>{"completion_tokens": 7, "prompt_tokens": 581, "total_tokens": 588, "completion_tokens_details": null, "prompt_tokens_details": {"audio_tokens": null, "cached_tokens": 512}, "prompt_cache_hit_tokens": 512, "prompt_cache_miss_tokens": 69}</x:v>
      </x:c>
      <x:c r="N1103" s="30" t="str">
        <x:v>omission</x:v>
      </x:c>
      <x:c r="O1103" s="30" t="str">
        <x:v>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x:v>
      </x:c>
      <x:c r="P1103" s="30" t="str">
        <x:v>LongCat-2.0</x:v>
      </x:c>
      <x:c r="Q1103" s="30" t="str">
        <x:v>LongCat-2.0</x:v>
      </x:c>
      <x:c r="R1103" s="30" t="n">
        <x:v>2914.33</x:v>
      </x:c>
      <x:c r="S1103" s="30" t="str">
        <x:v>{"completion_tokens": 72, "prompt_tokens": 157, "total_tokens": 229,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04">
      <x:c r="A1104" s="30" t="str">
        <x:v>memos_medium:808</x:v>
      </x:c>
      <x:c r="B1104" s="30" t="str">
        <x:v>medium</x:v>
      </x:c>
      <x:c r="C1104" s="30" t="str">
        <x:v>Generalization &amp; Application</x:v>
      </x:c>
      <x:c r="D1104" s="30" t="n">
        <x:v>2</x:v>
      </x:c>
      <x:c r="E1104" s="30" t="str">
        <x:v>What strategic planning steps might Donna take for her music academy after July 15, 2033?</x:v>
      </x:c>
      <x:c r="F1104" s="30" t="str">
        <x:v>Consider locations, funding, and curriculum development.</x:v>
      </x:c>
      <x:c r="G1104" s="30" t="str">
        <x:v>Sponsorships and faculty recruitment.</x:v>
      </x:c>
      <x:c r="H1104" s="30" t="str">
        <x:v>deepseek-v4-flash</x:v>
      </x:c>
      <x:c r="I1104" s="30" t="str">
        <x:v>deepseek-v4-flash</x:v>
      </x:c>
      <x:c r="J1104" s="30" t="str">
        <x:v>77d4f0617ebfb60eaa625c1787031936644e8be9c5c171b0b108672735f0deb7</x:v>
      </x:c>
      <x:c r="K1104" s="30" t="str">
        <x:v>13e681dcf011ea92bcba291da24bb0dc94ea1a4c47bf034f193452cc50d8f98d</x:v>
      </x:c>
      <x:c r="L1104" s="30" t="n">
        <x:v>844.21</x:v>
      </x:c>
      <x:c r="M1104" s="30" t="str">
        <x:v>{"completion_tokens": 7, "prompt_tokens": 581, "total_tokens": 588, "completion_tokens_details": null, "prompt_tokens_details": {"audio_tokens": null, "cached_tokens": 512}, "prompt_cache_hit_tokens": 512, "prompt_cache_miss_tokens": 69}</x:v>
      </x:c>
      <x:c r="N1104" s="30" t="str">
        <x:v>omission</x:v>
      </x:c>
      <x:c r="O1104" s="30" t="str">
        <x:v>The model answer mentions sponsorships and faculty recruitment, which are not part of the gold answer's focus on locations, funding, and curriculum development. While sponsorships loosely relate to funding, the answer omits locations and curriculum development entirely and does not provide a complete semantic match to the gold answer.</x:v>
      </x:c>
      <x:c r="P1104" s="30" t="str">
        <x:v>LongCat-2.0</x:v>
      </x:c>
      <x:c r="Q1104" s="30" t="str">
        <x:v>LongCat-2.0</x:v>
      </x:c>
      <x:c r="R1104" s="30" t="n">
        <x:v>2707.7</x:v>
      </x:c>
      <x:c r="S1104" s="30" t="str">
        <x:v>{"completion_tokens": 71, "prompt_tokens": 157,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5">
      <x:c r="A1105" s="30" t="str">
        <x:v>memos_medium:808</x:v>
      </x:c>
      <x:c r="B1105" s="30" t="str">
        <x:v>medium</x:v>
      </x:c>
      <x:c r="C1105" s="30" t="str">
        <x:v>Generalization &amp; Application</x:v>
      </x:c>
      <x:c r="D1105" s="30" t="n">
        <x:v>3</x:v>
      </x:c>
      <x:c r="E1105" s="30" t="str">
        <x:v>What strategic planning steps might Donna take for her music academy after July 15, 2033?</x:v>
      </x:c>
      <x:c r="F1105" s="30" t="str">
        <x:v>Consider locations, funding, and curriculum development.</x:v>
      </x:c>
      <x:c r="G1105" s="30" t="str">
        <x:v>Sponsorships and faculty recruitment.</x:v>
      </x:c>
      <x:c r="H1105" s="30" t="str">
        <x:v>deepseek-v4-flash</x:v>
      </x:c>
      <x:c r="I1105" s="30" t="str">
        <x:v>deepseek-v4-flash</x:v>
      </x:c>
      <x:c r="J1105" s="30" t="str">
        <x:v>77d4f0617ebfb60eaa625c1787031936644e8be9c5c171b0b108672735f0deb7</x:v>
      </x:c>
      <x:c r="K1105" s="30" t="str">
        <x:v>13e681dcf011ea92bcba291da24bb0dc94ea1a4c47bf034f193452cc50d8f98d</x:v>
      </x:c>
      <x:c r="L1105" s="30" t="n">
        <x:v>740.22</x:v>
      </x:c>
      <x:c r="M1105" s="30" t="str">
        <x:v>{"completion_tokens": 7, "prompt_tokens": 581, "total_tokens": 588, "completion_tokens_details": null, "prompt_tokens_details": {"audio_tokens": null, "cached_tokens": 512}, "prompt_cache_hit_tokens": 512, "prompt_cache_miss_tokens": 69}</x:v>
      </x:c>
      <x:c r="N1105" s="30" t="str">
        <x:v>omission</x:v>
      </x:c>
      <x:c r="O1105" s="30" t="str">
        <x:v>The model answer mentions sponsorships and faculty recruitment, which are not part of the gold answer's three key areas (locations, funding, curriculum development). While sponsorships loosely relate to funding, the answer omits locations and curriculum development entirely and does not provide a complete semantic match to the gold answer.</x:v>
      </x:c>
      <x:c r="P1105" s="30" t="str">
        <x:v>LongCat-2.0</x:v>
      </x:c>
      <x:c r="Q1105" s="30" t="str">
        <x:v>LongCat-2.0</x:v>
      </x:c>
      <x:c r="R1105" s="30" t="n">
        <x:v>2970.01</x:v>
      </x:c>
      <x:c r="S1105" s="30" t="str">
        <x:v>{"completion_tokens": 72, "prompt_tokens": 157, "total_tokens": 229,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6">
      <x:c r="A1106" s="30" t="str">
        <x:v>memos_medium:834</x:v>
      </x:c>
      <x:c r="B1106" s="30" t="str">
        <x:v>medium</x:v>
      </x:c>
      <x:c r="C1106" s="30" t="str">
        <x:v>Generalization &amp; Application</x:v>
      </x:c>
      <x:c r="D1106" s="30" t="n">
        <x:v>1</x:v>
      </x:c>
      <x:c r="E1106" s="30" t="str">
        <x:v>What might Donna prioritize in her work-life balance strategy in 2036?</x:v>
      </x:c>
      <x:c r="F1106" s="30" t="str">
        <x:v>Flexibility and adaptability.</x:v>
      </x:c>
      <x:c r="G1106" s="30" t="str">
        <x:v>Health and flexibility.</x:v>
      </x:c>
      <x:c r="H1106" s="30" t="str">
        <x:v>deepseek-v4-flash</x:v>
      </x:c>
      <x:c r="I1106" s="30" t="str">
        <x:v>deepseek-v4-flash</x:v>
      </x:c>
      <x:c r="J1106" s="30" t="str">
        <x:v>c7d43fb8a34864908badf8f729e400ceb6676ba0c65741653615aa69e5dcb509</x:v>
      </x:c>
      <x:c r="K1106" s="30" t="str">
        <x:v>7af93f13a653e347050386f4243f6d3bd26bf1ec9b66dd66bad5b5a09122194d</x:v>
      </x:c>
      <x:c r="L1106" s="30" t="n">
        <x:v>741.23</x:v>
      </x:c>
      <x:c r="M1106" s="30" t="str">
        <x:v>{"completion_tokens": 4, "prompt_tokens": 564, "total_tokens": 568, "completion_tokens_details": null, "prompt_tokens_details": {"audio_tokens": null, "cached_tokens": 512}, "prompt_cache_hit_tokens": 512, "prompt_cache_miss_tokens": 52}</x:v>
      </x:c>
      <x:c r="N1106" s="30" t="str">
        <x:v>hallucination</x:v>
      </x:c>
      <x:c r="O1106" s="30" t="str">
        <x:v>The model answer adds 'Health', which is not present in the gold answer and constitutes unsupported material, making it a hallucination rather than a correct or incomplete answer.</x:v>
      </x:c>
      <x:c r="P1106" s="30" t="str">
        <x:v>LongCat-2.0</x:v>
      </x:c>
      <x:c r="Q1106" s="30" t="str">
        <x:v>LongCat-2.0</x:v>
      </x:c>
      <x:c r="R1106" s="30" t="n">
        <x:v>2335.41</x:v>
      </x:c>
      <x:c r="S1106" s="30" t="str">
        <x:v>{"completion_tokens": 46, "prompt_tokens": 144, "total_tokens": 190,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7">
      <x:c r="A1107" s="30" t="str">
        <x:v>memos_medium:834</x:v>
      </x:c>
      <x:c r="B1107" s="30" t="str">
        <x:v>medium</x:v>
      </x:c>
      <x:c r="C1107" s="30" t="str">
        <x:v>Generalization &amp; Application</x:v>
      </x:c>
      <x:c r="D1107" s="30" t="n">
        <x:v>2</x:v>
      </x:c>
      <x:c r="E1107" s="30" t="str">
        <x:v>What might Donna prioritize in her work-life balance strategy in 2036?</x:v>
      </x:c>
      <x:c r="F1107" s="30" t="str">
        <x:v>Flexibility and adaptability.</x:v>
      </x:c>
      <x:c r="G1107" s="30" t="str">
        <x:v>Health and flexibility.</x:v>
      </x:c>
      <x:c r="H1107" s="30" t="str">
        <x:v>deepseek-v4-flash</x:v>
      </x:c>
      <x:c r="I1107" s="30" t="str">
        <x:v>deepseek-v4-flash</x:v>
      </x:c>
      <x:c r="J1107" s="30" t="str">
        <x:v>c7d43fb8a34864908badf8f729e400ceb6676ba0c65741653615aa69e5dcb509</x:v>
      </x:c>
      <x:c r="K1107" s="30" t="str">
        <x:v>7af93f13a653e347050386f4243f6d3bd26bf1ec9b66dd66bad5b5a09122194d</x:v>
      </x:c>
      <x:c r="L1107" s="30" t="n">
        <x:v>568.27</x:v>
      </x:c>
      <x:c r="M1107" s="30" t="str">
        <x:v>{"completion_tokens": 4, "prompt_tokens": 564, "total_tokens": 568, "completion_tokens_details": null, "prompt_tokens_details": {"audio_tokens": null, "cached_tokens": 512}, "prompt_cache_hit_tokens": 512, "prompt_cache_miss_tokens": 52}</x:v>
      </x:c>
      <x:c r="N1107" s="30" t="str">
        <x:v>hallucination</x:v>
      </x:c>
      <x:c r="O1107" s="30" t="str">
        <x:v>The model answer adds 'Health', which is not present in the gold answer and constitutes unsupported material, making it a hallucination rather than a correct or incomplete answer.</x:v>
      </x:c>
      <x:c r="P1107" s="30" t="str">
        <x:v>LongCat-2.0</x:v>
      </x:c>
      <x:c r="Q1107" s="30" t="str">
        <x:v>LongCat-2.0</x:v>
      </x:c>
      <x:c r="R1107" s="30" t="n">
        <x:v>2327.37</x:v>
      </x:c>
      <x:c r="S1107" s="30" t="str">
        <x:v>{"completion_tokens": 46, "prompt_tokens": 144, "total_tokens": 190,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08">
      <x:c r="A1108" s="30" t="str">
        <x:v>memos_medium:834</x:v>
      </x:c>
      <x:c r="B1108" s="30" t="str">
        <x:v>medium</x:v>
      </x:c>
      <x:c r="C1108" s="30" t="str">
        <x:v>Generalization &amp; Application</x:v>
      </x:c>
      <x:c r="D1108" s="30" t="n">
        <x:v>3</x:v>
      </x:c>
      <x:c r="E1108" s="30" t="str">
        <x:v>What might Donna prioritize in her work-life balance strategy in 2036?</x:v>
      </x:c>
      <x:c r="F1108" s="30" t="str">
        <x:v>Flexibility and adaptability.</x:v>
      </x:c>
      <x:c r="G1108" s="30" t="str">
        <x:v>Health and flexibility.</x:v>
      </x:c>
      <x:c r="H1108" s="30" t="str">
        <x:v>deepseek-v4-flash</x:v>
      </x:c>
      <x:c r="I1108" s="30" t="str">
        <x:v>deepseek-v4-flash</x:v>
      </x:c>
      <x:c r="J1108" s="30" t="str">
        <x:v>c7d43fb8a34864908badf8f729e400ceb6676ba0c65741653615aa69e5dcb509</x:v>
      </x:c>
      <x:c r="K1108" s="30" t="str">
        <x:v>7af93f13a653e347050386f4243f6d3bd26bf1ec9b66dd66bad5b5a09122194d</x:v>
      </x:c>
      <x:c r="L1108" s="30" t="n">
        <x:v>666.25</x:v>
      </x:c>
      <x:c r="M1108" s="30" t="str">
        <x:v>{"completion_tokens": 4, "prompt_tokens": 564, "total_tokens": 568, "completion_tokens_details": null, "prompt_tokens_details": {"audio_tokens": null, "cached_tokens": 512}, "prompt_cache_hit_tokens": 512, "prompt_cache_miss_tokens": 52}</x:v>
      </x:c>
      <x:c r="N1108" s="30" t="str">
        <x:v>hallucination</x:v>
      </x:c>
      <x:c r="O1108" s="30" t="str">
        <x:v>The model answer includes 'Health', which is not part of the gold answer and constitutes an unsupported concrete claim, making it a hallucination rather than a correct or omitted response.</x:v>
      </x:c>
      <x:c r="P1108" s="30" t="str">
        <x:v>LongCat-2.0</x:v>
      </x:c>
      <x:c r="Q1108" s="30" t="str">
        <x:v>LongCat-2.0</x:v>
      </x:c>
      <x:c r="R1108" s="30" t="n">
        <x:v>2302.88</x:v>
      </x:c>
      <x:c r="S1108" s="30" t="str">
        <x:v>{"completion_tokens": 48, "prompt_tokens": 144, "total_tokens": 192,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09">
      <x:c r="A1109" s="30" t="str">
        <x:v>memos_medium:838</x:v>
      </x:c>
      <x:c r="B1109" s="30" t="str">
        <x:v>medium</x:v>
      </x:c>
      <x:c r="C1109" s="30" t="str">
        <x:v>Basic Fact Recall</x:v>
      </x:c>
      <x:c r="D1109" s="30" t="n">
        <x:v>1</x:v>
      </x:c>
      <x:c r="E1109" s="30" t="str">
        <x:v>What role does Donna Gonzalez's social network play in her transition to part-time work as of September 01, 2035?</x:v>
      </x:c>
      <x:c r="F1109" s="30" t="str">
        <x:v>Provides emotional encouragement and professional collaboration opportunities</x:v>
      </x:c>
      <x:c r="G1109" s="30" t="str">
        <x:v>Emotional and professional support.</x:v>
      </x:c>
      <x:c r="H1109" s="30" t="str">
        <x:v>deepseek-v4-flash</x:v>
      </x:c>
      <x:c r="I1109" s="30" t="str">
        <x:v>deepseek-v4-flash</x:v>
      </x:c>
      <x:c r="J1109" s="30" t="str">
        <x:v>5fc76fe8a387e61edf44ec5653c1f47032182aa25a9452a9dd3675a501117e1d</x:v>
      </x:c>
      <x:c r="K1109" s="30" t="str">
        <x:v>ee54f1df5671204af47cd64f32a65a976a09f6ede193ffff3144bbd995820803</x:v>
      </x:c>
      <x:c r="L1109" s="30" t="n">
        <x:v>719.51</x:v>
      </x:c>
      <x:c r="M1109" s="30" t="str">
        <x:v>{"completion_tokens": 6, "prompt_tokens": 545, "total_tokens": 551, "completion_tokens_details": null, "prompt_tokens_details": {"audio_tokens": null, "cached_tokens": 512}, "prompt_cache_hit_tokens": 512, "prompt_cache_miss_tokens": 33}</x:v>
      </x:c>
      <x:c r="N1109" s="30" t="str">
        <x:v>correct</x:v>
      </x:c>
      <x:c r="O1109" s="30" t="str">
        <x:v>The model answer 'Emotional and professional support' semantically captures the complete gold answer 'Provides emotional encouragement and professional collaboration opportunities.' Both convey emotional support and professional support/collaboration, with only minor wording differences.</x:v>
      </x:c>
      <x:c r="P1109" s="30" t="str">
        <x:v>LongCat-2.0</x:v>
      </x:c>
      <x:c r="Q1109" s="30" t="str">
        <x:v>LongCat-2.0</x:v>
      </x:c>
      <x:c r="R1109" s="30" t="n">
        <x:v>2690.52</x:v>
      </x:c>
      <x:c r="S1109" s="30" t="str">
        <x:v>{"completion_tokens": 54, "prompt_tokens": 160, "total_tokens": 214,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10">
      <x:c r="A1110" s="30" t="str">
        <x:v>memos_medium:838</x:v>
      </x:c>
      <x:c r="B1110" s="30" t="str">
        <x:v>medium</x:v>
      </x:c>
      <x:c r="C1110" s="30" t="str">
        <x:v>Basic Fact Recall</x:v>
      </x:c>
      <x:c r="D1110" s="30" t="n">
        <x:v>2</x:v>
      </x:c>
      <x:c r="E1110" s="30" t="str">
        <x:v>What role does Donna Gonzalez's social network play in her transition to part-time work as of September 01, 2035?</x:v>
      </x:c>
      <x:c r="F1110" s="30" t="str">
        <x:v>Provides emotional encouragement and professional collaboration opportunities</x:v>
      </x:c>
      <x:c r="G1110" s="30" t="str">
        <x:v>Emotional and professional support.</x:v>
      </x:c>
      <x:c r="H1110" s="30" t="str">
        <x:v>deepseek-v4-flash</x:v>
      </x:c>
      <x:c r="I1110" s="30" t="str">
        <x:v>deepseek-v4-flash</x:v>
      </x:c>
      <x:c r="J1110" s="30" t="str">
        <x:v>5fc76fe8a387e61edf44ec5653c1f47032182aa25a9452a9dd3675a501117e1d</x:v>
      </x:c>
      <x:c r="K1110" s="30" t="str">
        <x:v>ee54f1df5671204af47cd64f32a65a976a09f6ede193ffff3144bbd995820803</x:v>
      </x:c>
      <x:c r="L1110" s="30" t="n">
        <x:v>751.73</x:v>
      </x:c>
      <x:c r="M1110" s="30" t="str">
        <x:v>{"completion_tokens": 6, "prompt_tokens": 545, "total_tokens": 551, "completion_tokens_details": null, "prompt_tokens_details": {"audio_tokens": null, "cached_tokens": 512}, "prompt_cache_hit_tokens": 512, "prompt_cache_miss_tokens": 33}</x:v>
      </x:c>
      <x:c r="N1110" s="30" t="str">
        <x:v>correct</x:v>
      </x:c>
      <x:c r="O1110" s="30" t="str">
        <x:v>The model answer 'Emotional and professional support' semantically captures the complete gold answer 'Provides emotional encouragement and professional collaboration opportunities' with different wording. 'Emotional support' corresponds to 'emotional encouragement' and 'professional support' corresponds to 'professional collaboration opportunities'.</x:v>
      </x:c>
      <x:c r="P1110" s="30" t="str">
        <x:v>LongCat-2.0</x:v>
      </x:c>
      <x:c r="Q1110" s="30" t="str">
        <x:v>LongCat-2.0</x:v>
      </x:c>
      <x:c r="R1110" s="30" t="n">
        <x:v>2267.11</x:v>
      </x:c>
      <x:c r="S1110" s="30" t="str">
        <x:v>{"completion_tokens": 65, "prompt_tokens": 160, "total_tokens": 225,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1">
      <x:c r="A1111" s="30" t="str">
        <x:v>memos_medium:838</x:v>
      </x:c>
      <x:c r="B1111" s="30" t="str">
        <x:v>medium</x:v>
      </x:c>
      <x:c r="C1111" s="30" t="str">
        <x:v>Basic Fact Recall</x:v>
      </x:c>
      <x:c r="D1111" s="30" t="n">
        <x:v>3</x:v>
      </x:c>
      <x:c r="E1111" s="30" t="str">
        <x:v>What role does Donna Gonzalez's social network play in her transition to part-time work as of September 01, 2035?</x:v>
      </x:c>
      <x:c r="F1111" s="30" t="str">
        <x:v>Provides emotional encouragement and professional collaboration opportunities</x:v>
      </x:c>
      <x:c r="G1111" s="30" t="str">
        <x:v>Emotional and professional support.</x:v>
      </x:c>
      <x:c r="H1111" s="30" t="str">
        <x:v>deepseek-v4-flash</x:v>
      </x:c>
      <x:c r="I1111" s="30" t="str">
        <x:v>deepseek-v4-flash</x:v>
      </x:c>
      <x:c r="J1111" s="30" t="str">
        <x:v>5fc76fe8a387e61edf44ec5653c1f47032182aa25a9452a9dd3675a501117e1d</x:v>
      </x:c>
      <x:c r="K1111" s="30" t="str">
        <x:v>ee54f1df5671204af47cd64f32a65a976a09f6ede193ffff3144bbd995820803</x:v>
      </x:c>
      <x:c r="L1111" s="30" t="n">
        <x:v>646.11</x:v>
      </x:c>
      <x:c r="M1111" s="30" t="str">
        <x:v>{"completion_tokens": 6, "prompt_tokens": 545, "total_tokens": 551, "completion_tokens_details": null, "prompt_tokens_details": {"audio_tokens": null, "cached_tokens": 512}, "prompt_cache_hit_tokens": 512, "prompt_cache_miss_tokens": 33}</x:v>
      </x:c>
      <x:c r="N1111" s="30" t="str">
        <x:v>correct</x:v>
      </x:c>
      <x:c r="O1111" s="30" t="str">
        <x:v>The model answer 'Emotional and professional support' semantically captures the complete gold answer 'Provides emotional encouragement and professional collaboration opportunities.' Both convey emotional support and professional support/collaboration, with only wording differences.</x:v>
      </x:c>
      <x:c r="P1111" s="30" t="str">
        <x:v>LongCat-2.0</x:v>
      </x:c>
      <x:c r="Q1111" s="30" t="str">
        <x:v>LongCat-2.0</x:v>
      </x:c>
      <x:c r="R1111" s="30" t="n">
        <x:v>2786.18</x:v>
      </x:c>
      <x:c r="S1111" s="30" t="str">
        <x:v>{"completion_tokens": 53, "prompt_tokens": 160, "total_tokens": 213,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2">
      <x:c r="A1112" s="30" t="str">
        <x:v>memos_medium:868</x:v>
      </x:c>
      <x:c r="B1112" s="30" t="str">
        <x:v>medium</x:v>
      </x:c>
      <x:c r="C1112" s="30" t="str">
        <x:v>Basic Fact Recall</x:v>
      </x:c>
      <x:c r="D1112" s="30" t="n">
        <x:v>1</x:v>
      </x:c>
      <x:c r="E1112" s="30" t="str">
        <x:v>What beverage preference did Donna Gonzalez update to on Dec 28, 2038?</x:v>
      </x:c>
      <x:c r="F1112" s="30" t="str">
        <x:v>Cold brew espresso</x:v>
      </x:c>
      <x:c r="G1112" s="30" t="str">
        <x:v>cold brew espresso</x:v>
      </x:c>
      <x:c r="H1112" s="30" t="str">
        <x:v>deepseek-v4-flash</x:v>
      </x:c>
      <x:c r="I1112" s="30" t="str">
        <x:v>deepseek-v4-flash</x:v>
      </x:c>
      <x:c r="J1112" s="30" t="str">
        <x:v>ce151c01f4d0ffdeda66759685db3a913ca3f445454b778aabdc01474f3491d8</x:v>
      </x:c>
      <x:c r="K1112" s="30" t="str">
        <x:v>3f9b1aba5b4e863feffff9cdba511df5abb638ca96823aa576a8755470673686</x:v>
      </x:c>
      <x:c r="L1112" s="30" t="n">
        <x:v>751.38</x:v>
      </x:c>
      <x:c r="M1112" s="30" t="str">
        <x:v>{"completion_tokens": 3, "prompt_tokens": 540, "total_tokens": 543, "completion_tokens_details": null, "prompt_tokens_details": {"audio_tokens": null, "cached_tokens": 512}, "prompt_cache_hit_tokens": 512, "prompt_cache_miss_tokens": 28}</x:v>
      </x:c>
      <x:c r="N1112" s="30" t="str">
        <x:v>correct</x:v>
      </x:c>
      <x:c r="O1112" s="30" t="str">
        <x:v>The model answer 'cold brew espresso' is semantically identical to the gold answer 'Cold brew espresso', differing only in capitalization, which is a minor wording difference that does not affect the meaning.</x:v>
      </x:c>
      <x:c r="P1112" s="30" t="str">
        <x:v>LongCat-2.0</x:v>
      </x:c>
      <x:c r="Q1112" s="30" t="str">
        <x:v>LongCat-2.0</x:v>
      </x:c>
      <x:c r="R1112" s="30" t="n">
        <x:v>3227.13</x:v>
      </x:c>
      <x:c r="S1112" s="30" t="str">
        <x:v>{"completion_tokens": 53, "prompt_tokens": 147,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3">
      <x:c r="A1113" s="30" t="str">
        <x:v>memos_medium:868</x:v>
      </x:c>
      <x:c r="B1113" s="30" t="str">
        <x:v>medium</x:v>
      </x:c>
      <x:c r="C1113" s="30" t="str">
        <x:v>Basic Fact Recall</x:v>
      </x:c>
      <x:c r="D1113" s="30" t="n">
        <x:v>2</x:v>
      </x:c>
      <x:c r="E1113" s="30" t="str">
        <x:v>What beverage preference did Donna Gonzalez update to on Dec 28, 2038?</x:v>
      </x:c>
      <x:c r="F1113" s="30" t="str">
        <x:v>Cold brew espresso</x:v>
      </x:c>
      <x:c r="G1113" s="30" t="str">
        <x:v>cold brew espresso</x:v>
      </x:c>
      <x:c r="H1113" s="30" t="str">
        <x:v>deepseek-v4-flash</x:v>
      </x:c>
      <x:c r="I1113" s="30" t="str">
        <x:v>deepseek-v4-flash</x:v>
      </x:c>
      <x:c r="J1113" s="30" t="str">
        <x:v>ce151c01f4d0ffdeda66759685db3a913ca3f445454b778aabdc01474f3491d8</x:v>
      </x:c>
      <x:c r="K1113" s="30" t="str">
        <x:v>3f9b1aba5b4e863feffff9cdba511df5abb638ca96823aa576a8755470673686</x:v>
      </x:c>
      <x:c r="L1113" s="30" t="n">
        <x:v>512.56</x:v>
      </x:c>
      <x:c r="M1113" s="30" t="str">
        <x:v>{"completion_tokens": 3, "prompt_tokens": 540, "total_tokens": 543, "completion_tokens_details": null, "prompt_tokens_details": {"audio_tokens": null, "cached_tokens": 512}, "prompt_cache_hit_tokens": 512, "prompt_cache_miss_tokens": 28}</x:v>
      </x:c>
      <x:c r="N1113" s="30" t="str">
        <x:v>correct</x:v>
      </x:c>
      <x:c r="O1113" s="30" t="str">
        <x:v>The model answer 'cold brew espresso' is semantically identical to the gold answer 'Cold brew espresso', differing only in capitalization, which is a minor wording difference that does not affect correctness.</x:v>
      </x:c>
      <x:c r="P1113" s="30" t="str">
        <x:v>LongCat-2.0</x:v>
      </x:c>
      <x:c r="Q1113" s="30" t="str">
        <x:v>LongCat-2.0</x:v>
      </x:c>
      <x:c r="R1113" s="30" t="n">
        <x:v>2456.49</x:v>
      </x:c>
      <x:c r="S1113" s="30" t="str">
        <x:v>{"completion_tokens": 52, "prompt_tokens": 147, "total_tokens": 199,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4">
      <x:c r="A1114" s="30" t="str">
        <x:v>memos_medium:868</x:v>
      </x:c>
      <x:c r="B1114" s="30" t="str">
        <x:v>medium</x:v>
      </x:c>
      <x:c r="C1114" s="30" t="str">
        <x:v>Basic Fact Recall</x:v>
      </x:c>
      <x:c r="D1114" s="30" t="n">
        <x:v>3</x:v>
      </x:c>
      <x:c r="E1114" s="30" t="str">
        <x:v>What beverage preference did Donna Gonzalez update to on Dec 28, 2038?</x:v>
      </x:c>
      <x:c r="F1114" s="30" t="str">
        <x:v>Cold brew espresso</x:v>
      </x:c>
      <x:c r="G1114" s="30" t="str">
        <x:v>cold brew espresso</x:v>
      </x:c>
      <x:c r="H1114" s="30" t="str">
        <x:v>deepseek-v4-flash</x:v>
      </x:c>
      <x:c r="I1114" s="30" t="str">
        <x:v>deepseek-v4-flash</x:v>
      </x:c>
      <x:c r="J1114" s="30" t="str">
        <x:v>ce151c01f4d0ffdeda66759685db3a913ca3f445454b778aabdc01474f3491d8</x:v>
      </x:c>
      <x:c r="K1114" s="30" t="str">
        <x:v>3f9b1aba5b4e863feffff9cdba511df5abb638ca96823aa576a8755470673686</x:v>
      </x:c>
      <x:c r="L1114" s="30" t="n">
        <x:v>475.06</x:v>
      </x:c>
      <x:c r="M1114" s="30" t="str">
        <x:v>{"completion_tokens": 3, "prompt_tokens": 540, "total_tokens": 543, "completion_tokens_details": null, "prompt_tokens_details": {"audio_tokens": null, "cached_tokens": 512}, "prompt_cache_hit_tokens": 512, "prompt_cache_miss_tokens": 28}</x:v>
      </x:c>
      <x:c r="N1114" s="30" t="str">
        <x:v>correct</x:v>
      </x:c>
      <x:c r="O1114" s="30" t="str">
        <x:v>The model answer 'cold brew espresso' is semantically identical to the gold answer 'Cold brew espresso', differing only in capitalization, which is a minor wording difference that does not affect correctness.</x:v>
      </x:c>
      <x:c r="P1114" s="30" t="str">
        <x:v>LongCat-2.0</x:v>
      </x:c>
      <x:c r="Q1114" s="30" t="str">
        <x:v>LongCat-2.0</x:v>
      </x:c>
      <x:c r="R1114" s="30" t="n">
        <x:v>2148.69</x:v>
      </x:c>
      <x:c r="S1114" s="30" t="str">
        <x:v>{"completion_tokens": 52, "prompt_tokens": 147, "total_tokens": 199,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15">
      <x:c r="A1115" s="30" t="str">
        <x:v>memos_medium:873</x:v>
      </x:c>
      <x:c r="B1115" s="30" t="str">
        <x:v>medium</x:v>
      </x:c>
      <x:c r="C1115" s="30" t="str">
        <x:v>Multi-hop Inference</x:v>
      </x:c>
      <x:c r="D1115" s="30" t="n">
        <x:v>1</x:v>
      </x:c>
      <x:c r="E1115" s="30" t="str">
        <x:v>What was Donna's motivation for pursuing freelance work by May 10, 2039?</x:v>
      </x:c>
      <x:c r="F1115" s="30" t="str">
        <x:v>Desire for creative freedom and industry influence.</x:v>
      </x:c>
      <x:c r="G1115" s="30" t="str">
        <x:v>Creative freedom and influence.</x:v>
      </x:c>
      <x:c r="H1115" s="30" t="str">
        <x:v>deepseek-v4-flash</x:v>
      </x:c>
      <x:c r="I1115" s="30" t="str">
        <x:v>deepseek-v4-flash</x:v>
      </x:c>
      <x:c r="J1115" s="30" t="str">
        <x:v>97bd1bd37aa4baca243a4b76680d6052e05154f945003d8d6296fa357e591e80</x:v>
      </x:c>
      <x:c r="K1115" s="30" t="str">
        <x:v>f5622b14b03952f46225a6b3b3c4d3d3cbf67190dd91484512ff913146f41976</x:v>
      </x:c>
      <x:c r="L1115" s="30" t="n">
        <x:v>552</x:v>
      </x:c>
      <x:c r="M1115" s="30" t="str">
        <x:v>{"completion_tokens": 5, "prompt_tokens": 572, "total_tokens": 577, "completion_tokens_details": null, "prompt_tokens_details": {"audio_tokens": null, "cached_tokens": 512}, "prompt_cache_hit_tokens": 512, "prompt_cache_miss_tokens": 60}</x:v>
      </x:c>
      <x:c r="N1115" s="30" t="str">
        <x:v>correct</x:v>
      </x:c>
      <x:c r="O1115" s="30" t="str">
        <x:v>The model answer 'Creative freedom and influence' captures both key components of the gold answer 'Desire for creative freedom and industry influence' with only minor wording differences, semantically conveying the complete meaning.</x:v>
      </x:c>
      <x:c r="P1115" s="30" t="str">
        <x:v>LongCat-2.0</x:v>
      </x:c>
      <x:c r="Q1115" s="30" t="str">
        <x:v>LongCat-2.0</x:v>
      </x:c>
      <x:c r="R1115" s="30" t="n">
        <x:v>2727.74</x:v>
      </x:c>
      <x:c r="S1115" s="30" t="str">
        <x:v>{"completion_tokens": 51, "prompt_tokens": 152, "total_tokens": 203,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16">
      <x:c r="A1116" s="30" t="str">
        <x:v>memos_medium:873</x:v>
      </x:c>
      <x:c r="B1116" s="30" t="str">
        <x:v>medium</x:v>
      </x:c>
      <x:c r="C1116" s="30" t="str">
        <x:v>Multi-hop Inference</x:v>
      </x:c>
      <x:c r="D1116" s="30" t="n">
        <x:v>2</x:v>
      </x:c>
      <x:c r="E1116" s="30" t="str">
        <x:v>What was Donna's motivation for pursuing freelance work by May 10, 2039?</x:v>
      </x:c>
      <x:c r="F1116" s="30" t="str">
        <x:v>Desire for creative freedom and industry influence.</x:v>
      </x:c>
      <x:c r="G1116" s="30" t="str">
        <x:v>Creative freedom and influence.</x:v>
      </x:c>
      <x:c r="H1116" s="30" t="str">
        <x:v>deepseek-v4-flash</x:v>
      </x:c>
      <x:c r="I1116" s="30" t="str">
        <x:v>deepseek-v4-flash</x:v>
      </x:c>
      <x:c r="J1116" s="30" t="str">
        <x:v>97bd1bd37aa4baca243a4b76680d6052e05154f945003d8d6296fa357e591e80</x:v>
      </x:c>
      <x:c r="K1116" s="30" t="str">
        <x:v>f5622b14b03952f46225a6b3b3c4d3d3cbf67190dd91484512ff913146f41976</x:v>
      </x:c>
      <x:c r="L1116" s="30" t="n">
        <x:v>870.9</x:v>
      </x:c>
      <x:c r="M1116" s="30" t="str">
        <x:v>{"completion_tokens": 5, "prompt_tokens": 572, "total_tokens": 577, "completion_tokens_details": null, "prompt_tokens_details": {"audio_tokens": null, "cached_tokens": 512}, "prompt_cache_hit_tokens": 512, "prompt_cache_miss_tokens": 60}</x:v>
      </x:c>
      <x:c r="N1116" s="30" t="str">
        <x:v>correct</x:v>
      </x:c>
      <x:c r="O1116" s="30" t="str">
        <x:v>The model answer 'Creative freedom and influence' captures the complete semantic content of the gold answer 'Desire for creative freedom and industry influence.' The omission of 'desire for' and 'industry' does not change the core meaning, as 'influence' in context refers to industry influence, and the motivation is clearly implied.</x:v>
      </x:c>
      <x:c r="P1116" s="30" t="str">
        <x:v>LongCat-2.0</x:v>
      </x:c>
      <x:c r="Q1116" s="30" t="str">
        <x:v>LongCat-2.0</x:v>
      </x:c>
      <x:c r="R1116" s="30" t="n">
        <x:v>4228.09</x:v>
      </x:c>
      <x:c r="S1116" s="30" t="str">
        <x:v>{"completion_tokens": 78, "prompt_tokens": 152, "total_tokens": 230,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7">
      <x:c r="A1117" s="30" t="str">
        <x:v>memos_medium:873</x:v>
      </x:c>
      <x:c r="B1117" s="30" t="str">
        <x:v>medium</x:v>
      </x:c>
      <x:c r="C1117" s="30" t="str">
        <x:v>Multi-hop Inference</x:v>
      </x:c>
      <x:c r="D1117" s="30" t="n">
        <x:v>3</x:v>
      </x:c>
      <x:c r="E1117" s="30" t="str">
        <x:v>What was Donna's motivation for pursuing freelance work by May 10, 2039?</x:v>
      </x:c>
      <x:c r="F1117" s="30" t="str">
        <x:v>Desire for creative freedom and industry influence.</x:v>
      </x:c>
      <x:c r="G1117" s="30" t="str">
        <x:v>Creative freedom and influence.</x:v>
      </x:c>
      <x:c r="H1117" s="30" t="str">
        <x:v>deepseek-v4-flash</x:v>
      </x:c>
      <x:c r="I1117" s="30" t="str">
        <x:v>deepseek-v4-flash</x:v>
      </x:c>
      <x:c r="J1117" s="30" t="str">
        <x:v>97bd1bd37aa4baca243a4b76680d6052e05154f945003d8d6296fa357e591e80</x:v>
      </x:c>
      <x:c r="K1117" s="30" t="str">
        <x:v>f5622b14b03952f46225a6b3b3c4d3d3cbf67190dd91484512ff913146f41976</x:v>
      </x:c>
      <x:c r="L1117" s="30" t="n">
        <x:v>661.73</x:v>
      </x:c>
      <x:c r="M1117" s="30" t="str">
        <x:v>{"completion_tokens": 5, "prompt_tokens": 572, "total_tokens": 577, "completion_tokens_details": null, "prompt_tokens_details": {"audio_tokens": null, "cached_tokens": 512}, "prompt_cache_hit_tokens": 512, "prompt_cache_miss_tokens": 60}</x:v>
      </x:c>
      <x:c r="N1117" s="30" t="str">
        <x:v>correct</x:v>
      </x:c>
      <x:c r="O1117" s="30" t="str">
        <x:v>The model answer 'Creative freedom and influence' captures the complete semantic content of the gold answer 'Desire for creative freedom and industry influence.' The omission of 'desire for' and 'industry' does not change the core meaning, and no false or unsupported claims are added.</x:v>
      </x:c>
      <x:c r="P1117" s="30" t="str">
        <x:v>LongCat-2.0</x:v>
      </x:c>
      <x:c r="Q1117" s="30" t="str">
        <x:v>LongCat-2.0</x:v>
      </x:c>
      <x:c r="R1117" s="30" t="n">
        <x:v>4164.76</x:v>
      </x:c>
      <x:c r="S1117" s="30" t="str">
        <x:v>{"completion_tokens": 68, "prompt_tokens": 152, "total_tokens": 220,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18">
      <x:c r="A1118" s="30" t="str">
        <x:v>memos_medium:878</x:v>
      </x:c>
      <x:c r="B1118" s="30" t="str">
        <x:v>medium</x:v>
      </x:c>
      <x:c r="C1118" s="30" t="str">
        <x:v>Basic Fact Recall</x:v>
      </x:c>
      <x:c r="D1118" s="30" t="n">
        <x:v>1</x:v>
      </x:c>
      <x:c r="E1118" s="30" t="str">
        <x:v>What strategic goal is Donna Gonzalez pursuing as of June 1, 2039?</x:v>
      </x:c>
      <x:c r="F1118" s="30" t="str">
        <x:v>Establish a music academy</x:v>
      </x:c>
      <x:c r="G1118" s="30" t="str">
        <x:v>Redefining film music, establishing academy.</x:v>
      </x:c>
      <x:c r="H1118" s="30" t="str">
        <x:v>deepseek-v4-flash</x:v>
      </x:c>
      <x:c r="I1118" s="30" t="str">
        <x:v>deepseek-v4-flash</x:v>
      </x:c>
      <x:c r="J1118" s="30" t="str">
        <x:v>69970edc90373b26e8dcd5182f5dbccb5cd23c1f210ff094273cc55fdbc3e490</x:v>
      </x:c>
      <x:c r="K1118" s="30" t="str">
        <x:v>d0d02e0aaaa1e11e250f73be6bf80ca16de9a8b62fc798635a3b3df1d8e84f7c</x:v>
      </x:c>
      <x:c r="L1118" s="30" t="n">
        <x:v>652.82</x:v>
      </x:c>
      <x:c r="M1118" s="30" t="str">
        <x:v>{"completion_tokens": 9, "prompt_tokens": 550, "total_tokens": 559, "completion_tokens_details": null, "prompt_tokens_details": {"audio_tokens": null, "cached_tokens": 512}, "prompt_cache_hit_tokens": 512, "prompt_cache_miss_tokens": 38}</x:v>
      </x:c>
      <x:c r="N1118" s="30" t="str">
        <x:v>hallucination</x:v>
      </x:c>
      <x:c r="O1118" s="30" t="str">
        <x:v>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x:v>
      </x:c>
      <x:c r="P1118" s="30" t="str">
        <x:v>LongCat-2.0</x:v>
      </x:c>
      <x:c r="Q1118" s="30" t="str">
        <x:v>LongCat-2.0</x:v>
      </x:c>
      <x:c r="R1118" s="30" t="n">
        <x:v>3348.35</x:v>
      </x:c>
      <x:c r="S1118" s="30" t="str">
        <x:v>{"completion_tokens": 81, "prompt_tokens": 151, "total_tokens": 232,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19">
      <x:c r="A1119" s="30" t="str">
        <x:v>memos_medium:878</x:v>
      </x:c>
      <x:c r="B1119" s="30" t="str">
        <x:v>medium</x:v>
      </x:c>
      <x:c r="C1119" s="30" t="str">
        <x:v>Basic Fact Recall</x:v>
      </x:c>
      <x:c r="D1119" s="30" t="n">
        <x:v>2</x:v>
      </x:c>
      <x:c r="E1119" s="30" t="str">
        <x:v>What strategic goal is Donna Gonzalez pursuing as of June 1, 2039?</x:v>
      </x:c>
      <x:c r="F1119" s="30" t="str">
        <x:v>Establish a music academy</x:v>
      </x:c>
      <x:c r="G1119" s="30" t="str">
        <x:v>Redefining film music, establishing academy.</x:v>
      </x:c>
      <x:c r="H1119" s="30" t="str">
        <x:v>deepseek-v4-flash</x:v>
      </x:c>
      <x:c r="I1119" s="30" t="str">
        <x:v>deepseek-v4-flash</x:v>
      </x:c>
      <x:c r="J1119" s="30" t="str">
        <x:v>69970edc90373b26e8dcd5182f5dbccb5cd23c1f210ff094273cc55fdbc3e490</x:v>
      </x:c>
      <x:c r="K1119" s="30" t="str">
        <x:v>d0d02e0aaaa1e11e250f73be6bf80ca16de9a8b62fc798635a3b3df1d8e84f7c</x:v>
      </x:c>
      <x:c r="L1119" s="30" t="n">
        <x:v>897.73</x:v>
      </x:c>
      <x:c r="M1119" s="30" t="str">
        <x:v>{"completion_tokens": 9, "prompt_tokens": 550, "total_tokens": 559, "completion_tokens_details": null, "prompt_tokens_details": {"audio_tokens": null, "cached_tokens": 512}, "prompt_cache_hit_tokens": 512, "prompt_cache_miss_tokens": 38}</x:v>
      </x:c>
      <x:c r="N1119" s="30" t="str">
        <x:v>hallucination</x:v>
      </x:c>
      <x:c r="O1119" s="30" t="str">
        <x:v>The gold answer is 'Establish a music academy.' The model answer includes 'establishing academy' which aligns with the gold answer, but it also adds 'Redefining film music,' which is unsupported and not part of the gold answer. This constitutes a concrete claim that goes beyond the gold answer, making it a hallucination.</x:v>
      </x:c>
      <x:c r="P1119" s="30" t="str">
        <x:v>LongCat-2.0</x:v>
      </x:c>
      <x:c r="Q1119" s="30" t="str">
        <x:v>LongCat-2.0</x:v>
      </x:c>
      <x:c r="R1119" s="30" t="n">
        <x:v>2709.73</x:v>
      </x:c>
      <x:c r="S1119" s="30" t="str">
        <x:v>{"completion_tokens": 81, "prompt_tokens": 151, "total_tokens": 232,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0">
      <x:c r="A1120" s="30" t="str">
        <x:v>memos_medium:878</x:v>
      </x:c>
      <x:c r="B1120" s="30" t="str">
        <x:v>medium</x:v>
      </x:c>
      <x:c r="C1120" s="30" t="str">
        <x:v>Basic Fact Recall</x:v>
      </x:c>
      <x:c r="D1120" s="30" t="n">
        <x:v>3</x:v>
      </x:c>
      <x:c r="E1120" s="30" t="str">
        <x:v>What strategic goal is Donna Gonzalez pursuing as of June 1, 2039?</x:v>
      </x:c>
      <x:c r="F1120" s="30" t="str">
        <x:v>Establish a music academy</x:v>
      </x:c>
      <x:c r="G1120" s="30" t="str">
        <x:v>Redefining film music, establishing academy.</x:v>
      </x:c>
      <x:c r="H1120" s="30" t="str">
        <x:v>deepseek-v4-flash</x:v>
      </x:c>
      <x:c r="I1120" s="30" t="str">
        <x:v>deepseek-v4-flash</x:v>
      </x:c>
      <x:c r="J1120" s="30" t="str">
        <x:v>69970edc90373b26e8dcd5182f5dbccb5cd23c1f210ff094273cc55fdbc3e490</x:v>
      </x:c>
      <x:c r="K1120" s="30" t="str">
        <x:v>d0d02e0aaaa1e11e250f73be6bf80ca16de9a8b62fc798635a3b3df1d8e84f7c</x:v>
      </x:c>
      <x:c r="L1120" s="30" t="n">
        <x:v>759.2</x:v>
      </x:c>
      <x:c r="M1120" s="30" t="str">
        <x:v>{"completion_tokens": 9, "prompt_tokens": 550, "total_tokens": 559, "completion_tokens_details": null, "prompt_tokens_details": {"audio_tokens": null, "cached_tokens": 512}, "prompt_cache_hit_tokens": 512, "prompt_cache_miss_tokens": 38}</x:v>
      </x:c>
      <x:c r="N1120" s="30" t="str">
        <x:v>hallucination</x:v>
      </x:c>
      <x:c r="O1120" s="30" t="str">
        <x:v>The gold answer is 'Establish a music academy.' The model answer includes 'establishing academy' which aligns with the gold answer, but it also adds 'Redefining film music,' which is unsupported and not part of the gold answer. This constitutes a concrete claim that is not in the gold answer, making it a hallucination.</x:v>
      </x:c>
      <x:c r="P1120" s="30" t="str">
        <x:v>LongCat-2.0</x:v>
      </x:c>
      <x:c r="Q1120" s="30" t="str">
        <x:v>LongCat-2.0</x:v>
      </x:c>
      <x:c r="R1120" s="30" t="n">
        <x:v>3030.09</x:v>
      </x:c>
      <x:c r="S1120" s="30" t="str">
        <x:v>{"completion_tokens": 82, "prompt_tokens": 151, "total_tokens": 233,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1">
      <x:c r="A1121" s="30" t="str">
        <x:v>memos_medium:895</x:v>
      </x:c>
      <x:c r="B1121" s="30" t="str">
        <x:v>medium</x:v>
      </x:c>
      <x:c r="C1121" s="30" t="str">
        <x:v>Basic Fact Recall</x:v>
      </x:c>
      <x:c r="D1121" s="30" t="n">
        <x:v>1</x:v>
      </x:c>
      <x:c r="E1121" s="30" t="str">
        <x:v>What event did Donna attend on August 21, 2026?</x:v>
      </x:c>
      <x:c r="F1121" s="30" t="str">
        <x:v>A conference on sustainable fashion.</x:v>
      </x:c>
      <x:c r="G1121" s="30" t="str">
        <x:v>Sustainable fashion conference</x:v>
      </x:c>
      <x:c r="H1121" s="30" t="str">
        <x:v>deepseek-v4-flash</x:v>
      </x:c>
      <x:c r="I1121" s="30" t="str">
        <x:v>deepseek-v4-flash</x:v>
      </x:c>
      <x:c r="J1121" s="30" t="str">
        <x:v>a2e69721f8173253988d18e2d44d044521333772f2b9baceb8f817d5b6c35095</x:v>
      </x:c>
      <x:c r="K1121" s="30" t="str">
        <x:v>c509265d8c3326a31be33d39afe69c5c2841c691825ed25ac469924f419218e7</x:v>
      </x:c>
      <x:c r="L1121" s="30" t="n">
        <x:v>731</x:v>
      </x:c>
      <x:c r="M1121" s="30" t="str">
        <x:v>{"completion_tokens": 3, "prompt_tokens": 531, "total_tokens": 534, "completion_tokens_details": null, "prompt_tokens_details": {"audio_tokens": null, "cached_tokens": 512}, "prompt_cache_hit_tokens": 512, "prompt_cache_miss_tokens": 19}</x:v>
      </x:c>
      <x:c r="N1121" s="30" t="str">
        <x:v>correct</x:v>
      </x:c>
      <x:c r="O1121" s="30" t="str">
        <x:v>The model answer 'Sustainable fashion conference' is semantically equivalent to the gold answer 'A conference on sustainable fashion.' The wording differs slightly, but the complete meaning is preserved without any contradiction or unsupported material.</x:v>
      </x:c>
      <x:c r="P1121" s="30" t="str">
        <x:v>LongCat-2.0</x:v>
      </x:c>
      <x:c r="Q1121" s="30" t="str">
        <x:v>LongCat-2.0</x:v>
      </x:c>
      <x:c r="R1121" s="30" t="n">
        <x:v>2409.73</x:v>
      </x:c>
      <x:c r="S1121" s="30" t="str">
        <x:v>{"completion_tokens": 53, "prompt_tokens": 145, "total_tokens": 198,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22">
      <x:c r="A1122" s="30" t="str">
        <x:v>memos_medium:895</x:v>
      </x:c>
      <x:c r="B1122" s="30" t="str">
        <x:v>medium</x:v>
      </x:c>
      <x:c r="C1122" s="30" t="str">
        <x:v>Basic Fact Recall</x:v>
      </x:c>
      <x:c r="D1122" s="30" t="n">
        <x:v>2</x:v>
      </x:c>
      <x:c r="E1122" s="30" t="str">
        <x:v>What event did Donna attend on August 21, 2026?</x:v>
      </x:c>
      <x:c r="F1122" s="30" t="str">
        <x:v>A conference on sustainable fashion.</x:v>
      </x:c>
      <x:c r="G1122" s="30" t="str">
        <x:v>Sustainable fashion conference</x:v>
      </x:c>
      <x:c r="H1122" s="30" t="str">
        <x:v>deepseek-v4-flash</x:v>
      </x:c>
      <x:c r="I1122" s="30" t="str">
        <x:v>deepseek-v4-flash</x:v>
      </x:c>
      <x:c r="J1122" s="30" t="str">
        <x:v>a2e69721f8173253988d18e2d44d044521333772f2b9baceb8f817d5b6c35095</x:v>
      </x:c>
      <x:c r="K1122" s="30" t="str">
        <x:v>c509265d8c3326a31be33d39afe69c5c2841c691825ed25ac469924f419218e7</x:v>
      </x:c>
      <x:c r="L1122" s="30" t="n">
        <x:v>865.19</x:v>
      </x:c>
      <x:c r="M1122" s="30" t="str">
        <x:v>{"completion_tokens": 3, "prompt_tokens": 531, "total_tokens": 534, "completion_tokens_details": null, "prompt_tokens_details": {"audio_tokens": null, "cached_tokens": 512}, "prompt_cache_hit_tokens": 512, "prompt_cache_miss_tokens": 19}</x:v>
      </x:c>
      <x:c r="N1122" s="30" t="str">
        <x:v>correct</x:v>
      </x:c>
      <x:c r="O1122" s="30" t="str">
        <x:v>The model answer 'Sustainable fashion conference' is semantically equivalent to the gold answer 'A conference on sustainable fashion.' Both convey the same event with only minor wording differences, and no information is missing or contradicted.</x:v>
      </x:c>
      <x:c r="P1122" s="30" t="str">
        <x:v>LongCat-2.0</x:v>
      </x:c>
      <x:c r="Q1122" s="30" t="str">
        <x:v>LongCat-2.0</x:v>
      </x:c>
      <x:c r="R1122" s="30" t="n">
        <x:v>3161.07</x:v>
      </x:c>
      <x:c r="S1122" s="30" t="str">
        <x:v>{"completion_tokens": 55, "prompt_tokens": 145, "total_tokens": 200,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3">
      <x:c r="A1123" s="30" t="str">
        <x:v>memos_medium:895</x:v>
      </x:c>
      <x:c r="B1123" s="30" t="str">
        <x:v>medium</x:v>
      </x:c>
      <x:c r="C1123" s="30" t="str">
        <x:v>Basic Fact Recall</x:v>
      </x:c>
      <x:c r="D1123" s="30" t="n">
        <x:v>3</x:v>
      </x:c>
      <x:c r="E1123" s="30" t="str">
        <x:v>What event did Donna attend on August 21, 2026?</x:v>
      </x:c>
      <x:c r="F1123" s="30" t="str">
        <x:v>A conference on sustainable fashion.</x:v>
      </x:c>
      <x:c r="G1123" s="30" t="str">
        <x:v>Sustainable fashion conference</x:v>
      </x:c>
      <x:c r="H1123" s="30" t="str">
        <x:v>deepseek-v4-flash</x:v>
      </x:c>
      <x:c r="I1123" s="30" t="str">
        <x:v>deepseek-v4-flash</x:v>
      </x:c>
      <x:c r="J1123" s="30" t="str">
        <x:v>a2e69721f8173253988d18e2d44d044521333772f2b9baceb8f817d5b6c35095</x:v>
      </x:c>
      <x:c r="K1123" s="30" t="str">
        <x:v>c509265d8c3326a31be33d39afe69c5c2841c691825ed25ac469924f419218e7</x:v>
      </x:c>
      <x:c r="L1123" s="30" t="n">
        <x:v>748.92</x:v>
      </x:c>
      <x:c r="M1123" s="30" t="str">
        <x:v>{"completion_tokens": 3, "prompt_tokens": 531, "total_tokens": 534, "completion_tokens_details": null, "prompt_tokens_details": {"audio_tokens": null, "cached_tokens": 512}, "prompt_cache_hit_tokens": 512, "prompt_cache_miss_tokens": 19}</x:v>
      </x:c>
      <x:c r="N1123" s="30" t="str">
        <x:v>correct</x:v>
      </x:c>
      <x:c r="O1123" s="30" t="str">
        <x:v>The model answer 'Sustainable fashion conference' is semantically equivalent to the gold answer 'A conference on sustainable fashion.' The wording differs slightly, but the complete meaning is preserved without any contradiction or unsupported material.</x:v>
      </x:c>
      <x:c r="P1123" s="30" t="str">
        <x:v>LongCat-2.0</x:v>
      </x:c>
      <x:c r="Q1123" s="30" t="str">
        <x:v>LongCat-2.0</x:v>
      </x:c>
      <x:c r="R1123" s="30" t="n">
        <x:v>2304.64</x:v>
      </x:c>
      <x:c r="S1123" s="30" t="str">
        <x:v>{"completion_tokens": 53, "prompt_tokens": 145, "total_tokens": 198,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4">
      <x:c r="A1124" s="30" t="str">
        <x:v>memos_medium:9</x:v>
      </x:c>
      <x:c r="B1124" s="30" t="str">
        <x:v>medium</x:v>
      </x:c>
      <x:c r="C1124" s="30" t="str">
        <x:v>Basic Fact Recall</x:v>
      </x:c>
      <x:c r="D1124" s="30" t="n">
        <x:v>1</x:v>
      </x:c>
      <x:c r="E1124" s="30" t="str">
        <x:v>What type of pets does Martin Mark like?</x:v>
      </x:c>
      <x:c r="F1124" s="30" t="str">
        <x:v>Dogs, cats, and parrots.</x:v>
      </x:c>
      <x:c r="G1124" s="30" t="str">
        <x:v>Dogs, cats, and parrots</x:v>
      </x:c>
      <x:c r="H1124" s="30" t="str">
        <x:v>deepseek-v4-flash</x:v>
      </x:c>
      <x:c r="I1124" s="30" t="str">
        <x:v>deepseek-v4-flash</x:v>
      </x:c>
      <x:c r="J1124" s="30" t="str">
        <x:v>c7c503395c5ba9b75e356928a79557640f0ff5b011e98d2774e351afc2935184</x:v>
      </x:c>
      <x:c r="K1124" s="30" t="str">
        <x:v>8ba9d7819485efc5acf8ee93d1ede582dd59340ceec63490af6acc47fb9f8c8c</x:v>
      </x:c>
      <x:c r="L1124" s="30" t="n">
        <x:v>692.6</x:v>
      </x:c>
      <x:c r="M1124" s="30" t="str">
        <x:v>{"completion_tokens": 8, "prompt_tokens": 565, "total_tokens": 573, "completion_tokens_details": null, "prompt_tokens_details": {"audio_tokens": null, "cached_tokens": 512}, "prompt_cache_hit_tokens": 512, "prompt_cache_miss_tokens": 53}</x:v>
      </x:c>
      <x:c r="N1124" s="30" t="str">
        <x:v>correct</x:v>
      </x:c>
      <x:c r="O1124" s="30" t="str">
        <x:v>The model answer lists the same three pet types as the gold answer (dogs, cats, and parrots), with only a minor punctuation difference (missing period), which does not affect semantic completeness.</x:v>
      </x:c>
      <x:c r="P1124" s="30" t="str">
        <x:v>LongCat-2.0</x:v>
      </x:c>
      <x:c r="Q1124" s="30" t="str">
        <x:v>LongCat-2.0</x:v>
      </x:c>
      <x:c r="R1124" s="30" t="n">
        <x:v>2505.92</x:v>
      </x:c>
      <x:c r="S1124" s="30" t="str">
        <x:v>{"completion_tokens": 51, "prompt_tokens": 144,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5">
      <x:c r="A1125" s="30" t="str">
        <x:v>memos_medium:9</x:v>
      </x:c>
      <x:c r="B1125" s="30" t="str">
        <x:v>medium</x:v>
      </x:c>
      <x:c r="C1125" s="30" t="str">
        <x:v>Basic Fact Recall</x:v>
      </x:c>
      <x:c r="D1125" s="30" t="n">
        <x:v>2</x:v>
      </x:c>
      <x:c r="E1125" s="30" t="str">
        <x:v>What type of pets does Martin Mark like?</x:v>
      </x:c>
      <x:c r="F1125" s="30" t="str">
        <x:v>Dogs, cats, and parrots.</x:v>
      </x:c>
      <x:c r="G1125" s="30" t="str">
        <x:v>Dogs, cats, and parrots</x:v>
      </x:c>
      <x:c r="H1125" s="30" t="str">
        <x:v>deepseek-v4-flash</x:v>
      </x:c>
      <x:c r="I1125" s="30" t="str">
        <x:v>deepseek-v4-flash</x:v>
      </x:c>
      <x:c r="J1125" s="30" t="str">
        <x:v>c7c503395c5ba9b75e356928a79557640f0ff5b011e98d2774e351afc2935184</x:v>
      </x:c>
      <x:c r="K1125" s="30" t="str">
        <x:v>8ba9d7819485efc5acf8ee93d1ede582dd59340ceec63490af6acc47fb9f8c8c</x:v>
      </x:c>
      <x:c r="L1125" s="30" t="n">
        <x:v>616.94</x:v>
      </x:c>
      <x:c r="M1125" s="30" t="str">
        <x:v>{"completion_tokens": 8, "prompt_tokens": 565, "total_tokens": 573, "completion_tokens_details": null, "prompt_tokens_details": {"audio_tokens": null, "cached_tokens": 512}, "prompt_cache_hit_tokens": 512, "prompt_cache_miss_tokens": 53}</x:v>
      </x:c>
      <x:c r="N1125" s="30" t="str">
        <x:v>correct</x:v>
      </x:c>
      <x:c r="O1125" s="30" t="str">
        <x:v>The model answer lists the same three pets (dogs, cats, and parrots) as the gold answer, with only a minor punctuation difference (missing period), which does not affect semantic completeness.</x:v>
      </x:c>
      <x:c r="P1125" s="30" t="str">
        <x:v>LongCat-2.0</x:v>
      </x:c>
      <x:c r="Q1125" s="30" t="str">
        <x:v>LongCat-2.0</x:v>
      </x:c>
      <x:c r="R1125" s="30" t="n">
        <x:v>2559.71</x:v>
      </x:c>
      <x:c r="S1125" s="30" t="str">
        <x:v>{"completion_tokens": 51, "prompt_tokens": 144,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6">
      <x:c r="A1126" s="30" t="str">
        <x:v>memos_medium:9</x:v>
      </x:c>
      <x:c r="B1126" s="30" t="str">
        <x:v>medium</x:v>
      </x:c>
      <x:c r="C1126" s="30" t="str">
        <x:v>Basic Fact Recall</x:v>
      </x:c>
      <x:c r="D1126" s="30" t="n">
        <x:v>3</x:v>
      </x:c>
      <x:c r="E1126" s="30" t="str">
        <x:v>What type of pets does Martin Mark like?</x:v>
      </x:c>
      <x:c r="F1126" s="30" t="str">
        <x:v>Dogs, cats, and parrots.</x:v>
      </x:c>
      <x:c r="G1126" s="30" t="str">
        <x:v>Dogs, cats, and parrots</x:v>
      </x:c>
      <x:c r="H1126" s="30" t="str">
        <x:v>deepseek-v4-flash</x:v>
      </x:c>
      <x:c r="I1126" s="30" t="str">
        <x:v>deepseek-v4-flash</x:v>
      </x:c>
      <x:c r="J1126" s="30" t="str">
        <x:v>c7c503395c5ba9b75e356928a79557640f0ff5b011e98d2774e351afc2935184</x:v>
      </x:c>
      <x:c r="K1126" s="30" t="str">
        <x:v>8ba9d7819485efc5acf8ee93d1ede582dd59340ceec63490af6acc47fb9f8c8c</x:v>
      </x:c>
      <x:c r="L1126" s="30" t="n">
        <x:v>599.76</x:v>
      </x:c>
      <x:c r="M1126" s="30" t="str">
        <x:v>{"completion_tokens": 8, "prompt_tokens": 565, "total_tokens": 573, "completion_tokens_details": null, "prompt_tokens_details": {"audio_tokens": null, "cached_tokens": 512}, "prompt_cache_hit_tokens": 512, "prompt_cache_miss_tokens": 53}</x:v>
      </x:c>
      <x:c r="N1126" s="30" t="str">
        <x:v>correct</x:v>
      </x:c>
      <x:c r="O1126" s="30" t="str">
        <x:v>The model answer lists the same three pet types as the gold answer (dogs, cats, and parrots), with only a minor punctuation difference (missing period), which does not affect semantic completeness.</x:v>
      </x:c>
      <x:c r="P1126" s="30" t="str">
        <x:v>LongCat-2.0</x:v>
      </x:c>
      <x:c r="Q1126" s="30" t="str">
        <x:v>LongCat-2.0</x:v>
      </x:c>
      <x:c r="R1126" s="30" t="n">
        <x:v>2520.55</x:v>
      </x:c>
      <x:c r="S1126" s="30" t="str">
        <x:v>{"completion_tokens": 51, "prompt_tokens": 144, "total_tokens": 195,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7">
      <x:c r="A1127" s="30" t="str">
        <x:v>memos_medium:912</x:v>
      </x:c>
      <x:c r="B1127" s="30" t="str">
        <x:v>medium</x:v>
      </x:c>
      <x:c r="C1127" s="30" t="str">
        <x:v>Generalization &amp; Application</x:v>
      </x:c>
      <x:c r="D1127" s="30" t="n">
        <x:v>1</x:v>
      </x:c>
      <x:c r="E1127" s="30" t="str">
        <x:v>How might Donna's reliance on AI for emotional support influence her leadership style in 2028?</x:v>
      </x:c>
      <x:c r="F1127" s="30" t="str">
        <x:v>Donna's leadership may become more empathetic.</x:v>
      </x:c>
      <x:c r="G1127" s="30" t="str">
        <x:v>Empathetic and task-focused leadership.</x:v>
      </x:c>
      <x:c r="H1127" s="30" t="str">
        <x:v>deepseek-v4-flash</x:v>
      </x:c>
      <x:c r="I1127" s="30" t="str">
        <x:v>deepseek-v4-flash</x:v>
      </x:c>
      <x:c r="J1127" s="30" t="str">
        <x:v>147316df46038f91fc7460653608e14a9e80e81996c684559f0ada778b7600f7</x:v>
      </x:c>
      <x:c r="K1127" s="30" t="str">
        <x:v>7673d23845d01b1a93b3af9422a415da6cf76a0618d4b6836814bff6a2297ce6</x:v>
      </x:c>
      <x:c r="L1127" s="30" t="n">
        <x:v>663.65</x:v>
      </x:c>
      <x:c r="M1127" s="30" t="str">
        <x:v>{"completion_tokens": 8, "prompt_tokens": 565, "total_tokens": 573, "completion_tokens_details": null, "prompt_tokens_details": {"audio_tokens": null, "cached_tokens": 512}, "prompt_cache_hit_tokens": 512, "prompt_cache_miss_tokens": 53}</x:v>
      </x:c>
      <x:c r="N1127" s="30" t="str">
        <x:v>hallucination</x:v>
      </x:c>
      <x:c r="O1127" s="30" t="str">
        <x:v>The gold answer states that Donna's leadership may become more empathetic. The model answer adds 'task-focused,' which is not supported by or present in the gold answer, making it an unsupported addition that constitutes a hallucination.</x:v>
      </x:c>
      <x:c r="P1127" s="30" t="str">
        <x:v>LongCat-2.0</x:v>
      </x:c>
      <x:c r="Q1127" s="30" t="str">
        <x:v>LongCat-2.0</x:v>
      </x:c>
      <x:c r="R1127" s="30" t="n">
        <x:v>2286.62</x:v>
      </x:c>
      <x:c r="S1127" s="30" t="str">
        <x:v>{"completion_tokens": 58, "prompt_tokens": 156,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8">
      <x:c r="A1128" s="30" t="str">
        <x:v>memos_medium:912</x:v>
      </x:c>
      <x:c r="B1128" s="30" t="str">
        <x:v>medium</x:v>
      </x:c>
      <x:c r="C1128" s="30" t="str">
        <x:v>Generalization &amp; Application</x:v>
      </x:c>
      <x:c r="D1128" s="30" t="n">
        <x:v>2</x:v>
      </x:c>
      <x:c r="E1128" s="30" t="str">
        <x:v>How might Donna's reliance on AI for emotional support influence her leadership style in 2028?</x:v>
      </x:c>
      <x:c r="F1128" s="30" t="str">
        <x:v>Donna's leadership may become more empathetic.</x:v>
      </x:c>
      <x:c r="G1128" s="30" t="str">
        <x:v>Empathetic and task-focused leadership.</x:v>
      </x:c>
      <x:c r="H1128" s="30" t="str">
        <x:v>deepseek-v4-flash</x:v>
      </x:c>
      <x:c r="I1128" s="30" t="str">
        <x:v>deepseek-v4-flash</x:v>
      </x:c>
      <x:c r="J1128" s="30" t="str">
        <x:v>147316df46038f91fc7460653608e14a9e80e81996c684559f0ada778b7600f7</x:v>
      </x:c>
      <x:c r="K1128" s="30" t="str">
        <x:v>7673d23845d01b1a93b3af9422a415da6cf76a0618d4b6836814bff6a2297ce6</x:v>
      </x:c>
      <x:c r="L1128" s="30" t="n">
        <x:v>698.34</x:v>
      </x:c>
      <x:c r="M1128" s="30" t="str">
        <x:v>{"completion_tokens": 8, "prompt_tokens": 565, "total_tokens": 573, "completion_tokens_details": null, "prompt_tokens_details": {"audio_tokens": null, "cached_tokens": 512}, "prompt_cache_hit_tokens": 512, "prompt_cache_miss_tokens": 53}</x:v>
      </x:c>
      <x:c r="N1128" s="30" t="str">
        <x:v>hallucination</x:v>
      </x:c>
      <x:c r="O1128" s="30" t="str">
        <x:v>The gold answer states that Donna's leadership may become more empathetic. The model answer adds 'task-focused,' which is not supported by the gold answer and constitutes unsupported material.</x:v>
      </x:c>
      <x:c r="P1128" s="30" t="str">
        <x:v>LongCat-2.0</x:v>
      </x:c>
      <x:c r="Q1128" s="30" t="str">
        <x:v>LongCat-2.0</x:v>
      </x:c>
      <x:c r="R1128" s="30" t="n">
        <x:v>2140.25</x:v>
      </x:c>
      <x:c r="S1128" s="30" t="str">
        <x:v>{"completion_tokens": 48, "prompt_tokens": 156, "total_tokens": 204,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29">
      <x:c r="A1129" s="30" t="str">
        <x:v>memos_medium:912</x:v>
      </x:c>
      <x:c r="B1129" s="30" t="str">
        <x:v>medium</x:v>
      </x:c>
      <x:c r="C1129" s="30" t="str">
        <x:v>Generalization &amp; Application</x:v>
      </x:c>
      <x:c r="D1129" s="30" t="n">
        <x:v>3</x:v>
      </x:c>
      <x:c r="E1129" s="30" t="str">
        <x:v>How might Donna's reliance on AI for emotional support influence her leadership style in 2028?</x:v>
      </x:c>
      <x:c r="F1129" s="30" t="str">
        <x:v>Donna's leadership may become more empathetic.</x:v>
      </x:c>
      <x:c r="G1129" s="30" t="str">
        <x:v>Empathetic and task-focused leadership.</x:v>
      </x:c>
      <x:c r="H1129" s="30" t="str">
        <x:v>deepseek-v4-flash</x:v>
      </x:c>
      <x:c r="I1129" s="30" t="str">
        <x:v>deepseek-v4-flash</x:v>
      </x:c>
      <x:c r="J1129" s="30" t="str">
        <x:v>147316df46038f91fc7460653608e14a9e80e81996c684559f0ada778b7600f7</x:v>
      </x:c>
      <x:c r="K1129" s="30" t="str">
        <x:v>7673d23845d01b1a93b3af9422a415da6cf76a0618d4b6836814bff6a2297ce6</x:v>
      </x:c>
      <x:c r="L1129" s="30" t="n">
        <x:v>819.77</x:v>
      </x:c>
      <x:c r="M1129" s="30" t="str">
        <x:v>{"completion_tokens": 8, "prompt_tokens": 565, "total_tokens": 573, "completion_tokens_details": null, "prompt_tokens_details": {"audio_tokens": null, "cached_tokens": 512}, "prompt_cache_hit_tokens": 512, "prompt_cache_miss_tokens": 53}</x:v>
      </x:c>
      <x:c r="N1129" s="30" t="str">
        <x:v>hallucination</x:v>
      </x:c>
      <x:c r="O1129" s="30" t="str">
        <x:v>The gold answer states that Donna's leadership may become more empathetic. The model answer adds 'task-focused,' which is not supported by or present in the gold answer, making it an unsupported addition that constitutes a hallucination.</x:v>
      </x:c>
      <x:c r="P1129" s="30" t="str">
        <x:v>LongCat-2.0</x:v>
      </x:c>
      <x:c r="Q1129" s="30" t="str">
        <x:v>LongCat-2.0</x:v>
      </x:c>
      <x:c r="R1129" s="30" t="n">
        <x:v>1809.79</x:v>
      </x:c>
      <x:c r="S1129" s="30" t="str">
        <x:v>{"completion_tokens": 58, "prompt_tokens": 156,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0">
      <x:c r="A1130" s="30" t="str">
        <x:v>memos_medium:917</x:v>
      </x:c>
      <x:c r="B1130" s="30" t="str">
        <x:v>medium</x:v>
      </x:c>
      <x:c r="C1130" s="30" t="str">
        <x:v>Basic Fact Recall</x:v>
      </x:c>
      <x:c r="D1130" s="30" t="n">
        <x:v>1</x:v>
      </x:c>
      <x:c r="E1130" s="30" t="str">
        <x:v>What did Donna broaden her pet preference to include on May 24, 2028?</x:v>
      </x:c>
      <x:c r="F1130" s="30" t="str">
        <x:v>Dogs of all sizes.</x:v>
      </x:c>
      <x:c r="G1130" s="30" t="str">
        <x:v>Dogs of all sizes</x:v>
      </x:c>
      <x:c r="H1130" s="30" t="str">
        <x:v>deepseek-v4-flash</x:v>
      </x:c>
      <x:c r="I1130" s="30" t="str">
        <x:v>deepseek-v4-flash</x:v>
      </x:c>
      <x:c r="J1130" s="30" t="str">
        <x:v>49aabe3488922e8ec3cb23f679d6ea4066056764fe612d1a99ac9b194cc9e608</x:v>
      </x:c>
      <x:c r="K1130" s="30" t="str">
        <x:v>2d98e5ece925cbb2266e96c7c62254cec3f67e8e855cdec7ead2d77d8eca1b2a</x:v>
      </x:c>
      <x:c r="L1130" s="30" t="n">
        <x:v>716.68</x:v>
      </x:c>
      <x:c r="M1130" s="30" t="str">
        <x:v>{"completion_tokens": 5, "prompt_tokens": 549, "total_tokens": 554, "completion_tokens_details": null, "prompt_tokens_details": {"audio_tokens": null, "cached_tokens": 512}, "prompt_cache_hit_tokens": 512, "prompt_cache_miss_tokens": 37}</x:v>
      </x:c>
      <x:c r="N1130" s="30" t="str">
        <x:v>correct</x:v>
      </x:c>
      <x:c r="O1130" s="30" t="str">
        <x:v>The model answer 'Dogs of all sizes' is semantically identical to the gold answer 'Dogs of all sizes.' The only difference is the absence of a period, which is a trivial punctuation variation that does not affect the meaning or completeness of the answer.</x:v>
      </x:c>
      <x:c r="P1130" s="30" t="str">
        <x:v>LongCat-2.0</x:v>
      </x:c>
      <x:c r="Q1130" s="30" t="str">
        <x:v>LongCat-2.0</x:v>
      </x:c>
      <x:c r="R1130" s="30" t="n">
        <x:v>2593.78</x:v>
      </x:c>
      <x:c r="S1130" s="30" t="str">
        <x:v>{"completion_tokens": 64, "prompt_tokens": 150,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1">
      <x:c r="A1131" s="30" t="str">
        <x:v>memos_medium:917</x:v>
      </x:c>
      <x:c r="B1131" s="30" t="str">
        <x:v>medium</x:v>
      </x:c>
      <x:c r="C1131" s="30" t="str">
        <x:v>Basic Fact Recall</x:v>
      </x:c>
      <x:c r="D1131" s="30" t="n">
        <x:v>2</x:v>
      </x:c>
      <x:c r="E1131" s="30" t="str">
        <x:v>What did Donna broaden her pet preference to include on May 24, 2028?</x:v>
      </x:c>
      <x:c r="F1131" s="30" t="str">
        <x:v>Dogs of all sizes.</x:v>
      </x:c>
      <x:c r="G1131" s="30" t="str">
        <x:v>Dogs of all sizes</x:v>
      </x:c>
      <x:c r="H1131" s="30" t="str">
        <x:v>deepseek-v4-flash</x:v>
      </x:c>
      <x:c r="I1131" s="30" t="str">
        <x:v>deepseek-v4-flash</x:v>
      </x:c>
      <x:c r="J1131" s="30" t="str">
        <x:v>49aabe3488922e8ec3cb23f679d6ea4066056764fe612d1a99ac9b194cc9e608</x:v>
      </x:c>
      <x:c r="K1131" s="30" t="str">
        <x:v>2d98e5ece925cbb2266e96c7c62254cec3f67e8e855cdec7ead2d77d8eca1b2a</x:v>
      </x:c>
      <x:c r="L1131" s="30" t="n">
        <x:v>563.29</x:v>
      </x:c>
      <x:c r="M1131" s="30" t="str">
        <x:v>{"completion_tokens": 5, "prompt_tokens": 549, "total_tokens": 554, "completion_tokens_details": null, "prompt_tokens_details": {"audio_tokens": null, "cached_tokens": 512}, "prompt_cache_hit_tokens": 512, "prompt_cache_miss_tokens": 37}</x:v>
      </x:c>
      <x:c r="N1131" s="30" t="str">
        <x:v>correct</x:v>
      </x:c>
      <x:c r="O1131" s="30" t="str">
        <x:v>The model answer 'Dogs of all sizes' is semantically identical to the gold answer 'Dogs of all sizes.' The only difference is the absence of a period, which does not affect the meaning or completeness of the answer.</x:v>
      </x:c>
      <x:c r="P1131" s="30" t="str">
        <x:v>LongCat-2.0</x:v>
      </x:c>
      <x:c r="Q1131" s="30" t="str">
        <x:v>LongCat-2.0</x:v>
      </x:c>
      <x:c r="R1131" s="30" t="n">
        <x:v>2611.82</x:v>
      </x:c>
      <x:c r="S1131" s="30" t="str">
        <x:v>{"completion_tokens": 58, "prompt_tokens": 150, "total_tokens": 208,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32">
      <x:c r="A1132" s="30" t="str">
        <x:v>memos_medium:917</x:v>
      </x:c>
      <x:c r="B1132" s="30" t="str">
        <x:v>medium</x:v>
      </x:c>
      <x:c r="C1132" s="30" t="str">
        <x:v>Basic Fact Recall</x:v>
      </x:c>
      <x:c r="D1132" s="30" t="n">
        <x:v>3</x:v>
      </x:c>
      <x:c r="E1132" s="30" t="str">
        <x:v>What did Donna broaden her pet preference to include on May 24, 2028?</x:v>
      </x:c>
      <x:c r="F1132" s="30" t="str">
        <x:v>Dogs of all sizes.</x:v>
      </x:c>
      <x:c r="G1132" s="30" t="str">
        <x:v>Dogs of all sizes</x:v>
      </x:c>
      <x:c r="H1132" s="30" t="str">
        <x:v>deepseek-v4-flash</x:v>
      </x:c>
      <x:c r="I1132" s="30" t="str">
        <x:v>deepseek-v4-flash</x:v>
      </x:c>
      <x:c r="J1132" s="30" t="str">
        <x:v>49aabe3488922e8ec3cb23f679d6ea4066056764fe612d1a99ac9b194cc9e608</x:v>
      </x:c>
      <x:c r="K1132" s="30" t="str">
        <x:v>2d98e5ece925cbb2266e96c7c62254cec3f67e8e855cdec7ead2d77d8eca1b2a</x:v>
      </x:c>
      <x:c r="L1132" s="30" t="n">
        <x:v>688.73</x:v>
      </x:c>
      <x:c r="M1132" s="30" t="str">
        <x:v>{"completion_tokens": 5, "prompt_tokens": 549, "total_tokens": 554, "completion_tokens_details": null, "prompt_tokens_details": {"audio_tokens": null, "cached_tokens": 512}, "prompt_cache_hit_tokens": 512, "prompt_cache_miss_tokens": 37}</x:v>
      </x:c>
      <x:c r="N1132" s="30" t="str">
        <x:v>correct</x:v>
      </x:c>
      <x:c r="O1132" s="30" t="str">
        <x:v>The model answer 'Dogs of all sizes' is semantically identical to the gold answer 'Dogs of all sizes.' The only difference is the absence of a period, which is a trivial punctuation variation that does not affect the meaning or completeness of the answer.</x:v>
      </x:c>
      <x:c r="P1132" s="30" t="str">
        <x:v>LongCat-2.0</x:v>
      </x:c>
      <x:c r="Q1132" s="30" t="str">
        <x:v>LongCat-2.0</x:v>
      </x:c>
      <x:c r="R1132" s="30" t="n">
        <x:v>2252.71</x:v>
      </x:c>
      <x:c r="S1132" s="30" t="str">
        <x:v>{"completion_tokens": 64, "prompt_tokens": 150, "total_tokens": 214,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3">
      <x:c r="A1133" s="30" t="str">
        <x:v>memos_medium:920</x:v>
      </x:c>
      <x:c r="B1133" s="30" t="str">
        <x:v>medium</x:v>
      </x:c>
      <x:c r="C1133" s="30" t="str">
        <x:v>Memory Conflict</x:v>
      </x:c>
      <x:c r="D1133" s="30" t="n">
        <x:v>1</x:v>
      </x:c>
      <x:c r="E1133" s="30" t="str">
        <x:v>Did Donna attend a seminar on environmental sustainability before October 31, 2028?</x:v>
      </x:c>
      <x:c r="F1133" s="30" t="str">
        <x:v>No, she attended it on October 31, 2028.</x:v>
      </x:c>
      <x:c r="G1133" s="30" t="str">
        <x:v>No</x:v>
      </x:c>
      <x:c r="H1133" s="30" t="str">
        <x:v>deepseek-v4-flash</x:v>
      </x:c>
      <x:c r="I1133" s="30" t="str">
        <x:v>deepseek-v4-flash</x:v>
      </x:c>
      <x:c r="J1133" s="30" t="str">
        <x:v>21342efb48bd2ac1f90707ba7a11cc58ff73b1254f038c84d42a511a86001420</x:v>
      </x:c>
      <x:c r="K1133" s="30" t="str">
        <x:v>ff07f6235049740396b96ab30e94a60dad35962db021c4d254b00c691a060fd3</x:v>
      </x:c>
      <x:c r="L1133" s="30" t="n">
        <x:v>666.42</x:v>
      </x:c>
      <x:c r="M1133" s="30" t="str">
        <x:v>{"completion_tokens": 1, "prompt_tokens": 573, "total_tokens": 574, "completion_tokens_details": null, "prompt_tokens_details": {"audio_tokens": null, "cached_tokens": 512}, "prompt_cache_hit_tokens": 512, "prompt_cache_miss_tokens": 61}</x:v>
      </x:c>
      <x:c r="N1133" s="30" t="str">
        <x:v>omission</x:v>
      </x:c>
      <x:c r="O1133" s="30" t="str">
        <x:v>The model answer 'No' is incomplete. The gold answer specifies that Donna attended the seminar on October 31, 2028, which is not before that date. The model fails to provide this key detail, making it an omission.</x:v>
      </x:c>
      <x:c r="P1133" s="30" t="str">
        <x:v>LongCat-2.0</x:v>
      </x:c>
      <x:c r="Q1133" s="30" t="str">
        <x:v>LongCat-2.0</x:v>
      </x:c>
      <x:c r="R1133" s="30" t="n">
        <x:v>3207.96</x:v>
      </x:c>
      <x:c r="S1133" s="30" t="str">
        <x:v>{"completion_tokens": 63, "prompt_tokens": 156,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4">
      <x:c r="A1134" s="30" t="str">
        <x:v>memos_medium:920</x:v>
      </x:c>
      <x:c r="B1134" s="30" t="str">
        <x:v>medium</x:v>
      </x:c>
      <x:c r="C1134" s="30" t="str">
        <x:v>Memory Conflict</x:v>
      </x:c>
      <x:c r="D1134" s="30" t="n">
        <x:v>2</x:v>
      </x:c>
      <x:c r="E1134" s="30" t="str">
        <x:v>Did Donna attend a seminar on environmental sustainability before October 31, 2028?</x:v>
      </x:c>
      <x:c r="F1134" s="30" t="str">
        <x:v>No, she attended it on October 31, 2028.</x:v>
      </x:c>
      <x:c r="G1134" s="30" t="str">
        <x:v>No</x:v>
      </x:c>
      <x:c r="H1134" s="30" t="str">
        <x:v>deepseek-v4-flash</x:v>
      </x:c>
      <x:c r="I1134" s="30" t="str">
        <x:v>deepseek-v4-flash</x:v>
      </x:c>
      <x:c r="J1134" s="30" t="str">
        <x:v>21342efb48bd2ac1f90707ba7a11cc58ff73b1254f038c84d42a511a86001420</x:v>
      </x:c>
      <x:c r="K1134" s="30" t="str">
        <x:v>ff07f6235049740396b96ab30e94a60dad35962db021c4d254b00c691a060fd3</x:v>
      </x:c>
      <x:c r="L1134" s="30" t="n">
        <x:v>463.82</x:v>
      </x:c>
      <x:c r="M1134" s="30" t="str">
        <x:v>{"completion_tokens": 1, "prompt_tokens": 573, "total_tokens": 574, "completion_tokens_details": null, "prompt_tokens_details": {"audio_tokens": null, "cached_tokens": 512}, "prompt_cache_hit_tokens": 512, "prompt_cache_miss_tokens": 61}</x:v>
      </x:c>
      <x:c r="N1134" s="30" t="str">
        <x:v>omission</x:v>
      </x:c>
      <x:c r="O1134" s="30" t="str">
        <x:v>The model answer 'No' is incomplete. The gold answer specifies that Donna attended the seminar on October 31, 2028, which is the key detail needed to fully answer the question. The model's response lacks this concrete information, making it an omission.</x:v>
      </x:c>
      <x:c r="P1134" s="30" t="str">
        <x:v>LongCat-2.0</x:v>
      </x:c>
      <x:c r="Q1134" s="30" t="str">
        <x:v>LongCat-2.0</x:v>
      </x:c>
      <x:c r="R1134" s="30" t="n">
        <x:v>3300.89</x:v>
      </x:c>
      <x:c r="S1134" s="30" t="str">
        <x:v>{"completion_tokens": 68, "prompt_tokens": 156, "total_tokens": 224,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35">
      <x:c r="A1135" s="30" t="str">
        <x:v>memos_medium:920</x:v>
      </x:c>
      <x:c r="B1135" s="30" t="str">
        <x:v>medium</x:v>
      </x:c>
      <x:c r="C1135" s="30" t="str">
        <x:v>Memory Conflict</x:v>
      </x:c>
      <x:c r="D1135" s="30" t="n">
        <x:v>3</x:v>
      </x:c>
      <x:c r="E1135" s="30" t="str">
        <x:v>Did Donna attend a seminar on environmental sustainability before October 31, 2028?</x:v>
      </x:c>
      <x:c r="F1135" s="30" t="str">
        <x:v>No, she attended it on October 31, 2028.</x:v>
      </x:c>
      <x:c r="G1135" s="30" t="str">
        <x:v>No</x:v>
      </x:c>
      <x:c r="H1135" s="30" t="str">
        <x:v>deepseek-v4-flash</x:v>
      </x:c>
      <x:c r="I1135" s="30" t="str">
        <x:v>deepseek-v4-flash</x:v>
      </x:c>
      <x:c r="J1135" s="30" t="str">
        <x:v>21342efb48bd2ac1f90707ba7a11cc58ff73b1254f038c84d42a511a86001420</x:v>
      </x:c>
      <x:c r="K1135" s="30" t="str">
        <x:v>ff07f6235049740396b96ab30e94a60dad35962db021c4d254b00c691a060fd3</x:v>
      </x:c>
      <x:c r="L1135" s="30" t="n">
        <x:v>539.07</x:v>
      </x:c>
      <x:c r="M1135" s="30" t="str">
        <x:v>{"completion_tokens": 1, "prompt_tokens": 573, "total_tokens": 574, "completion_tokens_details": null, "prompt_tokens_details": {"audio_tokens": null, "cached_tokens": 512}, "prompt_cache_hit_tokens": 512, "prompt_cache_miss_tokens": 61}</x:v>
      </x:c>
      <x:c r="N1135" s="30" t="str">
        <x:v>omission</x:v>
      </x:c>
      <x:c r="O1135" s="30" t="str">
        <x:v>The model answer 'No' is incomplete. The gold answer specifies that Donna attended the seminar on October 31, 2028, which is not before that date. The model fails to provide the complete information, making it an omission.</x:v>
      </x:c>
      <x:c r="P1135" s="30" t="str">
        <x:v>LongCat-2.0</x:v>
      </x:c>
      <x:c r="Q1135" s="30" t="str">
        <x:v>LongCat-2.0</x:v>
      </x:c>
      <x:c r="R1135" s="30" t="n">
        <x:v>2234.36</x:v>
      </x:c>
      <x:c r="S1135" s="30" t="str">
        <x:v>{"completion_tokens": 63, "prompt_tokens": 156, "total_tokens": 219,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6">
      <x:c r="A1136" s="30" t="str">
        <x:v>memos_medium:942</x:v>
      </x:c>
      <x:c r="B1136" s="30" t="str">
        <x:v>medium</x:v>
      </x:c>
      <x:c r="C1136" s="30" t="str">
        <x:v>Generalization &amp; Application</x:v>
      </x:c>
      <x:c r="D1136" s="30" t="n">
        <x:v>1</x:v>
      </x:c>
      <x:c r="E1136" s="30" t="str">
        <x:v>What type of new restaurants might Donna be interested in visiting after January 12, 2031?</x:v>
      </x:c>
      <x:c r="F1136" s="30" t="str">
        <x:v>Eco-friendly restaurants with sustainable and healthy options.</x:v>
      </x:c>
      <x:c r="G1136" s="30" t="str">
        <x:v>Eco-friendly fast food chains</x:v>
      </x:c>
      <x:c r="H1136" s="30" t="str">
        <x:v>deepseek-v4-flash</x:v>
      </x:c>
      <x:c r="I1136" s="30" t="str">
        <x:v>deepseek-v4-flash</x:v>
      </x:c>
      <x:c r="J1136" s="30" t="str">
        <x:v>ced5aad4f0660a2ae4c8cc32ec9f3eae8750cdfc7406b7d8926a620126239659</x:v>
      </x:c>
      <x:c r="K1136" s="30" t="str">
        <x:v>469f34dc6ef61b8ba76684909d2e63b9903cf5f8f65f3d48eda1dce68cdae1c8</x:v>
      </x:c>
      <x:c r="L1136" s="30" t="n">
        <x:v>588.76</x:v>
      </x:c>
      <x:c r="M1136" s="30" t="str">
        <x:v>{"completion_tokens": 6, "prompt_tokens": 609, "total_tokens": 615, "completion_tokens_details": null, "prompt_tokens_details": {"audio_tokens": null, "cached_tokens": 512}, "prompt_cache_hit_tokens": 512, "prompt_cache_miss_tokens": 97}</x:v>
      </x:c>
      <x:c r="N1136" s="30" t="str">
        <x:v>hallucination</x:v>
      </x:c>
      <x:c r="O1136"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x:v>
      </x:c>
      <x:c r="P1136" s="30" t="str">
        <x:v>LongCat-2.0</x:v>
      </x:c>
      <x:c r="Q1136" s="30" t="str">
        <x:v>LongCat-2.0</x:v>
      </x:c>
      <x:c r="R1136" s="30" t="n">
        <x:v>3746.88</x:v>
      </x:c>
      <x:c r="S1136" s="30" t="str">
        <x:v>{"completion_tokens": 80, "prompt_tokens": 157,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7">
      <x:c r="A1137" s="30" t="str">
        <x:v>memos_medium:942</x:v>
      </x:c>
      <x:c r="B1137" s="30" t="str">
        <x:v>medium</x:v>
      </x:c>
      <x:c r="C1137" s="30" t="str">
        <x:v>Generalization &amp; Application</x:v>
      </x:c>
      <x:c r="D1137" s="30" t="n">
        <x:v>2</x:v>
      </x:c>
      <x:c r="E1137" s="30" t="str">
        <x:v>What type of new restaurants might Donna be interested in visiting after January 12, 2031?</x:v>
      </x:c>
      <x:c r="F1137" s="30" t="str">
        <x:v>Eco-friendly restaurants with sustainable and healthy options.</x:v>
      </x:c>
      <x:c r="G1137" s="30" t="str">
        <x:v>Eco-friendly fast food chains</x:v>
      </x:c>
      <x:c r="H1137" s="30" t="str">
        <x:v>deepseek-v4-flash</x:v>
      </x:c>
      <x:c r="I1137" s="30" t="str">
        <x:v>deepseek-v4-flash</x:v>
      </x:c>
      <x:c r="J1137" s="30" t="str">
        <x:v>ced5aad4f0660a2ae4c8cc32ec9f3eae8750cdfc7406b7d8926a620126239659</x:v>
      </x:c>
      <x:c r="K1137" s="30" t="str">
        <x:v>469f34dc6ef61b8ba76684909d2e63b9903cf5f8f65f3d48eda1dce68cdae1c8</x:v>
      </x:c>
      <x:c r="L1137" s="30" t="n">
        <x:v>573.37</x:v>
      </x:c>
      <x:c r="M1137" s="30" t="str">
        <x:v>{"completion_tokens": 6, "prompt_tokens": 609, "total_tokens": 615, "completion_tokens_details": null, "prompt_tokens_details": {"audio_tokens": null, "cached_tokens": 512}, "prompt_cache_hit_tokens": 512, "prompt_cache_miss_tokens": 97}</x:v>
      </x:c>
      <x:c r="N1137" s="30" t="str">
        <x:v>hallucination</x:v>
      </x:c>
      <x:c r="O1137" s="30" t="str">
        <x:v>The gold answer specifies 'eco-friendly restaurants with sustainable and healthy options,' which is a general category of restaurants. The model answer narrows this to 'eco-friendly fast food chains,' introducing the specific concept of 'fast food chains' which is not supported by the gold answer and contradicts the healthy/sustainable emphasis typically associated with such restaurants.</x:v>
      </x:c>
      <x:c r="P1137" s="30" t="str">
        <x:v>LongCat-2.0</x:v>
      </x:c>
      <x:c r="Q1137" s="30" t="str">
        <x:v>LongCat-2.0</x:v>
      </x:c>
      <x:c r="R1137" s="30" t="n">
        <x:v>3882.82</x:v>
      </x:c>
      <x:c r="S1137" s="30" t="str">
        <x:v>{"completion_tokens": 80, "prompt_tokens": 157, "total_tokens": 237,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8">
      <x:c r="A1138" s="30" t="str">
        <x:v>memos_medium:942</x:v>
      </x:c>
      <x:c r="B1138" s="30" t="str">
        <x:v>medium</x:v>
      </x:c>
      <x:c r="C1138" s="30" t="str">
        <x:v>Generalization &amp; Application</x:v>
      </x:c>
      <x:c r="D1138" s="30" t="n">
        <x:v>3</x:v>
      </x:c>
      <x:c r="E1138" s="30" t="str">
        <x:v>What type of new restaurants might Donna be interested in visiting after January 12, 2031?</x:v>
      </x:c>
      <x:c r="F1138" s="30" t="str">
        <x:v>Eco-friendly restaurants with sustainable and healthy options.</x:v>
      </x:c>
      <x:c r="G1138" s="30" t="str">
        <x:v>Eco-friendly fast food chains</x:v>
      </x:c>
      <x:c r="H1138" s="30" t="str">
        <x:v>deepseek-v4-flash</x:v>
      </x:c>
      <x:c r="I1138" s="30" t="str">
        <x:v>deepseek-v4-flash</x:v>
      </x:c>
      <x:c r="J1138" s="30" t="str">
        <x:v>ced5aad4f0660a2ae4c8cc32ec9f3eae8750cdfc7406b7d8926a620126239659</x:v>
      </x:c>
      <x:c r="K1138" s="30" t="str">
        <x:v>469f34dc6ef61b8ba76684909d2e63b9903cf5f8f65f3d48eda1dce68cdae1c8</x:v>
      </x:c>
      <x:c r="L1138" s="30" t="n">
        <x:v>664.18</x:v>
      </x:c>
      <x:c r="M1138" s="30" t="str">
        <x:v>{"completion_tokens": 6, "prompt_tokens": 609, "total_tokens": 615, "completion_tokens_details": null, "prompt_tokens_details": {"audio_tokens": null, "cached_tokens": 512}, "prompt_cache_hit_tokens": 512, "prompt_cache_miss_tokens": 97}</x:v>
      </x:c>
      <x:c r="N1138" s="30" t="str">
        <x:v>hallucination</x:v>
      </x:c>
      <x:c r="O1138" s="30" t="str">
        <x:v>The gold answer specifies 'eco-friendly restaurants with sustainable and healthy options,' which emphasizes sustainability and health. The model answer changes this to 'eco-friendly fast food chains,' introducing 'fast food chains' — a concrete, unsupported claim that contradicts the healthy and sustainable focus of the gold answer.</x:v>
      </x:c>
      <x:c r="P1138" s="30" t="str">
        <x:v>LongCat-2.0</x:v>
      </x:c>
      <x:c r="Q1138" s="30" t="str">
        <x:v>LongCat-2.0</x:v>
      </x:c>
      <x:c r="R1138" s="30" t="n">
        <x:v>3020.17</x:v>
      </x:c>
      <x:c r="S1138" s="30" t="str">
        <x:v>{"completion_tokens": 71, "prompt_tokens": 157, "total_tokens": 228,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39">
      <x:c r="A1139" s="30" t="str">
        <x:v>memos_medium:972</x:v>
      </x:c>
      <x:c r="B1139" s="30" t="str">
        <x:v>medium</x:v>
      </x:c>
      <x:c r="C1139" s="30" t="str">
        <x:v>Generalization &amp; Application</x:v>
      </x:c>
      <x:c r="D1139" s="30" t="n">
        <x:v>1</x:v>
      </x:c>
      <x:c r="E1139" s="30" t="str">
        <x:v>What type of snack might Donna prefer at a future health expo?</x:v>
      </x:c>
      <x:c r="F1139" s="30" t="str">
        <x:v>Snacks made with natural ingredients.</x:v>
      </x:c>
      <x:c r="G1139" s="30" t="str">
        <x:v>Natural processed snacks</x:v>
      </x:c>
      <x:c r="H1139" s="30" t="str">
        <x:v>deepseek-v4-flash</x:v>
      </x:c>
      <x:c r="I1139" s="30" t="str">
        <x:v>deepseek-v4-flash</x:v>
      </x:c>
      <x:c r="J1139" s="30" t="str">
        <x:v>4d02d559bb473c06b4ec12e669c180c29e4c3da09b1aef12fdc8ee66a091d4db</x:v>
      </x:c>
      <x:c r="K1139" s="30" t="str">
        <x:v>8573e9acd9e849fc8fbc86278db63efd909616e6701d547c3f23393bfe509a3a</x:v>
      </x:c>
      <x:c r="L1139" s="30" t="n">
        <x:v>663.67</x:v>
      </x:c>
      <x:c r="M1139" s="30" t="str">
        <x:v>{"completion_tokens": 3, "prompt_tokens": 575, "total_tokens": 578, "completion_tokens_details": null, "prompt_tokens_details": {"audio_tokens": null, "cached_tokens": 512}, "prompt_cache_hit_tokens": 512, "prompt_cache_miss_tokens": 63}</x:v>
      </x:c>
      <x:c r="N1139" s="30" t="str">
        <x:v>hallucination</x:v>
      </x:c>
      <x:c r="O1139"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P1139" s="30" t="str">
        <x:v>LongCat-2.0</x:v>
      </x:c>
      <x:c r="Q1139" s="30" t="str">
        <x:v>LongCat-2.0</x:v>
      </x:c>
      <x:c r="R1139" s="30" t="n">
        <x:v>3508.41</x:v>
      </x:c>
      <x:c r="S1139" s="30" t="str">
        <x:v>{"completion_tokens": 67, "prompt_tokens": 142,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40">
      <x:c r="A1140" s="30" t="str">
        <x:v>memos_medium:972</x:v>
      </x:c>
      <x:c r="B1140" s="30" t="str">
        <x:v>medium</x:v>
      </x:c>
      <x:c r="C1140" s="30" t="str">
        <x:v>Generalization &amp; Application</x:v>
      </x:c>
      <x:c r="D1140" s="30" t="n">
        <x:v>2</x:v>
      </x:c>
      <x:c r="E1140" s="30" t="str">
        <x:v>What type of snack might Donna prefer at a future health expo?</x:v>
      </x:c>
      <x:c r="F1140" s="30" t="str">
        <x:v>Snacks made with natural ingredients.</x:v>
      </x:c>
      <x:c r="G1140" s="30" t="str">
        <x:v>Natural processed snacks</x:v>
      </x:c>
      <x:c r="H1140" s="30" t="str">
        <x:v>deepseek-v4-flash</x:v>
      </x:c>
      <x:c r="I1140" s="30" t="str">
        <x:v>deepseek-v4-flash</x:v>
      </x:c>
      <x:c r="J1140" s="30" t="str">
        <x:v>4d02d559bb473c06b4ec12e669c180c29e4c3da09b1aef12fdc8ee66a091d4db</x:v>
      </x:c>
      <x:c r="K1140" s="30" t="str">
        <x:v>8573e9acd9e849fc8fbc86278db63efd909616e6701d547c3f23393bfe509a3a</x:v>
      </x:c>
      <x:c r="L1140" s="30" t="n">
        <x:v>741.47</x:v>
      </x:c>
      <x:c r="M1140" s="30" t="str">
        <x:v>{"completion_tokens": 3, "prompt_tokens": 575, "total_tokens": 578, "completion_tokens_details": null, "prompt_tokens_details": {"audio_tokens": null, "cached_tokens": 512}, "prompt_cache_hit_tokens": 512, "prompt_cache_miss_tokens": 63}</x:v>
      </x:c>
      <x:c r="N1140" s="30" t="str">
        <x:v>hallucination</x:v>
      </x:c>
      <x:c r="O1140" s="30" t="str">
        <x:v>The gold answer specifies 'snacks made with natural ingredients,' which implies whole or minimally processed foods. The model answer 'Natural processed snacks' introduces the concept of 'processed,' which contradicts the spirit of the gold answer by implying a level of processing that is not supported by and is inconsistent with the gold answer's emphasis on natural ingredients.</x:v>
      </x:c>
      <x:c r="P1140" s="30" t="str">
        <x:v>LongCat-2.0</x:v>
      </x:c>
      <x:c r="Q1140" s="30" t="str">
        <x:v>LongCat-2.0</x:v>
      </x:c>
      <x:c r="R1140" s="30" t="n">
        <x:v>4043.4</x:v>
      </x:c>
      <x:c r="S1140" s="30" t="str">
        <x:v>{"completion_tokens": 80, "prompt_tokens": 142, "total_tokens": 222,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41">
      <x:c r="A1141" s="30" t="str">
        <x:v>memos_medium:972</x:v>
      </x:c>
      <x:c r="B1141" s="30" t="str">
        <x:v>medium</x:v>
      </x:c>
      <x:c r="C1141" s="30" t="str">
        <x:v>Generalization &amp; Application</x:v>
      </x:c>
      <x:c r="D1141" s="30" t="n">
        <x:v>3</x:v>
      </x:c>
      <x:c r="E1141" s="30" t="str">
        <x:v>What type of snack might Donna prefer at a future health expo?</x:v>
      </x:c>
      <x:c r="F1141" s="30" t="str">
        <x:v>Snacks made with natural ingredients.</x:v>
      </x:c>
      <x:c r="G1141" s="30" t="str">
        <x:v>Natural processed snacks</x:v>
      </x:c>
      <x:c r="H1141" s="30" t="str">
        <x:v>deepseek-v4-flash</x:v>
      </x:c>
      <x:c r="I1141" s="30" t="str">
        <x:v>deepseek-v4-flash</x:v>
      </x:c>
      <x:c r="J1141" s="30" t="str">
        <x:v>4d02d559bb473c06b4ec12e669c180c29e4c3da09b1aef12fdc8ee66a091d4db</x:v>
      </x:c>
      <x:c r="K1141" s="30" t="str">
        <x:v>8573e9acd9e849fc8fbc86278db63efd909616e6701d547c3f23393bfe509a3a</x:v>
      </x:c>
      <x:c r="L1141" s="30" t="n">
        <x:v>843.31</x:v>
      </x:c>
      <x:c r="M1141" s="30" t="str">
        <x:v>{"completion_tokens": 3, "prompt_tokens": 575, "total_tokens": 578, "completion_tokens_details": null, "prompt_tokens_details": {"audio_tokens": null, "cached_tokens": 512}, "prompt_cache_hit_tokens": 512, "prompt_cache_miss_tokens": 63}</x:v>
      </x:c>
      <x:c r="N1141" s="30" t="str">
        <x:v>hallucination</x:v>
      </x:c>
      <x:c r="O1141" s="30" t="str">
        <x:v>The gold answer specifies 'snacks made with natural ingredients,' which implies whole or minimally processed foods. The model answer 'Natural processed snacks' introduces the concept of 'processed,' which contradicts the emphasis on natural, unprocessed ingredients in the gold answer and adds unsupported material.</x:v>
      </x:c>
      <x:c r="P1141" s="30" t="str">
        <x:v>LongCat-2.0</x:v>
      </x:c>
      <x:c r="Q1141" s="30" t="str">
        <x:v>LongCat-2.0</x:v>
      </x:c>
      <x:c r="R1141" s="30" t="n">
        <x:v>2355.76</x:v>
      </x:c>
      <x:c r="S1141" s="30" t="str">
        <x:v>{"completion_tokens": 67, "prompt_tokens": 142, "total_tokens": 209,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42">
      <x:c r="A1142" s="30" t="str">
        <x:v>memos_medium:975</x:v>
      </x:c>
      <x:c r="B1142" s="30" t="str">
        <x:v>medium</x:v>
      </x:c>
      <x:c r="C1142" s="30" t="str">
        <x:v>Memory Conflict</x:v>
      </x:c>
      <x:c r="D1142" s="30" t="n">
        <x:v>1</x:v>
      </x:c>
      <x:c r="E1142" s="30" t="str">
        <x:v>Did Donna express gratitude only towards Sarah and Karen during her reflection on March 01, 2034?</x:v>
      </x:c>
      <x:c r="F1142" s="30" t="str">
        <x:v>No, she also expressed gratitude towards Anthony.</x:v>
      </x:c>
      <x:c r="G1142" s="30" t="str">
        <x:v>No, also Anthony.</x:v>
      </x:c>
      <x:c r="H1142" s="30" t="str">
        <x:v>deepseek-v4-flash</x:v>
      </x:c>
      <x:c r="I1142" s="30" t="str">
        <x:v>deepseek-v4-flash</x:v>
      </x:c>
      <x:c r="J1142" s="30" t="str">
        <x:v>75bc450d557911224ea97cf78ccf9b610e14636e40a9c1052f725c018ffbbec8</x:v>
      </x:c>
      <x:c r="K1142" s="30" t="str">
        <x:v>7f33ac891ef38365c7ccc3c7619e70ef93a8826213f5634f7824ed6322cee3f2</x:v>
      </x:c>
      <x:c r="L1142" s="30" t="n">
        <x:v>568.66</x:v>
      </x:c>
      <x:c r="M1142" s="30" t="str">
        <x:v>{"completion_tokens": 5, "prompt_tokens": 575, "total_tokens": 580, "completion_tokens_details": null, "prompt_tokens_details": {"audio_tokens": null, "cached_tokens": 512}, "prompt_cache_hit_tokens": 512, "prompt_cache_miss_tokens": 63}</x:v>
      </x:c>
      <x:c r="N1142" s="30" t="str">
        <x:v>correct</x:v>
      </x:c>
      <x:c r="O1142" s="30" t="str">
        <x:v>The model answer 'No, also Anthony' semantically conveys the complete gold answer 'No, she also expressed gratitude towards Anthony.' The wording is abbreviated but fully captures the meaning without contradiction or omission.</x:v>
      </x:c>
      <x:c r="P1142" s="30" t="str">
        <x:v>LongCat-2.0</x:v>
      </x:c>
      <x:c r="Q1142" s="30" t="str">
        <x:v>LongCat-2.0</x:v>
      </x:c>
      <x:c r="R1142" s="30" t="n">
        <x:v>3433.38</x:v>
      </x:c>
      <x:c r="S1142" s="30" t="str">
        <x:v>{"completion_tokens": 51, "prompt_tokens": 155, "total_tokens": 206, "completion_tokens_details": null, "prompt_tokens_details": {"audio_tokens": 0, "cached_tokens": 0, "image_tokens": 0, "video_tokens": 0, "text_tokens": 0}, "effectiveCachedTokens": 0, "cache_write_tokens": 0, "cache_read_tokens": 0, "input_tokens": 0, "output_tokens": 0, "output_tokens_details": null, "cached_tokens": 0}</x:v>
      </x:c>
    </x:row>
    <x:row r="1143">
      <x:c r="A1143" s="30" t="str">
        <x:v>memos_medium:975</x:v>
      </x:c>
      <x:c r="B1143" s="30" t="str">
        <x:v>medium</x:v>
      </x:c>
      <x:c r="C1143" s="30" t="str">
        <x:v>Memory Conflict</x:v>
      </x:c>
      <x:c r="D1143" s="30" t="n">
        <x:v>2</x:v>
      </x:c>
      <x:c r="E1143" s="30" t="str">
        <x:v>Did Donna express gratitude only towards Sarah and Karen during her reflection on March 01, 2034?</x:v>
      </x:c>
      <x:c r="F1143" s="30" t="str">
        <x:v>No, she also expressed gratitude towards Anthony.</x:v>
      </x:c>
      <x:c r="G1143" s="30" t="str">
        <x:v>No, also Anthony.</x:v>
      </x:c>
      <x:c r="H1143" s="30" t="str">
        <x:v>deepseek-v4-flash</x:v>
      </x:c>
      <x:c r="I1143" s="30" t="str">
        <x:v>deepseek-v4-flash</x:v>
      </x:c>
      <x:c r="J1143" s="30" t="str">
        <x:v>75bc450d557911224ea97cf78ccf9b610e14636e40a9c1052f725c018ffbbec8</x:v>
      </x:c>
      <x:c r="K1143" s="30" t="str">
        <x:v>7f33ac891ef38365c7ccc3c7619e70ef93a8826213f5634f7824ed6322cee3f2</x:v>
      </x:c>
      <x:c r="L1143" s="30" t="n">
        <x:v>576.21</x:v>
      </x:c>
      <x:c r="M1143" s="30" t="str">
        <x:v>{"completion_tokens": 5, "prompt_tokens": 575, "total_tokens": 580, "completion_tokens_details": null, "prompt_tokens_details": {"audio_tokens": null, "cached_tokens": 512}, "prompt_cache_hit_tokens": 512, "prompt_cache_miss_tokens": 63}</x:v>
      </x:c>
      <x:c r="N1143" s="30" t="str">
        <x:v>correct</x:v>
      </x:c>
      <x:c r="O1143" s="30" t="str">
        <x:v>The model answer 'No, also Anthony' semantically conveys the complete gold answer 'No, she also expressed gratitude towards Anthony.' The wording is abbreviated but fully captures the meaning without contradiction or omission.</x:v>
      </x:c>
      <x:c r="P1143" s="30" t="str">
        <x:v>LongCat-2.0</x:v>
      </x:c>
      <x:c r="Q1143" s="30" t="str">
        <x:v>LongCat-2.0</x:v>
      </x:c>
      <x:c r="R1143" s="30" t="n">
        <x:v>2919.87</x:v>
      </x:c>
      <x:c r="S1143" s="30" t="str">
        <x:v>{"completion_tokens": 51, "prompt_tokens": 155, "total_tokens": 206,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row r="1144">
      <x:c r="A1144" s="31" t="str">
        <x:v>memos_medium:975</x:v>
      </x:c>
      <x:c r="B1144" s="31" t="str">
        <x:v>medium</x:v>
      </x:c>
      <x:c r="C1144" s="31" t="str">
        <x:v>Memory Conflict</x:v>
      </x:c>
      <x:c r="D1144" s="31" t="n">
        <x:v>3</x:v>
      </x:c>
      <x:c r="E1144" s="31" t="str">
        <x:v>Did Donna express gratitude only towards Sarah and Karen during her reflection on March 01, 2034?</x:v>
      </x:c>
      <x:c r="F1144" s="31" t="str">
        <x:v>No, she also expressed gratitude towards Anthony.</x:v>
      </x:c>
      <x:c r="G1144" s="31" t="str">
        <x:v>No, also Anthony.</x:v>
      </x:c>
      <x:c r="H1144" s="31" t="str">
        <x:v>deepseek-v4-flash</x:v>
      </x:c>
      <x:c r="I1144" s="31" t="str">
        <x:v>deepseek-v4-flash</x:v>
      </x:c>
      <x:c r="J1144" s="31" t="str">
        <x:v>75bc450d557911224ea97cf78ccf9b610e14636e40a9c1052f725c018ffbbec8</x:v>
      </x:c>
      <x:c r="K1144" s="31" t="str">
        <x:v>7f33ac891ef38365c7ccc3c7619e70ef93a8826213f5634f7824ed6322cee3f2</x:v>
      </x:c>
      <x:c r="L1144" s="31" t="n">
        <x:v>842.16</x:v>
      </x:c>
      <x:c r="M1144" s="31" t="str">
        <x:v>{"completion_tokens": 5, "prompt_tokens": 575, "total_tokens": 580, "completion_tokens_details": null, "prompt_tokens_details": {"audio_tokens": null, "cached_tokens": 512}, "prompt_cache_hit_tokens": 512, "prompt_cache_miss_tokens": 63}</x:v>
      </x:c>
      <x:c r="N1144" s="31" t="str">
        <x:v>correct</x:v>
      </x:c>
      <x:c r="O1144" s="31" t="str">
        <x:v>The model answer 'No, also Anthony' semantically conveys the complete gold answer 'No, she also expressed gratitude towards Anthony.' The wording differs slightly but the meaning is identical, and no information is missing or incorrect.</x:v>
      </x:c>
      <x:c r="P1144" s="31" t="str">
        <x:v>LongCat-2.0</x:v>
      </x:c>
      <x:c r="Q1144" s="31" t="str">
        <x:v>LongCat-2.0</x:v>
      </x:c>
      <x:c r="R1144" s="31" t="n">
        <x:v>3173.5</x:v>
      </x:c>
      <x:c r="S1144" s="31" t="str">
        <x:v>{"completion_tokens": 55, "prompt_tokens": 155, "total_tokens": 210, "completion_tokens_details": null, "prompt_tokens_details": {"audio_tokens": 0, "cached_tokens": 128, "image_tokens": 0, "video_tokens": 0, "text_tokens": 0}, "effectiveCachedTokens": 128, "cache_write_tokens": 0, "cache_read_tokens": 0, "input_tokens": 0, "output_tokens": 0, "output_tokens_details": null, "cached_tokens": 0}</x:v>
      </x:c>
    </x:row>
  </x:sheetData>
  <x:pageMargins left="0.7" right="0.7" top="0.75" bottom="0.75" header="0.3" footer="0.3"/>
  <x:tableParts count="1">
    <x:tablePart xmlns:r="http://schemas.openxmlformats.org/officeDocument/2006/relationships" r:id="Refc03558c9d34fe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3.75" hidden="0" customWidth="1"/>
    <x:col min="2" max="2" width="16.25" hidden="0" customWidth="1"/>
    <x:col min="3" max="3" width="16.25" hidden="0" customWidth="1"/>
    <x:col min="5" max="5" width="30" hidden="0" customWidth="1"/>
    <x:col min="6" max="6" width="18.1299991607666" hidden="0" customWidth="1"/>
    <x:col min="7" max="7" width="18.1299991607666" hidden="0" customWidth="1"/>
  </x:cols>
  <x:sheetData>
    <x:row r="1">
      <x:c r="A1" s="2" t="str">
        <x:v>Generation Failure 审核汇总</x:v>
      </x:c>
      <x:c r="B1" s="2"/>
      <x:c r="C1" s="2"/>
      <x:c r="D1" s="2"/>
      <x:c r="E1" s="2"/>
      <x:c r="F1" s="2"/>
      <x:c r="G1" s="2"/>
      <x:c r="H1" s="2"/>
    </x:row>
    <x:row r="3">
      <x:c r="A3" s="38" t="str">
        <x:v>候选总数</x:v>
      </x:c>
      <x:c r="B3" s="39" t="n">
        <x:v>381</x:v>
      </x:c>
    </x:row>
    <x:row r="4">
      <x:c r="A4" s="38" t="str">
        <x:v>已完成人工审核</x:v>
      </x:c>
      <x:c r="B4" s="39" t="n">
        <x:f>COUNTIF('人工审核'!$V$2:$V$382,"完成")</x:f>
        <x:v>0</x:v>
      </x:c>
    </x:row>
    <x:row r="5">
      <x:c r="A5" s="38" t="str">
        <x:v>审核完成率</x:v>
      </x:c>
      <x:c r="B5" s="40" t="n">
        <x:f>B4/B3</x:f>
        <x:v>0</x:v>
      </x:c>
    </x:row>
    <x:row r="6">
      <x:c r="A6" s="38" t="str">
        <x:v>机器 robust failure</x:v>
      </x:c>
      <x:c r="B6" s="39" t="n">
        <x:f>COUNTIF('机器判定'!$E$2:$E$382,"robust_generation_failure")</x:f>
        <x:v>151</x:v>
      </x:c>
    </x:row>
    <x:row r="9" ht="25.5" customHeight="1">
      <x:c r="A9" s="19" t="str">
        <x:v>最终分类</x:v>
      </x:c>
      <x:c r="B9" s="20" t="str">
        <x:v>机器数量</x:v>
      </x:c>
      <x:c r="C9" s="21" t="str">
        <x:v>人工数量</x:v>
      </x:c>
      <x:c r="E9" s="19" t="str">
        <x:v>数据集</x:v>
      </x:c>
      <x:c r="F9" s="20" t="str">
        <x:v>候选数</x:v>
      </x:c>
      <x:c r="G9" s="21" t="str">
        <x:v>人工 robust failure</x:v>
      </x:c>
    </x:row>
    <x:row r="10">
      <x:c r="A10" s="41" t="str">
        <x:v>robust_generation_failure</x:v>
      </x:c>
      <x:c r="B10" s="41" t="n">
        <x:f>COUNTIF('机器判定'!$E$2:$E$382,A10)</x:f>
        <x:v>151</x:v>
      </x:c>
      <x:c r="C10" s="41" t="n">
        <x:f>COUNTIF('人工审核'!$Q$2:$Q$382,A10)</x:f>
        <x:v>0</x:v>
      </x:c>
      <x:c r="E10" s="41" t="str">
        <x:v>medium</x:v>
      </x:c>
      <x:c r="F10" s="41" t="n">
        <x:f>COUNTIF('人工审核'!$C$2:$C$382,E10)</x:f>
        <x:v>190</x:v>
      </x:c>
      <x:c r="G10" s="41" t="n">
        <x:f>COUNTIFS('人工审核'!$C$2:$C$382,E10,'人工审核'!$Q$2:$Q$382,"robust_generation_failure")</x:f>
        <x:v>0</x:v>
      </x:c>
    </x:row>
    <x:row r="11">
      <x:c r="A11" s="41" t="str">
        <x:v>generation_instability</x:v>
      </x:c>
      <x:c r="B11" s="41" t="n">
        <x:f>COUNTIF('机器判定'!$E$2:$E$382,A11)</x:f>
        <x:v>4</x:v>
      </x:c>
      <x:c r="C11" s="41" t="n">
        <x:f>COUNTIF('人工审核'!$Q$2:$Q$382,A11)</x:f>
        <x:v>0</x:v>
      </x:c>
      <x:c r="E11" s="41" t="str">
        <x:v>long</x:v>
      </x:c>
      <x:c r="F11" s="41" t="n">
        <x:f>COUNTIF('人工审核'!$C$2:$C$382,E11)</x:f>
        <x:v>191</x:v>
      </x:c>
      <x:c r="G11" s="41" t="n">
        <x:f>COUNTIFS('人工审核'!$C$2:$C$382,E11,'人工审核'!$Q$2:$Q$382,"robust_generation_failure")</x:f>
        <x:v>0</x:v>
      </x:c>
    </x:row>
    <x:row r="12">
      <x:c r="A12" s="41" t="str">
        <x:v>ua3_representation_or_admission_failure</x:v>
      </x:c>
      <x:c r="B12" s="41" t="n">
        <x:f>COUNTIF('机器判定'!$E$2:$E$382,A12)</x:f>
        <x:v>144</x:v>
      </x:c>
      <x:c r="C12" s="41" t="n">
        <x:f>COUNTIF('人工审核'!$Q$2:$Q$382,A12)</x:f>
        <x:v>0</x:v>
      </x:c>
    </x:row>
    <x:row r="13">
      <x:c r="A13" s="41" t="str">
        <x:v>evidence_definition_failure</x:v>
      </x:c>
      <x:c r="B13" s="41" t="n">
        <x:f>COUNTIF('机器判定'!$E$2:$E$382,A13)</x:f>
        <x:v>82</x:v>
      </x:c>
      <x:c r="C13" s="41" t="n">
        <x:f>COUNTIF('人工审核'!$Q$2:$Q$382,A13)</x:f>
        <x:v>0</x:v>
      </x:c>
    </x:row>
    <x:row r="14" ht="25.5" customHeight="1">
      <x:c r="A14" s="41" t="str">
        <x:v>unresolved</x:v>
      </x:c>
      <x:c r="B14" s="41" t="n">
        <x:f>COUNTIF('机器判定'!$E$2:$E$382,A14)</x:f>
        <x:v>0</x:v>
      </x:c>
      <x:c r="C14" s="41" t="n">
        <x:f>COUNTIF('人工审核'!$Q$2:$Q$382,A14)</x:f>
        <x:v>0</x:v>
      </x:c>
      <x:c r="E14" s="19" t="str">
        <x:v>问题类型</x:v>
      </x:c>
      <x:c r="F14" s="20" t="str">
        <x:v>候选数</x:v>
      </x:c>
      <x:c r="G14" s="21" t="str">
        <x:v>人工 robust failure</x:v>
      </x:c>
    </x:row>
    <x:row r="15">
      <x:c r="E15" s="41" t="str">
        <x:v>Basic Fact Recall</x:v>
      </x:c>
      <x:c r="F15" s="41" t="n">
        <x:f>COUNTIF('人工审核'!$D$2:$D$382,E15)</x:f>
        <x:v>75</x:v>
      </x:c>
      <x:c r="G15" s="41" t="n">
        <x:f>COUNTIFS('人工审核'!$D$2:$D$382,E15,'人工审核'!$Q$2:$Q$382,"robust_generation_failure")</x:f>
        <x:v>0</x:v>
      </x:c>
    </x:row>
    <x:row r="16">
      <x:c r="E16" s="41" t="str">
        <x:v>Generalization &amp; Application</x:v>
      </x:c>
      <x:c r="F16" s="41" t="n">
        <x:f>COUNTIF('人工审核'!$D$2:$D$382,E16)</x:f>
        <x:v>183</x:v>
      </x:c>
      <x:c r="G16" s="41" t="n">
        <x:f>COUNTIFS('人工审核'!$D$2:$D$382,E16,'人工审核'!$Q$2:$Q$382,"robust_generation_failure")</x:f>
        <x:v>0</x:v>
      </x:c>
    </x:row>
    <x:row r="17">
      <x:c r="E17" s="41" t="str">
        <x:v>Multi-hop Inference</x:v>
      </x:c>
      <x:c r="F17" s="41" t="n">
        <x:f>COUNTIF('人工审核'!$D$2:$D$382,E17)</x:f>
        <x:v>54</x:v>
      </x:c>
      <x:c r="G17" s="41" t="n">
        <x:f>COUNTIFS('人工审核'!$D$2:$D$382,E17,'人工审核'!$Q$2:$Q$382,"robust_generation_failure")</x:f>
        <x:v>0</x:v>
      </x:c>
    </x:row>
    <x:row r="18">
      <x:c r="E18" s="41" t="str">
        <x:v>Memory Conflict</x:v>
      </x:c>
      <x:c r="F18" s="41" t="n">
        <x:f>COUNTIF('人工审核'!$D$2:$D$382,E18)</x:f>
        <x:v>40</x:v>
      </x:c>
      <x:c r="G18" s="41" t="n">
        <x:f>COUNTIFS('人工审核'!$D$2:$D$382,E18,'人工审核'!$Q$2:$Q$382,"robust_generation_failure")</x:f>
        <x:v>0</x:v>
      </x:c>
    </x:row>
    <x:row r="19">
      <x:c r="E19" s="41" t="str">
        <x:v>Dynamic Update</x:v>
      </x:c>
      <x:c r="F19" s="41" t="n">
        <x:f>COUNTIF('人工审核'!$D$2:$D$382,E19)</x:f>
        <x:v>29</x:v>
      </x:c>
      <x:c r="G19" s="41" t="n">
        <x:f>COUNTIFS('人工审核'!$D$2:$D$382,E19,'人工审核'!$Q$2:$Q$382,"robust_generation_failure")</x:f>
        <x:v>0</x:v>
      </x:c>
    </x:row>
  </x:sheetData>
  <x:mergeCells>
    <x:mergeCell ref="A1:H1"/>
  </x:mergeCells>
  <x:pageMargins left="0.7" right="0.7" top="0.75" bottom="0.75" header="0.3" footer="0.3"/>
</x:worksheet>
</file>
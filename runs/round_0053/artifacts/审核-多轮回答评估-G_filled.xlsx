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5600" windowHeight="12080" tabRatio="600" firstSheet="0" activeTab="0" autoFilterDateGrouping="1"/>
  </bookViews>
  <sheets>
    <sheet xmlns:r="http://schemas.openxmlformats.org/officeDocument/2006/relationships" name="人工审核" sheetId="1" state="visible" r:id="rId1"/>
  </sheets>
  <definedNames/>
  <calcPr calcId="191029" fullCalcOnLoad="1"/>
</workbook>
</file>

<file path=xl/styles.xml><?xml version="1.0" encoding="utf-8"?>
<styleSheet xmlns="http://schemas.openxmlformats.org/spreadsheetml/2006/main">
  <numFmts count="1">
    <numFmt numFmtId="164" formatCode="yyyy\-mm\-dd"/>
  </numFmts>
  <fonts count="24">
    <font>
      <name val="宋体"/>
      <charset val="134"/>
      <color theme="1"/>
      <sz val="11"/>
      <scheme val="minor"/>
    </font>
    <font>
      <name val="Carlito"/>
      <charset val="134"/>
      <sz val="11"/>
    </font>
    <font>
      <name val="Carlito"/>
      <charset val="134"/>
      <b val="1"/>
      <color rgb="FFFFFFFF"/>
      <sz val="11"/>
    </font>
    <font>
      <name val="Carlito"/>
      <charset val="134"/>
      <color rgb="FF17212B"/>
      <sz val="10"/>
    </font>
    <font>
      <name val="Carlito"/>
      <charset val="134"/>
      <b val="1"/>
      <color rgb="FF17643B"/>
      <sz val="10"/>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5">
    <fill>
      <patternFill/>
    </fill>
    <fill>
      <patternFill patternType="gray125"/>
    </fill>
    <fill>
      <patternFill patternType="solid">
        <fgColor rgb="FF175C67"/>
        <bgColor indexed="64"/>
      </patternFill>
    </fill>
    <fill>
      <patternFill patternType="solid">
        <fgColor rgb="FFFFF7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style="thin">
        <color rgb="FFD7E1E3"/>
      </right>
      <top/>
      <bottom/>
      <diagonal/>
    </border>
    <border>
      <left style="thin">
        <color rgb="FFD7E1E3"/>
      </left>
      <right style="thin">
        <color rgb="FFD7E1E3"/>
      </right>
      <top/>
      <bottom/>
      <diagonal/>
    </border>
    <border>
      <left style="thin">
        <color rgb="FFD7E1E3"/>
      </left>
      <right/>
      <top/>
      <bottom/>
      <diagonal/>
    </border>
    <border>
      <left/>
      <right/>
      <top/>
      <bottom style="thin">
        <color rgb="FFE5E9EB"/>
      </bottom>
      <diagonal/>
    </border>
    <border>
      <left/>
      <right/>
      <top style="thin">
        <color rgb="FFE5E9EB"/>
      </top>
      <bottom style="thin">
        <color rgb="FFE5E9EB"/>
      </bottom>
      <diagonal/>
    </border>
    <border>
      <left/>
      <right/>
      <top style="thin">
        <color rgb="FFE5E9EB"/>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 fillId="0" borderId="0" applyAlignment="1">
      <alignment vertical="center"/>
    </xf>
    <xf numFmtId="0" fontId="6" fillId="0" borderId="0" applyAlignment="1">
      <alignment vertical="center"/>
    </xf>
    <xf numFmtId="0" fontId="0" fillId="4" borderId="7"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8" applyAlignment="1">
      <alignment vertical="center"/>
    </xf>
    <xf numFmtId="0" fontId="11" fillId="0" borderId="8" applyAlignment="1">
      <alignment vertical="center"/>
    </xf>
    <xf numFmtId="0" fontId="12" fillId="0" borderId="9" applyAlignment="1">
      <alignment vertical="center"/>
    </xf>
    <xf numFmtId="0" fontId="12" fillId="0" borderId="0" applyAlignment="1">
      <alignment vertical="center"/>
    </xf>
    <xf numFmtId="0" fontId="13" fillId="5" borderId="10" applyAlignment="1">
      <alignment vertical="center"/>
    </xf>
    <xf numFmtId="0" fontId="14" fillId="6" borderId="11" applyAlignment="1">
      <alignment vertical="center"/>
    </xf>
    <xf numFmtId="0" fontId="15" fillId="6" borderId="10" applyAlignment="1">
      <alignment vertical="center"/>
    </xf>
    <xf numFmtId="0" fontId="16" fillId="7" borderId="12" applyAlignment="1">
      <alignment vertical="center"/>
    </xf>
    <xf numFmtId="0" fontId="17" fillId="0" borderId="13" applyAlignment="1">
      <alignment vertical="center"/>
    </xf>
    <xf numFmtId="0" fontId="18" fillId="0" borderId="14"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3" fillId="12" borderId="0" applyAlignment="1">
      <alignment vertical="center"/>
    </xf>
    <xf numFmtId="0" fontId="23" fillId="13" borderId="0" applyAlignment="1">
      <alignment vertical="center"/>
    </xf>
    <xf numFmtId="0" fontId="22" fillId="14" borderId="0" applyAlignment="1">
      <alignment vertical="center"/>
    </xf>
    <xf numFmtId="0" fontId="22" fillId="15" borderId="0" applyAlignment="1">
      <alignment vertical="center"/>
    </xf>
    <xf numFmtId="0" fontId="23" fillId="16" borderId="0" applyAlignment="1">
      <alignment vertical="center"/>
    </xf>
    <xf numFmtId="0" fontId="23" fillId="17" borderId="0" applyAlignment="1">
      <alignment vertical="center"/>
    </xf>
    <xf numFmtId="0" fontId="22" fillId="18" borderId="0" applyAlignment="1">
      <alignment vertical="center"/>
    </xf>
    <xf numFmtId="0" fontId="22" fillId="19" borderId="0" applyAlignment="1">
      <alignment vertical="center"/>
    </xf>
    <xf numFmtId="0" fontId="23" fillId="20" borderId="0" applyAlignment="1">
      <alignment vertical="center"/>
    </xf>
    <xf numFmtId="0" fontId="23" fillId="21" borderId="0" applyAlignment="1">
      <alignment vertical="center"/>
    </xf>
    <xf numFmtId="0" fontId="22" fillId="22" borderId="0" applyAlignment="1">
      <alignment vertical="center"/>
    </xf>
    <xf numFmtId="0" fontId="22" fillId="23" borderId="0" applyAlignment="1">
      <alignment vertical="center"/>
    </xf>
    <xf numFmtId="0" fontId="23" fillId="24" borderId="0" applyAlignment="1">
      <alignment vertical="center"/>
    </xf>
    <xf numFmtId="0" fontId="23" fillId="25" borderId="0" applyAlignment="1">
      <alignment vertical="center"/>
    </xf>
    <xf numFmtId="0" fontId="22" fillId="26" borderId="0" applyAlignment="1">
      <alignment vertical="center"/>
    </xf>
    <xf numFmtId="0" fontId="22" fillId="27" borderId="0" applyAlignment="1">
      <alignment vertical="center"/>
    </xf>
    <xf numFmtId="0" fontId="23" fillId="28" borderId="0" applyAlignment="1">
      <alignment vertical="center"/>
    </xf>
    <xf numFmtId="0" fontId="23" fillId="29" borderId="0" applyAlignment="1">
      <alignment vertical="center"/>
    </xf>
    <xf numFmtId="0" fontId="22" fillId="30" borderId="0" applyAlignment="1">
      <alignment vertical="center"/>
    </xf>
    <xf numFmtId="0" fontId="22" fillId="31" borderId="0" applyAlignment="1">
      <alignment vertical="center"/>
    </xf>
    <xf numFmtId="0" fontId="23" fillId="32" borderId="0" applyAlignment="1">
      <alignment vertical="center"/>
    </xf>
    <xf numFmtId="0" fontId="23" fillId="33" borderId="0" applyAlignment="1">
      <alignment vertical="center"/>
    </xf>
    <xf numFmtId="0" fontId="22" fillId="34" borderId="0" applyAlignment="1">
      <alignment vertical="center"/>
    </xf>
    <xf numFmtId="0" fontId="1" fillId="0" borderId="0"/>
  </cellStyleXfs>
  <cellXfs count="19">
    <xf numFmtId="0" fontId="0" fillId="0" borderId="0" applyAlignment="1" pivotButton="0" quotePrefix="0" xfId="0">
      <alignment vertical="center"/>
    </xf>
    <xf numFmtId="0" fontId="1" fillId="0" borderId="0" pivotButton="0" quotePrefix="0" xfId="49"/>
    <xf numFmtId="0" fontId="2" fillId="2" borderId="1" applyAlignment="1" pivotButton="0" quotePrefix="0" xfId="49">
      <alignment vertical="center" wrapText="1"/>
    </xf>
    <xf numFmtId="0" fontId="2" fillId="2" borderId="2" applyAlignment="1" pivotButton="0" quotePrefix="0" xfId="49">
      <alignment vertical="center" wrapText="1"/>
    </xf>
    <xf numFmtId="0" fontId="2" fillId="2" borderId="3" applyAlignment="1" pivotButton="0" quotePrefix="0" xfId="49">
      <alignment vertical="center" wrapText="1"/>
    </xf>
    <xf numFmtId="0" fontId="3" fillId="0" borderId="4" applyAlignment="1" pivotButton="0" quotePrefix="0" xfId="49">
      <alignment vertical="top" wrapText="1"/>
    </xf>
    <xf numFmtId="0" fontId="3" fillId="3" borderId="4" applyAlignment="1" pivotButton="0" quotePrefix="0" xfId="49">
      <alignment vertical="top" wrapText="1"/>
    </xf>
    <xf numFmtId="164" fontId="3" fillId="3" borderId="4" applyAlignment="1" pivotButton="0" quotePrefix="0" xfId="49">
      <alignment vertical="top" wrapText="1"/>
    </xf>
    <xf numFmtId="0" fontId="4" fillId="0" borderId="4" applyAlignment="1" pivotButton="0" quotePrefix="0" xfId="49">
      <alignment vertical="top" wrapText="1"/>
    </xf>
    <xf numFmtId="0" fontId="3" fillId="0" borderId="5" applyAlignment="1" pivotButton="0" quotePrefix="0" xfId="49">
      <alignment vertical="top" wrapText="1"/>
    </xf>
    <xf numFmtId="0" fontId="3" fillId="3" borderId="5" applyAlignment="1" pivotButton="0" quotePrefix="0" xfId="49">
      <alignment vertical="top" wrapText="1"/>
    </xf>
    <xf numFmtId="164" fontId="3" fillId="3" borderId="5" applyAlignment="1" pivotButton="0" quotePrefix="0" xfId="49">
      <alignment vertical="top" wrapText="1"/>
    </xf>
    <xf numFmtId="0" fontId="3" fillId="0" borderId="6" applyAlignment="1" pivotButton="0" quotePrefix="0" xfId="49">
      <alignment vertical="top" wrapText="1"/>
    </xf>
    <xf numFmtId="0" fontId="3" fillId="3" borderId="6" applyAlignment="1" pivotButton="0" quotePrefix="0" xfId="49">
      <alignment vertical="top" wrapText="1"/>
    </xf>
    <xf numFmtId="164" fontId="3" fillId="3" borderId="6" applyAlignment="1" pivotButton="0" quotePrefix="0" xfId="49">
      <alignment vertical="top" wrapText="1"/>
    </xf>
    <xf numFmtId="0" fontId="0" fillId="0" borderId="0" pivotButton="0" quotePrefix="0" xfId="0"/>
    <xf numFmtId="164" fontId="3" fillId="3" borderId="4" applyAlignment="1" pivotButton="0" quotePrefix="0" xfId="49">
      <alignment vertical="top" wrapText="1"/>
    </xf>
    <xf numFmtId="164" fontId="3" fillId="3" borderId="5" applyAlignment="1" pivotButton="0" quotePrefix="0" xfId="49">
      <alignment vertical="top" wrapText="1"/>
    </xf>
    <xf numFmtId="164" fontId="3" fillId="3" borderId="6" applyAlignment="1" pivotButton="0" quotePrefix="0" xfId="49">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color rgb="FF9B2525"/>
      </font>
      <fill>
        <patternFill patternType="solid">
          <bgColor rgb="FFFCE2E2"/>
        </patternFill>
      </fill>
    </dxf>
    <dxf>
      <font>
        <b val="1"/>
        <color rgb="FF17643B"/>
      </font>
      <fill>
        <patternFill patternType="solid">
          <bgColor rgb="FFD9F2E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HumanAuditTable" displayName="HumanAuditTable" ref="A1:V382" headerRowCount="1" totalsRowShown="0">
  <autoFilter ref="A1:V382"/>
  <tableColumns count="22">
    <tableColumn id="1" name="审核序号"/>
    <tableColumn id="2" name="case_id"/>
    <tableColumn id="3" name="dataset"/>
    <tableColumn id="4" name="question_type"/>
    <tableColumn id="5" name="Question"/>
    <tableColumn id="6" name="Gold answer"/>
    <tableColumn id="7" name="Gold evidence"/>
    <tableColumn id="8" name="原 UA3 回答"/>
    <tableColumn id="9" name="新回答 1"/>
    <tableColumn id="10" name="新回答 2"/>
    <tableColumn id="11" name="新回答 3"/>
    <tableColumn id="12" name="人工_证据充分性"/>
    <tableColumn id="13" name="人工_Run1"/>
    <tableColumn id="14" name="人工_Run2"/>
    <tableColumn id="15" name="人工_Run3"/>
    <tableColumn id="16" name="建议最终分类"/>
    <tableColumn id="17" name="人工_最终分类"/>
    <tableColumn id="18" name="置信度"/>
    <tableColumn id="19" name="审核人"/>
    <tableColumn id="20" name="审核日期"/>
    <tableColumn id="21" name="审核备注"/>
    <tableColumn id="22" name="审核完成"/>
  </tableColumns>
  <tableStyleInfo name="TableStyleMedium2"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V382"/>
  <sheetViews>
    <sheetView showGridLines="0" tabSelected="1" zoomScale="130" zoomScaleNormal="130" workbookViewId="0">
      <selection activeCell="Q2" sqref="Q2"/>
    </sheetView>
  </sheetViews>
  <sheetFormatPr baseColWidth="8" defaultColWidth="9.81818181818182" defaultRowHeight="14"/>
  <cols>
    <col width="9.54545454545454" customWidth="1" style="1" min="1" max="1"/>
    <col width="19.7818181818182" customWidth="1" style="1" min="2" max="2"/>
    <col width="10.2363636363636" customWidth="1" style="1" min="3" max="3"/>
    <col width="24.5454545454545" customWidth="1" style="1" min="4" max="4"/>
    <col width="42.2727272727273" customWidth="1" style="1" min="5" max="5"/>
    <col width="31.3636363636364" customWidth="1" style="1" min="6" max="6"/>
    <col width="60" customWidth="1" style="1" min="7" max="7"/>
    <col width="30" customWidth="1" style="1" min="8" max="11"/>
    <col width="15.6909090909091" customWidth="1" style="1" min="12" max="12"/>
    <col width="10.9090909090909" customWidth="1" style="1" min="13" max="15"/>
    <col width="32.0545454545455" customWidth="1" style="1" min="16" max="17"/>
    <col width="10.2363636363636" customWidth="1" style="1" min="18" max="18"/>
    <col width="12.9636363636364" customWidth="1" style="1" min="19" max="19"/>
    <col width="13.6363636363636" customWidth="1" style="1" min="20" max="20"/>
    <col width="35.4545454545455" customWidth="1" style="1" min="21" max="21"/>
    <col width="12.2727272727273" customWidth="1" style="1" min="22" max="22"/>
    <col width="9.81818181818182" customWidth="1" style="1" min="23" max="16384"/>
  </cols>
  <sheetData>
    <row r="1" ht="25.5" customHeight="1" s="15">
      <c r="A1" s="2" t="inlineStr">
        <is>
          <t>审核序号</t>
        </is>
      </c>
      <c r="B1" s="3" t="inlineStr">
        <is>
          <t>case_id</t>
        </is>
      </c>
      <c r="C1" s="3" t="inlineStr">
        <is>
          <t>dataset</t>
        </is>
      </c>
      <c r="D1" s="3" t="inlineStr">
        <is>
          <t>question_type</t>
        </is>
      </c>
      <c r="E1" s="3" t="inlineStr">
        <is>
          <t>Question</t>
        </is>
      </c>
      <c r="F1" s="3" t="inlineStr">
        <is>
          <t>Gold answer</t>
        </is>
      </c>
      <c r="G1" s="3" t="inlineStr">
        <is>
          <t>Gold evidence</t>
        </is>
      </c>
      <c r="H1" s="3" t="inlineStr">
        <is>
          <t>原 UA3 回答</t>
        </is>
      </c>
      <c r="I1" s="3" t="inlineStr">
        <is>
          <t>新回答 1</t>
        </is>
      </c>
      <c r="J1" s="3" t="inlineStr">
        <is>
          <t>新回答 2</t>
        </is>
      </c>
      <c r="K1" s="3" t="inlineStr">
        <is>
          <t>新回答 3</t>
        </is>
      </c>
      <c r="L1" s="3" t="inlineStr">
        <is>
          <t>人工_证据充分性</t>
        </is>
      </c>
      <c r="M1" s="3" t="inlineStr">
        <is>
          <t>人工_Run1</t>
        </is>
      </c>
      <c r="N1" s="3" t="inlineStr">
        <is>
          <t>人工_Run2</t>
        </is>
      </c>
      <c r="O1" s="3" t="inlineStr">
        <is>
          <t>人工_Run3</t>
        </is>
      </c>
      <c r="P1" s="3" t="inlineStr">
        <is>
          <t>建议最终分类</t>
        </is>
      </c>
      <c r="Q1" s="3" t="inlineStr">
        <is>
          <t>人工_最终分类</t>
        </is>
      </c>
      <c r="R1" s="3" t="inlineStr">
        <is>
          <t>置信度</t>
        </is>
      </c>
      <c r="S1" s="3" t="inlineStr">
        <is>
          <t>审核人</t>
        </is>
      </c>
      <c r="T1" s="3" t="inlineStr">
        <is>
          <t>审核日期</t>
        </is>
      </c>
      <c r="U1" s="3" t="inlineStr">
        <is>
          <t>审核备注</t>
        </is>
      </c>
      <c r="V1" s="4" t="inlineStr">
        <is>
          <t>审核完成</t>
        </is>
      </c>
    </row>
    <row r="2" ht="63" customHeight="1" s="15">
      <c r="A2" s="5" t="n">
        <v>1</v>
      </c>
      <c r="B2" s="5" t="inlineStr">
        <is>
          <t>memos_medium:2634</t>
        </is>
      </c>
      <c r="C2" s="5" t="inlineStr">
        <is>
          <t>medium</t>
        </is>
      </c>
      <c r="D2" s="5" t="inlineStr">
        <is>
          <t>Multi-hop Inference</t>
        </is>
      </c>
      <c r="E2" s="5" t="inlineStr">
        <is>
          <t>What changes in Oleksandr's health and professional performance were observed by Apr 10, 2028?</t>
        </is>
      </c>
      <c r="F2" s="5" t="inlineStr">
        <is>
          <t>Improved health and renewed vigor in tackling cases.</t>
        </is>
      </c>
      <c r="G2" s="5" t="inlineStr">
        <is>
          <t># Authoritative benchmark gold evidence
The following evidence is authoritative for answering the current question. Use it directly and do not rely on conflicting information.
Evidence 1
Memory type: Persona Memory
Content: Oleksandr Shevchenko's physical health status improved due to adopting a more active lifestyle.
Evidence 2
Memory type: Event Memory
Content: Oleksandr Shevchenko's improved health positively impacted his professional performance, allowing him to tackle complex cases with renewed vigor.
Evidence 3
Memory type: Event Memory
Content: Oleksandr Shevchenko's improved wellbeing has enhanced his ability to handle challenges in his role as Senior Defense Lawyer.</t>
        </is>
      </c>
      <c r="H2" s="5" t="inlineStr">
        <is>
          <t>No relevant memories found.</t>
        </is>
      </c>
      <c r="I2" s="5" t="inlineStr">
        <is>
          <t>Improved health and performance.</t>
        </is>
      </c>
      <c r="J2" s="5" t="inlineStr">
        <is>
          <t>Improved health and performance.</t>
        </is>
      </c>
      <c r="K2" s="5" t="inlineStr">
        <is>
          <t>Improved health and performance.</t>
        </is>
      </c>
      <c r="L2" s="6" t="inlineStr">
        <is>
          <t>部分</t>
        </is>
      </c>
      <c r="M2" s="6" t="inlineStr">
        <is>
          <t>O</t>
        </is>
      </c>
      <c r="N2" s="6" t="inlineStr">
        <is>
          <t>O</t>
        </is>
      </c>
      <c r="O2" s="6" t="inlineStr">
        <is>
          <t>O</t>
        </is>
      </c>
      <c r="P2" s="5">
        <f>IF(COUNTA(L2:O2)&lt;4,"未完成",IF(OR(L2="部分",L2="不充分",L2="不确定"),"evidence_definition_failure",IF(L2&lt;&gt;"充分","unresolved",IF(COUNTIF(M2:O2,"C")=0,"robust_generation_failure",IF(COUNTIF(M2:O2,"C")=3,"ua3_representation_or_admission_failure","generation_instability")))))</f>
        <v/>
      </c>
      <c r="Q2" s="6" t="inlineStr">
        <is>
          <t>evidence_definition_failure</t>
        </is>
      </c>
      <c r="R2" s="6" t="inlineStr">
        <is>
          <t>高</t>
        </is>
      </c>
      <c r="S2" s="6" t="inlineStr"/>
      <c r="T2" s="16" t="n"/>
      <c r="U2" s="6" t="inlineStr"/>
      <c r="V2" s="8">
        <f>IF(AND(L2&lt;&gt;"",M2&lt;&gt;"",N2&lt;&gt;"",O2&lt;&gt;"",Q2&lt;&gt;"",R2&lt;&gt;""),"完成","未完成")</f>
        <v/>
      </c>
    </row>
    <row r="3" ht="63" customHeight="1" s="15">
      <c r="A3" s="9" t="n">
        <v>2</v>
      </c>
      <c r="B3" s="9" t="inlineStr">
        <is>
          <t>memos_medium:472</t>
        </is>
      </c>
      <c r="C3" s="9" t="inlineStr">
        <is>
          <t>medium</t>
        </is>
      </c>
      <c r="D3" s="9" t="inlineStr">
        <is>
          <t>Generalization &amp; Application</t>
        </is>
      </c>
      <c r="E3" s="9" t="inlineStr">
        <is>
          <t>What type of new cultural experiences might Donald Brown explore after January 30, 2033?</t>
        </is>
      </c>
      <c r="F3" s="9" t="inlineStr">
        <is>
          <t>Jazz, due to similar exploratory motivation.</t>
        </is>
      </c>
      <c r="G3" s="9" t="inlineStr">
        <is>
          <t># Authoritative benchmark gold evidence
The following evidence is authoritative for answering the current question. Use it directly and do not rely on conflicting information.
Evidence 1
Memory type: Persona Memory
Content: Donald Brown's exploratory motivation led him to reevaluate his perception of opera music after witnessing a live performance, similar to his experience with jazz.</t>
        </is>
      </c>
      <c r="H3" s="9" t="inlineStr">
        <is>
          <t>Live performances and opera.</t>
        </is>
      </c>
      <c r="I3" s="9" t="inlineStr">
        <is>
          <t>Opera music performances</t>
        </is>
      </c>
      <c r="J3" s="9" t="inlineStr">
        <is>
          <t>Opera music performances</t>
        </is>
      </c>
      <c r="K3" s="9" t="inlineStr">
        <is>
          <t>Opera music performances</t>
        </is>
      </c>
      <c r="L3" s="10" t="inlineStr">
        <is>
          <t>部分</t>
        </is>
      </c>
      <c r="M3" s="10" t="inlineStr">
        <is>
          <t>O</t>
        </is>
      </c>
      <c r="N3" s="10" t="inlineStr">
        <is>
          <t>O</t>
        </is>
      </c>
      <c r="O3" s="10" t="inlineStr">
        <is>
          <t>O</t>
        </is>
      </c>
      <c r="P3" s="9">
        <f>IF(COUNTA(L3:O3)&lt;4,"未完成",IF(OR(L3="部分",L3="不充分",L3="不确定"),"evidence_definition_failure",IF(L3&lt;&gt;"充分","unresolved",IF(COUNTIF(M3:O3,"C")=0,"robust_generation_failure",IF(COUNTIF(M3:O3,"C")=3,"ua3_representation_or_admission_failure","generation_instability")))))</f>
        <v/>
      </c>
      <c r="Q3" s="10" t="inlineStr">
        <is>
          <t>evidence_definition_failure</t>
        </is>
      </c>
      <c r="R3" s="10" t="inlineStr">
        <is>
          <t>低</t>
        </is>
      </c>
      <c r="S3" s="10" t="inlineStr">
        <is>
          <t>Kiro-AI代审</t>
        </is>
      </c>
      <c r="T3" s="17" t="n">
        <v>46218</v>
      </c>
      <c r="U3" s="10" t="inlineStr">
        <is>
          <t>证据实为重估opera,答opera有据非捏造</t>
        </is>
      </c>
      <c r="V3" s="9">
        <f>IF(AND(L3&lt;&gt;"",M3&lt;&gt;"",N3&lt;&gt;"",O3&lt;&gt;"",Q3&lt;&gt;"",R3&lt;&gt;""),"完成","未完成")</f>
        <v/>
      </c>
    </row>
    <row r="4" ht="63" customHeight="1" s="15">
      <c r="A4" s="9" t="n">
        <v>3</v>
      </c>
      <c r="B4" s="9" t="inlineStr">
        <is>
          <t>memos_medium:1151</t>
        </is>
      </c>
      <c r="C4" s="9" t="inlineStr">
        <is>
          <t>medium</t>
        </is>
      </c>
      <c r="D4" s="9" t="inlineStr">
        <is>
          <t>Generalization &amp; Application</t>
        </is>
      </c>
      <c r="E4" s="9" t="inlineStr">
        <is>
          <t>What type of professional development activities might Taylor engage in based on his evolving movie preferences as of Dec 17, 2033?</t>
        </is>
      </c>
      <c r="F4" s="9" t="inlineStr">
        <is>
          <t>Activities involving conflict resolution and human interaction insights.</t>
        </is>
      </c>
      <c r="G4" s="9" t="inlineStr">
        <is>
          <t># Authoritative benchmark gold evidence
The following evidence is authoritative for answering the current question. Use it directly and do not rely on conflicting information.
Evidence 1
Memory type: Persona Memory
Content: Taylor's movie preferences have evolved to include films with complex narratives involving violence to gain insights into conflict resolution.
Evidence 2
Memory type: Persona Memory
Content: Taylor appreciates movies with complex narratives for their depth in understanding human interactions and applies these insights to his advocacy work.
Evidence 3
Memory type: Persona Memory
Content: Taylor uses movies to gain perspective on conflict resolution and human interactions, integrating these insights into his professional endeavors.</t>
        </is>
      </c>
      <c r="H4" s="9" t="inlineStr">
        <is>
          <t>Analyzing violent films for insights.</t>
        </is>
      </c>
      <c r="I4" s="9" t="inlineStr">
        <is>
          <t>Conflict resolution workshops</t>
        </is>
      </c>
      <c r="J4" s="9" t="inlineStr">
        <is>
          <t>Conflict resolution workshops</t>
        </is>
      </c>
      <c r="K4" s="9" t="inlineStr">
        <is>
          <t>Conflict resolution training</t>
        </is>
      </c>
      <c r="L4" s="10" t="inlineStr">
        <is>
          <t>充分</t>
        </is>
      </c>
      <c r="M4" s="10" t="inlineStr">
        <is>
          <t>O</t>
        </is>
      </c>
      <c r="N4" s="10" t="inlineStr">
        <is>
          <t>O</t>
        </is>
      </c>
      <c r="O4" s="10" t="inlineStr">
        <is>
          <t>O</t>
        </is>
      </c>
      <c r="P4" s="9">
        <f>IF(COUNTA(L4:O4)&lt;4,"未完成",IF(OR(L4="部分",L4="不充分",L4="不确定"),"evidence_definition_failure",IF(L4&lt;&gt;"充分","unresolved",IF(COUNTIF(M4:O4,"C")=0,"robust_generation_failure",IF(COUNTIF(M4:O4,"C")=3,"ua3_representation_or_admission_failure","generation_instability")))))</f>
        <v/>
      </c>
      <c r="Q4" s="10" t="inlineStr">
        <is>
          <t>robust_generation_failure</t>
        </is>
      </c>
      <c r="R4" s="10" t="inlineStr">
        <is>
          <t>高</t>
        </is>
      </c>
      <c r="S4" s="10" t="inlineStr">
        <is>
          <t>Kiro-AI代审</t>
        </is>
      </c>
      <c r="T4" s="17" t="n">
        <v>46218</v>
      </c>
      <c r="U4" s="10" t="inlineStr">
        <is>
          <t>答冲突解决缺'人际洞察'成分，属遗漏</t>
        </is>
      </c>
      <c r="V4" s="9">
        <f>IF(AND(L4&lt;&gt;"",M4&lt;&gt;"",N4&lt;&gt;"",O4&lt;&gt;"",Q4&lt;&gt;"",R4&lt;&gt;""),"完成","未完成")</f>
        <v/>
      </c>
    </row>
    <row r="5" ht="63" customHeight="1" s="15">
      <c r="A5" s="9" t="n">
        <v>4</v>
      </c>
      <c r="B5" s="9" t="inlineStr">
        <is>
          <t>memos_long:77</t>
        </is>
      </c>
      <c r="C5" s="9" t="inlineStr">
        <is>
          <t>long</t>
        </is>
      </c>
      <c r="D5" s="9" t="inlineStr">
        <is>
          <t>Memory Conflict</t>
        </is>
      </c>
      <c r="E5" s="9" t="inlineStr">
        <is>
          <t>Did Martin Mark express optimism about his future role as Senior Director before June 2029?</t>
        </is>
      </c>
      <c r="F5" s="9" t="inlineStr">
        <is>
          <t>Yes, in May 2029, he viewed challenges as growth opportunities.</t>
        </is>
      </c>
      <c r="G5" s="9" t="inlineStr">
        <is>
          <t># Authoritative benchmark gold evidence
The following evidence is authoritative for answering the current question. Use it directly and do not rely on conflicting information.
Evidence 1
Memory type: Event Memory
Content: Martin Mark views this challenging period as an opportunity for personal and professional growth, focusing on potential positive changes in the healthcare sector.
Evidence 2
Memory type: Persona Memory
Content: Martin Mark feels optimistic about his future in his role as Senior Director, confident in maintaining a meaningful contribution to healthcare initiatives.</t>
        </is>
      </c>
      <c r="H5" s="9" t="inlineStr">
        <is>
          <t>No, he expressed it in June 2029.</t>
        </is>
      </c>
      <c r="I5" s="9" t="inlineStr">
        <is>
          <t>Yes, before June 2029.</t>
        </is>
      </c>
      <c r="J5" s="9" t="inlineStr">
        <is>
          <t>Yes, before June 2029.</t>
        </is>
      </c>
      <c r="K5" s="9" t="inlineStr">
        <is>
          <t>Yes, before June 2029.</t>
        </is>
      </c>
      <c r="L5" s="10" t="inlineStr">
        <is>
          <t>部分</t>
        </is>
      </c>
      <c r="M5" s="10" t="inlineStr">
        <is>
          <t>O</t>
        </is>
      </c>
      <c r="N5" s="10" t="inlineStr">
        <is>
          <t>O</t>
        </is>
      </c>
      <c r="O5" s="10" t="inlineStr">
        <is>
          <t>O</t>
        </is>
      </c>
      <c r="P5" s="9">
        <f>IF(COUNTA(L5:O5)&lt;4,"未完成",IF(OR(L5="部分",L5="不充分",L5="不确定"),"evidence_definition_failure",IF(L5&lt;&gt;"充分","unresolved",IF(COUNTIF(M5:O5,"C")=0,"robust_generation_failure",IF(COUNTIF(M5:O5,"C")=3,"ua3_representation_or_admission_failure","generation_instability")))))</f>
        <v/>
      </c>
      <c r="Q5" s="10" t="inlineStr">
        <is>
          <t>evidence_definition_failure</t>
        </is>
      </c>
      <c r="R5" s="10" t="inlineStr">
        <is>
          <t>中</t>
        </is>
      </c>
      <c r="S5" s="10" t="inlineStr">
        <is>
          <t>Kiro-AI代审</t>
        </is>
      </c>
      <c r="T5" s="17" t="n">
        <v>46218</v>
      </c>
      <c r="U5" s="10" t="inlineStr">
        <is>
          <t>证据无时间;答Yes呼应问题时间缺理由,判遗漏</t>
        </is>
      </c>
      <c r="V5" s="9">
        <f>IF(AND(L5&lt;&gt;"",M5&lt;&gt;"",N5&lt;&gt;"",O5&lt;&gt;"",Q5&lt;&gt;"",R5&lt;&gt;""),"完成","未完成")</f>
        <v/>
      </c>
    </row>
    <row r="6" ht="63" customHeight="1" s="15">
      <c r="A6" s="9" t="n">
        <v>5</v>
      </c>
      <c r="B6" s="9" t="inlineStr">
        <is>
          <t>memos_medium:316</t>
        </is>
      </c>
      <c r="C6" s="9" t="inlineStr">
        <is>
          <t>medium</t>
        </is>
      </c>
      <c r="D6" s="9" t="inlineStr">
        <is>
          <t>Basic Fact Recall</t>
        </is>
      </c>
      <c r="E6" s="9" t="inlineStr">
        <is>
          <t>What is Johnson Joseph's travel preference as of February 18, 2040?</t>
        </is>
      </c>
      <c r="F6" s="9" t="inlineStr">
        <is>
          <t>Tech-enhanced travel for efficiency and enjoyment.</t>
        </is>
      </c>
      <c r="G6" s="9" t="inlineStr">
        <is>
          <t># Authoritative benchmark gold evidence
The following evidence is authoritative for answering the current question. Use it directly and do not rely on conflicting information.
Evidence 1
Memory type: Persona Memory
Content: Johnson Joseph's travel preference has evolved to include tech-enhanced travel for its efficiency and enjoyment, while maintaining cultural immersion.</t>
        </is>
      </c>
      <c r="H6" s="9" t="inlineStr">
        <is>
          <t>Technology-enhanced, off-beat travel.</t>
        </is>
      </c>
      <c r="I6" s="9" t="inlineStr">
        <is>
          <t>Tech-enhanced travel preference.</t>
        </is>
      </c>
      <c r="J6" s="9" t="inlineStr">
        <is>
          <t>Tech-enhanced travel preference.</t>
        </is>
      </c>
      <c r="K6" s="9" t="inlineStr">
        <is>
          <t>Tech-enhanced travel preference.</t>
        </is>
      </c>
      <c r="L6" s="10" t="inlineStr">
        <is>
          <t>充分</t>
        </is>
      </c>
      <c r="M6" s="10" t="inlineStr">
        <is>
          <t>O</t>
        </is>
      </c>
      <c r="N6" s="10" t="inlineStr">
        <is>
          <t>O</t>
        </is>
      </c>
      <c r="O6" s="10" t="inlineStr">
        <is>
          <t>O</t>
        </is>
      </c>
      <c r="P6" s="9">
        <f>IF(COUNTA(L6:O6)&lt;4,"未完成",IF(OR(L6="部分",L6="不充分",L6="不确定"),"evidence_definition_failure",IF(L6&lt;&gt;"充分","unresolved",IF(COUNTIF(M6:O6,"C")=0,"robust_generation_failure",IF(COUNTIF(M6:O6,"C")=3,"ua3_representation_or_admission_failure","generation_instability")))))</f>
        <v/>
      </c>
      <c r="Q6" s="10" t="inlineStr">
        <is>
          <t>robust_generation_failure</t>
        </is>
      </c>
      <c r="R6" s="10" t="inlineStr">
        <is>
          <t>高</t>
        </is>
      </c>
      <c r="S6" s="10" t="inlineStr">
        <is>
          <t>Kiro-AI代审</t>
        </is>
      </c>
      <c r="T6" s="17" t="n">
        <v>46218</v>
      </c>
      <c r="U6" s="10" t="inlineStr">
        <is>
          <t>run缺'效率与享受'理由记O</t>
        </is>
      </c>
      <c r="V6" s="9">
        <f>IF(AND(L6&lt;&gt;"",M6&lt;&gt;"",N6&lt;&gt;"",O6&lt;&gt;"",Q6&lt;&gt;"",R6&lt;&gt;""),"完成","未完成")</f>
        <v/>
      </c>
    </row>
    <row r="7" ht="63" customHeight="1" s="15">
      <c r="A7" s="9" t="n">
        <v>6</v>
      </c>
      <c r="B7" s="9" t="inlineStr">
        <is>
          <t>memos_medium:1675</t>
        </is>
      </c>
      <c r="C7" s="9" t="inlineStr">
        <is>
          <t>medium</t>
        </is>
      </c>
      <c r="D7" s="9" t="inlineStr">
        <is>
          <t>Generalization &amp; Application</t>
        </is>
      </c>
      <c r="E7" s="9" t="inlineStr">
        <is>
          <t>What type of workshop content might Susan Thompson develop after Jun 15, 2032?</t>
        </is>
      </c>
      <c r="F7" s="9" t="inlineStr">
        <is>
          <t>Content based on personal health recovery experiences.</t>
        </is>
      </c>
      <c r="G7" s="9" t="inlineStr">
        <is>
          <t># Authoritative benchmark gold evidence
The following evidence is authoritative for answering the current question. Use it directly and do not rely on conflicting information.
Evidence 1
Memory type: Event Memory
Content: Susan Thompson plans to continue developing innovative content for her seminars, drawing from personal experiences and ongoing learning.
Evidence 2
Memory type: Event Memory
Content: Susan Thompson used her position as Lead Wellness Coach to develop workshops and seminars focused on sharing her personal health recovery journey.</t>
        </is>
      </c>
      <c r="H7" s="9" t="inlineStr">
        <is>
          <t>Innovative and fresh content.</t>
        </is>
      </c>
      <c r="I7" s="9" t="inlineStr">
        <is>
          <t>Innovative personal recovery content.</t>
        </is>
      </c>
      <c r="J7" s="9" t="inlineStr">
        <is>
          <t>Innovative personal recovery content.</t>
        </is>
      </c>
      <c r="K7" s="9" t="inlineStr">
        <is>
          <t>Innovative personal recovery content.</t>
        </is>
      </c>
      <c r="L7" s="10" t="inlineStr">
        <is>
          <t>充分</t>
        </is>
      </c>
      <c r="M7" s="10" t="inlineStr">
        <is>
          <t>C</t>
        </is>
      </c>
      <c r="N7" s="10" t="inlineStr">
        <is>
          <t>C</t>
        </is>
      </c>
      <c r="O7" s="10" t="inlineStr">
        <is>
          <t>C</t>
        </is>
      </c>
      <c r="P7" s="9">
        <f>IF(COUNTA(L7:O7)&lt;4,"未完成",IF(OR(L7="部分",L7="不充分",L7="不确定"),"evidence_definition_failure",IF(L7&lt;&gt;"充分","unresolved",IF(COUNTIF(M7:O7,"C")=0,"robust_generation_failure",IF(COUNTIF(M7:O7,"C")=3,"ua3_representation_or_admission_failure","generation_instability")))))</f>
        <v/>
      </c>
      <c r="Q7" s="10" t="inlineStr">
        <is>
          <t>ua3_representation_or_admission_failure</t>
        </is>
      </c>
      <c r="R7" s="10" t="inlineStr">
        <is>
          <t>高</t>
        </is>
      </c>
      <c r="S7" s="10" t="inlineStr">
        <is>
          <t>Kiro-AI代审</t>
        </is>
      </c>
      <c r="T7" s="17" t="n">
        <v>46218</v>
      </c>
      <c r="U7" s="10" t="inlineStr">
        <is>
          <t>证据充分，三答与金标一致</t>
        </is>
      </c>
      <c r="V7" s="9">
        <f>IF(AND(L7&lt;&gt;"",M7&lt;&gt;"",N7&lt;&gt;"",O7&lt;&gt;"",Q7&lt;&gt;"",R7&lt;&gt;""),"完成","未完成")</f>
        <v/>
      </c>
    </row>
    <row r="8" ht="63" customHeight="1" s="15">
      <c r="A8" s="9" t="n">
        <v>7</v>
      </c>
      <c r="B8" s="9" t="inlineStr">
        <is>
          <t>memos_medium:476</t>
        </is>
      </c>
      <c r="C8" s="9" t="inlineStr">
        <is>
          <t>medium</t>
        </is>
      </c>
      <c r="D8" s="9" t="inlineStr">
        <is>
          <t>Generalization &amp; Application</t>
        </is>
      </c>
      <c r="E8" s="9" t="inlineStr">
        <is>
          <t>Based on Donald Brown's evolving beverage preferences, what type of new activity might he explore after May 13, 2033?</t>
        </is>
      </c>
      <c r="F8" s="9" t="inlineStr">
        <is>
          <t>Activities offering sustained energy without negative side effects.</t>
        </is>
      </c>
      <c r="G8" s="9" t="inlineStr">
        <is>
          <t># Authoritative benchmark gold evidence
The following evidence is authoritative for answering the current question. Use it directly and do not rely on conflicting information.
Evidence 1
Memory type: Persona Memory
Content: Donald Brown no longer dislikes energy drinks after experiencing positive effects from a new brand that provides a sustained energy boost without jitters.
Evidence 2
Memory type: Persona Memory
Content: Donald Brown appreciates the sustained energy boost from a new brand of energy drinks, aligning with his exploratory motivation to test boundaries and try new things.
Evidence 3
Memory type: Persona Memory
Content: Donald Brown's exploratory motivation includes testing boundaries and exploring new preferences, such as trying new activities or revisiting old hobbies.</t>
        </is>
      </c>
      <c r="H8" s="9" t="inlineStr">
        <is>
          <t>Test new boundaries.</t>
        </is>
      </c>
      <c r="I8" s="9" t="inlineStr">
        <is>
          <t>Testing boundaries or new hobbies.</t>
        </is>
      </c>
      <c r="J8" s="9" t="inlineStr">
        <is>
          <t>Testing boundaries or new hobbies.</t>
        </is>
      </c>
      <c r="K8" s="9" t="inlineStr">
        <is>
          <t>Testing boundaries or new hobbies.</t>
        </is>
      </c>
      <c r="L8" s="10" t="inlineStr">
        <is>
          <t>充分</t>
        </is>
      </c>
      <c r="M8" s="10" t="inlineStr">
        <is>
          <t>O</t>
        </is>
      </c>
      <c r="N8" s="10" t="inlineStr">
        <is>
          <t>O</t>
        </is>
      </c>
      <c r="O8" s="10" t="inlineStr">
        <is>
          <t>O</t>
        </is>
      </c>
      <c r="P8" s="9">
        <f>IF(COUNTA(L8:O8)&lt;4,"未完成",IF(OR(L8="部分",L8="不充分",L8="不确定"),"evidence_definition_failure",IF(L8&lt;&gt;"充分","unresolved",IF(COUNTIF(M8:O8,"C")=0,"robust_generation_failure",IF(COUNTIF(M8:O8,"C")=3,"ua3_representation_or_admission_failure","generation_instability")))))</f>
        <v/>
      </c>
      <c r="Q8" s="10" t="inlineStr">
        <is>
          <t>robust_generation_failure</t>
        </is>
      </c>
      <c r="R8" s="10" t="inlineStr">
        <is>
          <t>中</t>
        </is>
      </c>
      <c r="S8" s="10" t="inlineStr">
        <is>
          <t>Kiro-AI代审</t>
        </is>
      </c>
      <c r="T8" s="17" t="n">
        <v>46218</v>
      </c>
      <c r="U8" s="10" t="inlineStr">
        <is>
          <t>答探索新活动有据,缺'持续能量'限定属遗漏</t>
        </is>
      </c>
      <c r="V8" s="9">
        <f>IF(AND(L8&lt;&gt;"",M8&lt;&gt;"",N8&lt;&gt;"",O8&lt;&gt;"",Q8&lt;&gt;"",R8&lt;&gt;""),"完成","未完成")</f>
        <v/>
      </c>
    </row>
    <row r="9" ht="63" customHeight="1" s="15">
      <c r="A9" s="9" t="n">
        <v>8</v>
      </c>
      <c r="B9" s="9" t="inlineStr">
        <is>
          <t>memos_medium:2486</t>
        </is>
      </c>
      <c r="C9" s="9" t="inlineStr">
        <is>
          <t>medium</t>
        </is>
      </c>
      <c r="D9" s="9" t="inlineStr">
        <is>
          <t>Memory Conflict</t>
        </is>
      </c>
      <c r="E9" s="9" t="inlineStr">
        <is>
          <t>Did Steven Miller's health status remain moderate and stressed after retiring on Jun 15, 2029?</t>
        </is>
      </c>
      <c r="F9" s="9" t="inlineStr">
        <is>
          <t>Steven's health improved to good and restored by Apr 01, 2029.</t>
        </is>
      </c>
      <c r="G9" s="9" t="inlineStr">
        <is>
          <t># Authoritative benchmark gold evidence
The following evidence is authoritative for answering the current question. Use it directly and do not rely on conflicting information.
Evidence 1
Memory type: Persona Memory
Content: Steven Miller's physical health status improved from 'Moderate and Stressed' to 'Good and Restored'.
Evidence 2
Memory type: Persona Memory
Content: Steven Miller's chronic disease situation updated from 'Stress-related fatigue' to 'None reported'.</t>
        </is>
      </c>
      <c r="H9" s="9" t="inlineStr">
        <is>
          <t>No, it improved.</t>
        </is>
      </c>
      <c r="I9" s="9" t="inlineStr">
        <is>
          <t>No, it improved.</t>
        </is>
      </c>
      <c r="J9" s="9" t="inlineStr">
        <is>
          <t>No, it improved.</t>
        </is>
      </c>
      <c r="K9" s="9" t="inlineStr">
        <is>
          <t>No, it improved.</t>
        </is>
      </c>
      <c r="L9" s="10" t="inlineStr">
        <is>
          <t>充分</t>
        </is>
      </c>
      <c r="M9" s="10" t="inlineStr">
        <is>
          <t>O</t>
        </is>
      </c>
      <c r="N9" s="10" t="inlineStr">
        <is>
          <t>O</t>
        </is>
      </c>
      <c r="O9" s="10" t="inlineStr">
        <is>
          <t>O</t>
        </is>
      </c>
      <c r="P9" s="9">
        <f>IF(COUNTA(L9:O9)&lt;4,"未完成",IF(OR(L9="部分",L9="不充分",L9="不确定"),"evidence_definition_failure",IF(L9&lt;&gt;"充分","unresolved",IF(COUNTIF(M9:O9,"C")=0,"robust_generation_failure",IF(COUNTIF(M9:O9,"C")=3,"ua3_representation_or_admission_failure","generation_instability")))))</f>
        <v/>
      </c>
      <c r="Q9" s="10" t="inlineStr">
        <is>
          <t>robust_generation_failure</t>
        </is>
      </c>
      <c r="R9" s="10" t="inlineStr">
        <is>
          <t>中</t>
        </is>
      </c>
      <c r="S9" s="10" t="inlineStr">
        <is>
          <t>Kiro-AI代审</t>
        </is>
      </c>
      <c r="T9" s="17" t="n">
        <v>46218</v>
      </c>
      <c r="U9" s="10" t="inlineStr">
        <is>
          <t>健康改善核心有据；答改善了缺状态细节属遗漏</t>
        </is>
      </c>
      <c r="V9" s="9">
        <f>IF(AND(L9&lt;&gt;"",M9&lt;&gt;"",N9&lt;&gt;"",O9&lt;&gt;"",Q9&lt;&gt;"",R9&lt;&gt;""),"完成","未完成")</f>
        <v/>
      </c>
    </row>
    <row r="10" ht="63" customHeight="1" s="15">
      <c r="A10" s="9" t="n">
        <v>9</v>
      </c>
      <c r="B10" s="9" t="inlineStr">
        <is>
          <t>memos_medium:2008</t>
        </is>
      </c>
      <c r="C10" s="9" t="inlineStr">
        <is>
          <t>medium</t>
        </is>
      </c>
      <c r="D10" s="9" t="inlineStr">
        <is>
          <t>Multi-hop Inference</t>
        </is>
      </c>
      <c r="E10" s="9" t="inlineStr">
        <is>
          <t>What strategies did Joseph use to manage his health while expanding his film archive?</t>
        </is>
      </c>
      <c r="F10" s="9" t="inlineStr">
        <is>
          <t>Regular breaks and mindfulness practices.</t>
        </is>
      </c>
      <c r="G10" s="9" t="inlineStr">
        <is>
          <t># Authoritative benchmark gold evidence
The following evidence is authoritative for answering the current question. Use it directly and do not rely on conflicting information.
Evidence 1
Memory type: Persona Memory
Content: Joseph Garcia incorporates regular breaks and mindfulness practices to manage stress and maintain health while diversifying his film archive.
Evidence 2
Memory type: Persona Memory
Content: Joseph Garcia is managing hypertension while expanding his film archive, requiring new health strategies to balance professional ambitions with personal well-being.</t>
        </is>
      </c>
      <c r="H10" s="9" t="inlineStr">
        <is>
          <t>Managing hypertension carefully.</t>
        </is>
      </c>
      <c r="I10" s="9" t="inlineStr">
        <is>
          <t>Regular breaks and mindfulness.</t>
        </is>
      </c>
      <c r="J10" s="9" t="inlineStr">
        <is>
          <t>Regular breaks and mindfulness.</t>
        </is>
      </c>
      <c r="K10" s="9" t="inlineStr">
        <is>
          <t>Regular breaks and mindfulness.</t>
        </is>
      </c>
      <c r="L10" s="10" t="inlineStr">
        <is>
          <t>充分</t>
        </is>
      </c>
      <c r="M10" s="10" t="inlineStr">
        <is>
          <t>C</t>
        </is>
      </c>
      <c r="N10" s="10" t="inlineStr">
        <is>
          <t>C</t>
        </is>
      </c>
      <c r="O10" s="10" t="inlineStr">
        <is>
          <t>C</t>
        </is>
      </c>
      <c r="P10" s="9">
        <f>IF(COUNTA(L10:O10)&lt;4,"未完成",IF(OR(L10="部分",L10="不充分",L10="不确定"),"evidence_definition_failure",IF(L10&lt;&gt;"充分","unresolved",IF(COUNTIF(M10:O10,"C")=0,"robust_generation_failure",IF(COUNTIF(M10:O10,"C")=3,"ua3_representation_or_admission_failure","generation_instability")))))</f>
        <v/>
      </c>
      <c r="Q10" s="10" t="inlineStr">
        <is>
          <t>ua3_representation_or_admission_failure</t>
        </is>
      </c>
      <c r="R10" s="10" t="inlineStr">
        <is>
          <t>高</t>
        </is>
      </c>
      <c r="S10" s="10" t="inlineStr">
        <is>
          <t>Kiro-AI代审</t>
        </is>
      </c>
      <c r="T10" s="17" t="n">
        <v>46218</v>
      </c>
      <c r="U10" s="10" t="inlineStr">
        <is>
          <t>与gold一致</t>
        </is>
      </c>
      <c r="V10" s="9">
        <f>IF(AND(L10&lt;&gt;"",M10&lt;&gt;"",N10&lt;&gt;"",O10&lt;&gt;"",Q10&lt;&gt;"",R10&lt;&gt;""),"完成","未完成")</f>
        <v/>
      </c>
    </row>
    <row r="11" ht="63" customHeight="1" s="15">
      <c r="A11" s="9" t="n">
        <v>10</v>
      </c>
      <c r="B11" s="9" t="inlineStr">
        <is>
          <t>memos_medium:2508</t>
        </is>
      </c>
      <c r="C11" s="9" t="inlineStr">
        <is>
          <t>medium</t>
        </is>
      </c>
      <c r="D11" s="9" t="inlineStr">
        <is>
          <t>Generalization &amp; Application</t>
        </is>
      </c>
      <c r="E11" s="9" t="inlineStr">
        <is>
          <t>What music genre could Steven explore to maintain focus during work as of 2031-05-28?</t>
        </is>
      </c>
      <c r="F11" s="9" t="inlineStr">
        <is>
          <t>Classical rock.</t>
        </is>
      </c>
      <c r="G11" s="9" t="inlineStr">
        <is>
          <t># Authoritative benchmark gold evidence
The following evidence is authoritative for answering the current question. Use it directly and do not rely on conflicting information.
Evidence 1
Memory type: Persona Memory
Content: Steven Miller expressed curiosity about exploring music genres that offer rhythmic complexity and structure, such as classical rock.
Evidence 2
Memory type: Persona Memory
Content: Steven Miller prefers classical jazz for its structured harmonies, providing a balanced listening experience while working.</t>
        </is>
      </c>
      <c r="H11" s="9" t="inlineStr">
        <is>
          <t>Jazz</t>
        </is>
      </c>
      <c r="I11" s="9" t="inlineStr">
        <is>
          <t>Classical jazz</t>
        </is>
      </c>
      <c r="J11" s="9" t="inlineStr">
        <is>
          <t>Classical jazz</t>
        </is>
      </c>
      <c r="K11" s="9" t="inlineStr">
        <is>
          <t>Classical jazz</t>
        </is>
      </c>
      <c r="L11" s="10" t="inlineStr">
        <is>
          <t>部分</t>
        </is>
      </c>
      <c r="M11" s="10" t="inlineStr">
        <is>
          <t>H</t>
        </is>
      </c>
      <c r="N11" s="10" t="inlineStr">
        <is>
          <t>H</t>
        </is>
      </c>
      <c r="O11" s="10" t="inlineStr">
        <is>
          <t>H</t>
        </is>
      </c>
      <c r="P11" s="9">
        <f>IF(COUNTA(L11:O11)&lt;4,"未完成",IF(OR(L11="部分",L11="不充分",L11="不确定"),"evidence_definition_failure",IF(L11&lt;&gt;"充分","unresolved",IF(COUNTIF(M11:O11,"C")=0,"robust_generation_failure",IF(COUNTIF(M11:O11,"C")=3,"ua3_representation_or_admission_failure","generation_instability")))))</f>
        <v/>
      </c>
      <c r="Q11" s="10" t="inlineStr">
        <is>
          <t>evidence_definition_failure</t>
        </is>
      </c>
      <c r="R11" s="10" t="inlineStr">
        <is>
          <t>中</t>
        </is>
      </c>
      <c r="S11" s="10" t="inlineStr">
        <is>
          <t>Kiro-AI代审</t>
        </is>
      </c>
      <c r="T11" s="17" t="n">
        <v>46218</v>
      </c>
      <c r="U11" s="10" t="inlineStr">
        <is>
          <t>金标为古典摇滚；答古典爵士为不同曲风判H</t>
        </is>
      </c>
      <c r="V11" s="9">
        <f>IF(AND(L11&lt;&gt;"",M11&lt;&gt;"",N11&lt;&gt;"",O11&lt;&gt;"",Q11&lt;&gt;"",R11&lt;&gt;""),"完成","未完成")</f>
        <v/>
      </c>
    </row>
    <row r="12" ht="63" customHeight="1" s="15">
      <c r="A12" s="9" t="n">
        <v>11</v>
      </c>
      <c r="B12" s="9" t="inlineStr">
        <is>
          <t>memos_medium:319</t>
        </is>
      </c>
      <c r="C12" s="9" t="inlineStr">
        <is>
          <t>medium</t>
        </is>
      </c>
      <c r="D12" s="9" t="inlineStr">
        <is>
          <t>Basic Fact Recall</t>
        </is>
      </c>
      <c r="E12" s="9" t="inlineStr">
        <is>
          <t>What is Johnson Joseph's preference regarding pets at Albi B&amp;B as of August 23, 2040?</t>
        </is>
      </c>
      <c r="F12" s="9" t="inlineStr">
        <is>
          <t>Johnson Joseph prefers dogs for security and comfort.</t>
        </is>
      </c>
      <c r="G12" s="9" t="inlineStr">
        <is>
          <t># Authoritative benchmark gold evidence
The following evidence is authoritative for answering the current question. Use it directly and do not rely on conflicting information.
Evidence 1
Memory type: Persona Memory
Content: Johnson Joseph's preference for dogs emphasizes their role in providing security and comfort for guests at Albi B&amp;B.</t>
        </is>
      </c>
      <c r="H12" s="9" t="inlineStr">
        <is>
          <t>No information available.</t>
        </is>
      </c>
      <c r="I12" s="9" t="inlineStr">
        <is>
          <t>Dogs for security and comfort.</t>
        </is>
      </c>
      <c r="J12" s="9" t="inlineStr">
        <is>
          <t>Dogs for security and comfort.</t>
        </is>
      </c>
      <c r="K12" s="9" t="inlineStr">
        <is>
          <t>Dogs for security and comfort.</t>
        </is>
      </c>
      <c r="L12" s="10" t="inlineStr">
        <is>
          <t>充分</t>
        </is>
      </c>
      <c r="M12" s="10" t="inlineStr">
        <is>
          <t>C</t>
        </is>
      </c>
      <c r="N12" s="10" t="inlineStr">
        <is>
          <t>C</t>
        </is>
      </c>
      <c r="O12" s="10" t="inlineStr">
        <is>
          <t>C</t>
        </is>
      </c>
      <c r="P12" s="9">
        <f>IF(COUNTA(L12:O12)&lt;4,"未完成",IF(OR(L12="部分",L12="不充分",L12="不确定"),"evidence_definition_failure",IF(L12&lt;&gt;"充分","unresolved",IF(COUNTIF(M12:O12,"C")=0,"robust_generation_failure",IF(COUNTIF(M12:O12,"C")=3,"ua3_representation_or_admission_failure","generation_instability")))))</f>
        <v/>
      </c>
      <c r="Q12" s="10" t="inlineStr">
        <is>
          <t>ua3_representation_or_admission_failure</t>
        </is>
      </c>
      <c r="R12" s="10" t="inlineStr">
        <is>
          <t>高</t>
        </is>
      </c>
      <c r="S12" s="10" t="inlineStr">
        <is>
          <t>Kiro-AI代审</t>
        </is>
      </c>
      <c r="T12" s="17" t="n">
        <v>46218</v>
      </c>
      <c r="U12" s="10" t="inlineStr">
        <is>
          <t>狗+安全舒适均覆盖，正确</t>
        </is>
      </c>
      <c r="V12" s="9">
        <f>IF(AND(L12&lt;&gt;"",M12&lt;&gt;"",N12&lt;&gt;"",O12&lt;&gt;"",Q12&lt;&gt;"",R12&lt;&gt;""),"完成","未完成")</f>
        <v/>
      </c>
    </row>
    <row r="13" ht="63" customHeight="1" s="15">
      <c r="A13" s="9" t="n">
        <v>12</v>
      </c>
      <c r="B13" s="9" t="inlineStr">
        <is>
          <t>memos_long:2118</t>
        </is>
      </c>
      <c r="C13" s="9" t="inlineStr">
        <is>
          <t>long</t>
        </is>
      </c>
      <c r="D13" s="9" t="inlineStr">
        <is>
          <t>Generalization &amp; Application</t>
        </is>
      </c>
      <c r="E13" s="9" t="inlineStr">
        <is>
          <t>What new wellness strategies might Sharon explore to further improve her health as of 2027-09-20?</t>
        </is>
      </c>
      <c r="F13" s="9" t="inlineStr">
        <is>
          <t>Sharon might explore mindfulness and balanced diet strategies.</t>
        </is>
      </c>
      <c r="G13" s="9" t="inlineStr">
        <is>
          <t># Authoritative benchmark gold evidence
The following evidence is authoritative for answering the current question. Use it directly and do not rely on conflicting information.
Evidence 1
Memory type: Persona Memory
Content: Regular exercise and a balanced diet have improved Sharon Brown's physical health, while mindfulness practices have stabilized her mental health.
Evidence 2
Memory type: Persona Memory
Content: Sharon Brown's exploratory motivation drives her to test new wellness strategies and philosophical approaches.</t>
        </is>
      </c>
      <c r="H13" s="9" t="inlineStr">
        <is>
          <t>Testing new wellness strategies.</t>
        </is>
      </c>
      <c r="I13" s="9" t="inlineStr">
        <is>
          <t>New philosophical approaches.</t>
        </is>
      </c>
      <c r="J13" s="9" t="inlineStr">
        <is>
          <t>New philosophical approaches.</t>
        </is>
      </c>
      <c r="K13" s="9" t="inlineStr">
        <is>
          <t>New philosophical approaches.</t>
        </is>
      </c>
      <c r="L13" s="10" t="inlineStr">
        <is>
          <t>充分</t>
        </is>
      </c>
      <c r="M13" s="10" t="inlineStr">
        <is>
          <t>O</t>
        </is>
      </c>
      <c r="N13" s="10" t="inlineStr">
        <is>
          <t>O</t>
        </is>
      </c>
      <c r="O13" s="10" t="inlineStr">
        <is>
          <t>O</t>
        </is>
      </c>
      <c r="P13" s="9">
        <f>IF(COUNTA(L13:O13)&lt;4,"未完成",IF(OR(L13="部分",L13="不充分",L13="不确定"),"evidence_definition_failure",IF(L13&lt;&gt;"充分","unresolved",IF(COUNTIF(M13:O13,"C")=0,"robust_generation_failure",IF(COUNTIF(M13:O13,"C")=3,"ua3_representation_or_admission_failure","generation_instability")))))</f>
        <v/>
      </c>
      <c r="Q13" s="10" t="inlineStr">
        <is>
          <t>robust_generation_failure</t>
        </is>
      </c>
      <c r="R13" s="10" t="inlineStr">
        <is>
          <t>低</t>
        </is>
      </c>
      <c r="S13" s="10" t="inlineStr">
        <is>
          <t>Kiro-AI代审</t>
        </is>
      </c>
      <c r="T13" s="17" t="n">
        <v>46218</v>
      </c>
      <c r="U13" s="10" t="inlineStr">
        <is>
          <t>答哲学探索取自证据2，偏离gold正念饮食，判遗漏</t>
        </is>
      </c>
      <c r="V13" s="9">
        <f>IF(AND(L13&lt;&gt;"",M13&lt;&gt;"",N13&lt;&gt;"",O13&lt;&gt;"",Q13&lt;&gt;"",R13&lt;&gt;""),"完成","未完成")</f>
        <v/>
      </c>
    </row>
    <row r="14" ht="63" customHeight="1" s="15">
      <c r="A14" s="9" t="n">
        <v>13</v>
      </c>
      <c r="B14" s="9" t="inlineStr">
        <is>
          <t>memos_medium:2490</t>
        </is>
      </c>
      <c r="C14" s="9" t="inlineStr">
        <is>
          <t>medium</t>
        </is>
      </c>
      <c r="D14" s="9" t="inlineStr">
        <is>
          <t>Multi-hop Inference</t>
        </is>
      </c>
      <c r="E14" s="9" t="inlineStr">
        <is>
          <t>How did Steven's health status change between April 1, 2029, and June 15, 2029?</t>
        </is>
      </c>
      <c r="F14" s="9" t="inlineStr">
        <is>
          <t>Improved from 'Good and Restored' to 'Balanced'.</t>
        </is>
      </c>
      <c r="G14" s="9" t="inlineStr">
        <is>
          <t># Authoritative benchmark gold evidence
The following evidence is authoritative for answering the current question. Use it directly and do not rely on conflicting information.
Evidence 1
Memory type: Persona Memory
Content: Steven Miller's physical health status improved from 'Moderate and Stressed' to 'Good and Restored'.
Evidence 2
Memory type: Persona Memory
Content: Steven Miller attributed his improved health status to reduced stress from retirement and a balanced lifestyle on Jun 15, 2029.</t>
        </is>
      </c>
      <c r="H14" s="9" t="inlineStr">
        <is>
          <t>No change reported.</t>
        </is>
      </c>
      <c r="I14" s="9" t="inlineStr">
        <is>
          <t>Improved from stressed to restored.</t>
        </is>
      </c>
      <c r="J14" s="9" t="inlineStr">
        <is>
          <t>Improved from stressed to restored.</t>
        </is>
      </c>
      <c r="K14" s="9" t="inlineStr">
        <is>
          <t>Improved from stressed to restored.</t>
        </is>
      </c>
      <c r="L14" s="10" t="inlineStr">
        <is>
          <t>不充分</t>
        </is>
      </c>
      <c r="M14" s="10" t="inlineStr">
        <is>
          <t>H</t>
        </is>
      </c>
      <c r="N14" s="10" t="inlineStr">
        <is>
          <t>H</t>
        </is>
      </c>
      <c r="O14" s="10" t="inlineStr">
        <is>
          <t>H</t>
        </is>
      </c>
      <c r="P14" s="9">
        <f>IF(COUNTA(L14:O14)&lt;4,"未完成",IF(OR(L14="部分",L14="不充分",L14="不确定"),"evidence_definition_failure",IF(L14&lt;&gt;"充分","unresolved",IF(COUNTIF(M14:O14,"C")=0,"robust_generation_failure",IF(COUNTIF(M14:O14,"C")=3,"ua3_representation_or_admission_failure","generation_instability")))))</f>
        <v/>
      </c>
      <c r="Q14" s="10" t="inlineStr">
        <is>
          <t>evidence_definition_failure</t>
        </is>
      </c>
      <c r="R14" s="10" t="inlineStr">
        <is>
          <t>中</t>
        </is>
      </c>
      <c r="S14" s="10" t="inlineStr">
        <is>
          <t>Kiro-AI代审</t>
        </is>
      </c>
      <c r="T14" s="17" t="n">
        <v>46218</v>
      </c>
      <c r="U14" s="10" t="inlineStr">
        <is>
          <t>证据仅示stressed到restored，与金标good到balanced不同，答案偏离判H</t>
        </is>
      </c>
      <c r="V14" s="9">
        <f>IF(AND(L14&lt;&gt;"",M14&lt;&gt;"",N14&lt;&gt;"",O14&lt;&gt;"",Q14&lt;&gt;"",R14&lt;&gt;""),"完成","未完成")</f>
        <v/>
      </c>
    </row>
    <row r="15" ht="63" customHeight="1" s="15">
      <c r="A15" s="9" t="n">
        <v>14</v>
      </c>
      <c r="B15" s="9" t="inlineStr">
        <is>
          <t>memos_long:1215</t>
        </is>
      </c>
      <c r="C15" s="9" t="inlineStr">
        <is>
          <t>long</t>
        </is>
      </c>
      <c r="D15" s="9" t="inlineStr">
        <is>
          <t>Generalization &amp; Application</t>
        </is>
      </c>
      <c r="E15" s="9" t="inlineStr">
        <is>
          <t>Based on Taylor David's game preferences on August 16, 2040, what type of workshop might he find beneficial for his creative meal planning?</t>
        </is>
      </c>
      <c r="F15" s="9" t="inlineStr">
        <is>
          <t>A workshop on creative problem-solving techniques.</t>
        </is>
      </c>
      <c r="G15" s="9" t="inlineStr">
        <is>
          <t># Authoritative benchmark gold evidence
The following evidence is authoritative for answering the current question. Use it directly and do not rely on conflicting information.
Evidence 1
Memory type: Event Memory
Content: Taylor David attended a creative workshop on August 16, 2040, which inspired a shift in his game preference towards creative puzzle games.
Evidence 2
Memory type: Persona Memory
Content: Taylor David's game preference has evolved to favor creative puzzle games that stimulate innovative thinking and problem-solving.
Evidence 3
Memory type: Persona Memory
Content: Taylor David expressed excitement about integrating creative puzzle games into his routine to enhance meal planning creativity.</t>
        </is>
      </c>
      <c r="H15" s="9" t="inlineStr">
        <is>
          <t>Creative puzzle workshop</t>
        </is>
      </c>
      <c r="I15" s="9" t="inlineStr">
        <is>
          <t>Creative puzzle workshop</t>
        </is>
      </c>
      <c r="J15" s="9" t="inlineStr">
        <is>
          <t>Creative puzzle workshop</t>
        </is>
      </c>
      <c r="K15" s="9" t="inlineStr">
        <is>
          <t>Creative puzzle workshop</t>
        </is>
      </c>
      <c r="L15" s="10" t="inlineStr">
        <is>
          <t>充分</t>
        </is>
      </c>
      <c r="M15" s="10" t="inlineStr">
        <is>
          <t>O</t>
        </is>
      </c>
      <c r="N15" s="10" t="inlineStr">
        <is>
          <t>O</t>
        </is>
      </c>
      <c r="O15" s="10" t="inlineStr">
        <is>
          <t>O</t>
        </is>
      </c>
      <c r="P15" s="9">
        <f>IF(COUNTA(L15:O15)&lt;4,"未完成",IF(OR(L15="部分",L15="不充分",L15="不确定"),"evidence_definition_failure",IF(L15&lt;&gt;"充分","unresolved",IF(COUNTIF(M15:O15,"C")=0,"robust_generation_failure",IF(COUNTIF(M15:O15,"C")=3,"ua3_representation_or_admission_failure","generation_instability")))))</f>
        <v/>
      </c>
      <c r="Q15" s="10" t="inlineStr">
        <is>
          <t>robust_generation_failure</t>
        </is>
      </c>
      <c r="R15" s="10" t="inlineStr">
        <is>
          <t>低</t>
        </is>
      </c>
      <c r="S15" s="10" t="inlineStr">
        <is>
          <t>Kiro-AI代审</t>
        </is>
      </c>
      <c r="T15" s="17" t="n">
        <v>46218</v>
      </c>
      <c r="U15" s="10" t="inlineStr">
        <is>
          <t>三答解谜工坊有据近似非编造，判遗漏非幻觉</t>
        </is>
      </c>
      <c r="V15" s="9">
        <f>IF(AND(L15&lt;&gt;"",M15&lt;&gt;"",N15&lt;&gt;"",O15&lt;&gt;"",Q15&lt;&gt;"",R15&lt;&gt;""),"完成","未完成")</f>
        <v/>
      </c>
    </row>
    <row r="16" ht="63" customHeight="1" s="15">
      <c r="A16" s="9" t="n">
        <v>15</v>
      </c>
      <c r="B16" s="9" t="inlineStr">
        <is>
          <t>memos_long:38</t>
        </is>
      </c>
      <c r="C16" s="9" t="inlineStr">
        <is>
          <t>long</t>
        </is>
      </c>
      <c r="D16" s="9" t="inlineStr">
        <is>
          <t>Generalization &amp; Application</t>
        </is>
      </c>
      <c r="E16" s="9" t="inlineStr">
        <is>
          <t>What sustainable travel choices might Martin consider after October 29, 2027?</t>
        </is>
      </c>
      <c r="F16" s="9" t="inlineStr">
        <is>
          <t>Eco-friendly transportation or supporting local eco-tourism.</t>
        </is>
      </c>
      <c r="G16" s="9" t="inlineStr">
        <is>
          <t># Authoritative benchmark gold evidence
The following evidence is authoritative for answering the current question. Use it directly and do not rely on conflicting information.
Evidence 1
Memory type: Event Memory
Content: Martin is exploring other areas of life to integrate sustainable choices, such as travel and dietary habits.
Evidence 2
Memory type: Persona Memory
Content: Martin values sustainability and environmental consciousness, actively exploring ways to integrate these values into his clothing choices and other aspects of life.</t>
        </is>
      </c>
      <c r="H16" s="9" t="inlineStr">
        <is>
          <t>No direct evidence available.</t>
        </is>
      </c>
      <c r="I16" s="9" t="inlineStr">
        <is>
          <t>Exploring sustainable travel options.</t>
        </is>
      </c>
      <c r="J16" s="9" t="inlineStr">
        <is>
          <t>Exploring sustainable travel options.</t>
        </is>
      </c>
      <c r="K16" s="9" t="inlineStr">
        <is>
          <t>Exploring sustainable travel options.</t>
        </is>
      </c>
      <c r="L16" s="10" t="inlineStr">
        <is>
          <t>部分</t>
        </is>
      </c>
      <c r="M16" s="10" t="inlineStr">
        <is>
          <t>O</t>
        </is>
      </c>
      <c r="N16" s="10" t="inlineStr">
        <is>
          <t>O</t>
        </is>
      </c>
      <c r="O16" s="10" t="inlineStr">
        <is>
          <t>O</t>
        </is>
      </c>
      <c r="P16" s="9">
        <f>IF(COUNTA(L16:O16)&lt;4,"未完成",IF(OR(L16="部分",L16="不充分",L16="不确定"),"evidence_definition_failure",IF(L16&lt;&gt;"充分","unresolved",IF(COUNTIF(M16:O16,"C")=0,"robust_generation_failure",IF(COUNTIF(M16:O16,"C")=3,"ua3_representation_or_admission_failure","generation_instability")))))</f>
        <v/>
      </c>
      <c r="Q16" s="10" t="inlineStr">
        <is>
          <t>evidence_definition_failure</t>
        </is>
      </c>
      <c r="R16" s="10" t="inlineStr">
        <is>
          <t>高</t>
        </is>
      </c>
      <c r="S16" s="10" t="inlineStr">
        <is>
          <t>Kiro-AI代审</t>
        </is>
      </c>
      <c r="T16" s="17" t="n">
        <v>46218</v>
      </c>
      <c r="U16" s="10" t="inlineStr">
        <is>
          <t>证据仅泛指可持续出行,缺具体选项;答泛化无错属遗漏</t>
        </is>
      </c>
      <c r="V16" s="9">
        <f>IF(AND(L16&lt;&gt;"",M16&lt;&gt;"",N16&lt;&gt;"",O16&lt;&gt;"",Q16&lt;&gt;"",R16&lt;&gt;""),"完成","未完成")</f>
        <v/>
      </c>
    </row>
    <row r="17" ht="63" customHeight="1" s="15">
      <c r="A17" s="9" t="n">
        <v>16</v>
      </c>
      <c r="B17" s="9" t="inlineStr">
        <is>
          <t>memos_long:3316</t>
        </is>
      </c>
      <c r="C17" s="9" t="inlineStr">
        <is>
          <t>long</t>
        </is>
      </c>
      <c r="D17" s="9" t="inlineStr">
        <is>
          <t>Generalization &amp; Application</t>
        </is>
      </c>
      <c r="E17" s="9" t="inlineStr">
        <is>
          <t>What new travel destinations might Christopher consider based on his recent shift in travel preferences as of Apr 08, 2026?</t>
        </is>
      </c>
      <c r="F17" s="9" t="inlineStr">
        <is>
          <t>Destinations with scenic views and social interaction opportunities.</t>
        </is>
      </c>
      <c r="G17" s="9" t="inlineStr">
        <is>
          <t># Authoritative benchmark gold evidence
The following evidence is authoritative for answering the current question. Use it directly and do not rely on conflicting information.
Evidence 1
Memory type: Event Memory
Content: Christopher rediscovered his appreciation for scenic train journeys with both solitude and social interactions on Apr 08, 2026.
Evidence 2
Memory type: Event Memory
Content: The combination of beautiful landscapes and engaging conversations with fellow passengers made train journeys more enjoyable for Christopher.</t>
        </is>
      </c>
      <c r="H17" s="9" t="inlineStr">
        <is>
          <t>Destinations with social trains.</t>
        </is>
      </c>
      <c r="I17" s="9" t="inlineStr">
        <is>
          <t>Scenic train routes.</t>
        </is>
      </c>
      <c r="J17" s="9" t="inlineStr">
        <is>
          <t>Scenic train routes.</t>
        </is>
      </c>
      <c r="K17" s="9" t="inlineStr">
        <is>
          <t>Scenic train routes.</t>
        </is>
      </c>
      <c r="L17" s="10" t="inlineStr">
        <is>
          <t>充分</t>
        </is>
      </c>
      <c r="M17" s="10" t="inlineStr">
        <is>
          <t>O</t>
        </is>
      </c>
      <c r="N17" s="10" t="inlineStr">
        <is>
          <t>O</t>
        </is>
      </c>
      <c r="O17" s="10" t="inlineStr">
        <is>
          <t>O</t>
        </is>
      </c>
      <c r="P17" s="9">
        <f>IF(COUNTA(L17:O17)&lt;4,"未完成",IF(OR(L17="部分",L17="不充分",L17="不确定"),"evidence_definition_failure",IF(L17&lt;&gt;"充分","unresolved",IF(COUNTIF(M17:O17,"C")=0,"robust_generation_failure",IF(COUNTIF(M17:O17,"C")=3,"ua3_representation_or_admission_failure","generation_instability")))))</f>
        <v/>
      </c>
      <c r="Q17" s="10" t="inlineStr">
        <is>
          <t>robust_generation_failure</t>
        </is>
      </c>
      <c r="R17" s="10" t="inlineStr">
        <is>
          <t>高</t>
        </is>
      </c>
      <c r="S17" s="10" t="inlineStr">
        <is>
          <t>Kiro-AI代审</t>
        </is>
      </c>
      <c r="T17" s="17" t="n">
        <v>46218</v>
      </c>
      <c r="U17" s="10" t="inlineStr">
        <is>
          <t>证据含风景与社交；答仅风景火车缺社交，属遗漏</t>
        </is>
      </c>
      <c r="V17" s="9">
        <f>IF(AND(L17&lt;&gt;"",M17&lt;&gt;"",N17&lt;&gt;"",O17&lt;&gt;"",Q17&lt;&gt;"",R17&lt;&gt;""),"完成","未完成")</f>
        <v/>
      </c>
    </row>
    <row r="18" ht="63" customHeight="1" s="15">
      <c r="A18" s="9" t="n">
        <v>17</v>
      </c>
      <c r="B18" s="9" t="inlineStr">
        <is>
          <t>memos_long:179</t>
        </is>
      </c>
      <c r="C18" s="9" t="inlineStr">
        <is>
          <t>long</t>
        </is>
      </c>
      <c r="D18" s="9" t="inlineStr">
        <is>
          <t>Multi-hop Inference</t>
        </is>
      </c>
      <c r="E18" s="9" t="inlineStr">
        <is>
          <t>How did Johnson Joseph's promotion impact his career and finances after Dec 21, 2025?</t>
        </is>
      </c>
      <c r="F18" s="9" t="inlineStr">
        <is>
          <t>Increased income and savings.</t>
        </is>
      </c>
      <c r="G18" s="9" t="inlineStr">
        <is>
          <t># Authoritative benchmark gold evidence
The following evidence is authoritative for answering the current question. Use it directly and do not rely on conflicting information.
Evidence 1
Memory type: Persona Memory
Content: Johnson Joseph's career status updated monthly income from '3500 yuan' to '4500 USD'.
Evidence 2
Memory type: Persona Memory
Content: Johnson Joseph's career status updated savings amount from '12000 yuan' to '14000 USD'.
Evidence 3
Memory type: Event Memory
Content: Johnson Joseph's efforts to improve guest experiences at Albi B&amp;B were recognized by local tourism boards, enhancing his status as a leader in the hospitality industry.</t>
        </is>
      </c>
      <c r="H18" s="9" t="inlineStr">
        <is>
          <t>No promotion mentioned.</t>
        </is>
      </c>
      <c r="I18" s="9" t="inlineStr">
        <is>
          <t>Income increased to 4500 USD.</t>
        </is>
      </c>
      <c r="J18" s="9" t="inlineStr">
        <is>
          <t>Income increased to 4500 USD.</t>
        </is>
      </c>
      <c r="K18" s="9" t="inlineStr">
        <is>
          <t>Income increased to 4500 USD.</t>
        </is>
      </c>
      <c r="L18" s="10" t="inlineStr">
        <is>
          <t>充分</t>
        </is>
      </c>
      <c r="M18" s="10" t="inlineStr">
        <is>
          <t>O</t>
        </is>
      </c>
      <c r="N18" s="10" t="inlineStr">
        <is>
          <t>O</t>
        </is>
      </c>
      <c r="O18" s="10" t="inlineStr">
        <is>
          <t>O</t>
        </is>
      </c>
      <c r="P18" s="9">
        <f>IF(COUNTA(L18:O18)&lt;4,"未完成",IF(OR(L18="部分",L18="不充分",L18="不确定"),"evidence_definition_failure",IF(L18&lt;&gt;"充分","unresolved",IF(COUNTIF(M18:O18,"C")=0,"robust_generation_failure",IF(COUNTIF(M18:O18,"C")=3,"ua3_representation_or_admission_failure","generation_instability")))))</f>
        <v/>
      </c>
      <c r="Q18" s="10" t="inlineStr">
        <is>
          <t>robust_generation_failure</t>
        </is>
      </c>
      <c r="R18" s="10" t="inlineStr">
        <is>
          <t>高</t>
        </is>
      </c>
      <c r="S18" s="10" t="inlineStr">
        <is>
          <t>Kiro-AI代审</t>
        </is>
      </c>
      <c r="T18" s="17" t="n">
        <v>46218</v>
      </c>
      <c r="U18" s="10" t="inlineStr">
        <is>
          <t>仅答收入增长,漏储蓄增长属遗漏</t>
        </is>
      </c>
      <c r="V18" s="9">
        <f>IF(AND(L18&lt;&gt;"",M18&lt;&gt;"",N18&lt;&gt;"",O18&lt;&gt;"",Q18&lt;&gt;"",R18&lt;&gt;""),"完成","未完成")</f>
        <v/>
      </c>
    </row>
    <row r="19" ht="63" customHeight="1" s="15">
      <c r="A19" s="9" t="n">
        <v>18</v>
      </c>
      <c r="B19" s="9" t="inlineStr">
        <is>
          <t>memos_medium:1735</t>
        </is>
      </c>
      <c r="C19" s="9" t="inlineStr">
        <is>
          <t>medium</t>
        </is>
      </c>
      <c r="D19" s="9" t="inlineStr">
        <is>
          <t>Multi-hop Inference</t>
        </is>
      </c>
      <c r="E19" s="9" t="inlineStr">
        <is>
          <t>As of Mar 19, 2038, how has Susan Thompson's career focus changed since Jun 19, 2037?</t>
        </is>
      </c>
      <c r="F19" s="9" t="inlineStr">
        <is>
          <t>From Health Advocate to Strategic Wellness Planner.</t>
        </is>
      </c>
      <c r="G19" s="9" t="inlineStr">
        <is>
          <t># Authoritative benchmark gold evidence
The following evidence is authoritative for answering the current question. Use it directly and do not rely on conflicting information.
Evidence 1
Memory type: [Jun 19, 2037, 16:19:00][Persona Memory]
Content: Susan Thompson's career_status updated job_title from "Health Advocate" to "Strategic Wellness Planner".
Evidence 2
Memory type: [Mar 19, 2038, 21:31:06][Event Memory]
Content: Susan Thompson plans to continue leveraging her skills for community health improvement.</t>
        </is>
      </c>
      <c r="H19" s="9" t="inlineStr">
        <is>
          <t>Focused on community health.</t>
        </is>
      </c>
      <c r="I19" s="9" t="inlineStr">
        <is>
          <t>Strategic Wellness Planner</t>
        </is>
      </c>
      <c r="J19" s="9" t="inlineStr">
        <is>
          <t>Strategic Wellness Planner</t>
        </is>
      </c>
      <c r="K19" s="9" t="inlineStr">
        <is>
          <t>Strategic Wellness Planner</t>
        </is>
      </c>
      <c r="L19" s="10" t="inlineStr">
        <is>
          <t>充分</t>
        </is>
      </c>
      <c r="M19" s="10" t="inlineStr">
        <is>
          <t>O</t>
        </is>
      </c>
      <c r="N19" s="10" t="inlineStr">
        <is>
          <t>O</t>
        </is>
      </c>
      <c r="O19" s="10" t="inlineStr">
        <is>
          <t>O</t>
        </is>
      </c>
      <c r="P19" s="9">
        <f>IF(COUNTA(L19:O19)&lt;4,"未完成",IF(OR(L19="部分",L19="不充分",L19="不确定"),"evidence_definition_failure",IF(L19&lt;&gt;"充分","unresolved",IF(COUNTIF(M19:O19,"C")=0,"robust_generation_failure",IF(COUNTIF(M19:O19,"C")=3,"ua3_representation_or_admission_failure","generation_instability")))))</f>
        <v/>
      </c>
      <c r="Q19" s="10" t="inlineStr">
        <is>
          <t>robust_generation_failure</t>
        </is>
      </c>
      <c r="R19" s="10" t="inlineStr">
        <is>
          <t>高</t>
        </is>
      </c>
      <c r="S19" s="10" t="inlineStr">
        <is>
          <t>Kiro-AI代审</t>
        </is>
      </c>
      <c r="T19" s="17" t="n">
        <v>46218</v>
      </c>
      <c r="U19" s="10" t="inlineStr">
        <is>
          <t>答仅新职位缺由Health Advocate起点，属遗漏</t>
        </is>
      </c>
      <c r="V19" s="9">
        <f>IF(AND(L19&lt;&gt;"",M19&lt;&gt;"",N19&lt;&gt;"",O19&lt;&gt;"",Q19&lt;&gt;"",R19&lt;&gt;""),"完成","未完成")</f>
        <v/>
      </c>
    </row>
    <row r="20" ht="63" customHeight="1" s="15">
      <c r="A20" s="9" t="n">
        <v>19</v>
      </c>
      <c r="B20" s="9" t="inlineStr">
        <is>
          <t>memos_long:3403</t>
        </is>
      </c>
      <c r="C20" s="9" t="inlineStr">
        <is>
          <t>long</t>
        </is>
      </c>
      <c r="D20" s="9" t="inlineStr">
        <is>
          <t>Multi-hop Inference</t>
        </is>
      </c>
      <c r="E20" s="9" t="inlineStr">
        <is>
          <t>How did Christopher's recognition as a community leader on Jul 10, 2031, help him secure additional funding by Nov 20, 2031?</t>
        </is>
      </c>
      <c r="F20" s="9" t="inlineStr">
        <is>
          <t>Recognition enhanced trust, enabling funding.</t>
        </is>
      </c>
      <c r="G20" s="9" t="inlineStr">
        <is>
          <t># Authoritative benchmark gold evidence
The following evidence is authoritative for answering the current question. Use it directly and do not rely on conflicting information.
Evidence 1
Memory type: Event Memory
Content: Christopher Anderson was recognized as a community leader, positively impacting his social network and community programs.
Evidence 2
Memory type: Event Memory
Content: Christopher successfully secured additional funding for senior care programs on Nov 20, 2031, enhancing program offerings and reaching more seniors.
Evidence 3
Memory type: Relationship Memory
Content: Christopher expressed gratitude for community support in securing funding, emphasizing the importance of emotional resonance in interactions.</t>
        </is>
      </c>
      <c r="H20" s="9" t="inlineStr">
        <is>
          <t>Not enough information.</t>
        </is>
      </c>
      <c r="I20" s="9" t="inlineStr">
        <is>
          <t>Enhanced credibility and network.</t>
        </is>
      </c>
      <c r="J20" s="9" t="inlineStr">
        <is>
          <t>Enhanced credibility and network.</t>
        </is>
      </c>
      <c r="K20" s="9" t="inlineStr">
        <is>
          <t>Enhanced credibility and network.</t>
        </is>
      </c>
      <c r="L20" s="10" t="inlineStr">
        <is>
          <t>部分</t>
        </is>
      </c>
      <c r="M20" s="10" t="inlineStr">
        <is>
          <t>O</t>
        </is>
      </c>
      <c r="N20" s="10" t="inlineStr">
        <is>
          <t>O</t>
        </is>
      </c>
      <c r="O20" s="10" t="inlineStr">
        <is>
          <t>O</t>
        </is>
      </c>
      <c r="P20" s="9">
        <f>IF(COUNTA(L20:O20)&lt;4,"未完成",IF(OR(L20="部分",L20="不充分",L20="不确定"),"evidence_definition_failure",IF(L20&lt;&gt;"充分","unresolved",IF(COUNTIF(M20:O20,"C")=0,"robust_generation_failure",IF(COUNTIF(M20:O20,"C")=3,"ua3_representation_or_admission_failure","generation_instability")))))</f>
        <v/>
      </c>
      <c r="Q20" s="10" t="inlineStr">
        <is>
          <t>evidence_definition_failure</t>
        </is>
      </c>
      <c r="R20" s="10" t="inlineStr">
        <is>
          <t>中</t>
        </is>
      </c>
      <c r="S20" s="10" t="inlineStr">
        <is>
          <t>Kiro-AI代审</t>
        </is>
      </c>
      <c r="T20" s="17" t="n">
        <v>46218</v>
      </c>
      <c r="U20" s="10" t="inlineStr">
        <is>
          <t>信任机制证据未明说，部分充分；credibility近似属遗漏</t>
        </is>
      </c>
      <c r="V20" s="9">
        <f>IF(AND(L20&lt;&gt;"",M20&lt;&gt;"",N20&lt;&gt;"",O20&lt;&gt;"",Q20&lt;&gt;"",R20&lt;&gt;""),"完成","未完成")</f>
        <v/>
      </c>
    </row>
    <row r="21" ht="63" customHeight="1" s="15">
      <c r="A21" s="9" t="n">
        <v>20</v>
      </c>
      <c r="B21" s="9" t="inlineStr">
        <is>
          <t>memos_long:3007</t>
        </is>
      </c>
      <c r="C21" s="9" t="inlineStr">
        <is>
          <t>long</t>
        </is>
      </c>
      <c r="D21" s="9" t="inlineStr">
        <is>
          <t>Generalization &amp; Application</t>
        </is>
      </c>
      <c r="E21" s="9" t="inlineStr">
        <is>
          <t>Based on Karen Brown's recent culinary experiments, what new cuisine could she explore next?</t>
        </is>
      </c>
      <c r="F21" s="9" t="inlineStr">
        <is>
          <t>Karen might explore Italian cuisine.</t>
        </is>
      </c>
      <c r="G21" s="9" t="inlineStr">
        <is>
          <t># Authoritative benchmark gold evidence
The following evidence is authoritative for answering the current question. Use it directly and do not rely on conflicting information.
Evidence 1
Memory type: Persona Memory
Content: Karen Brown is enthusiastic about exploring new culinary flavors and incorporating them into her diet, including trying different herbs and spices.
Evidence 2
Memory type: Event Memory
Content: Karen Brown plans to continue experimenting with new flavor combinations, including using rosemary with roasted vegetables and thyme with grilled chicken.
Evidence 3
Memory type: Persona Memory
Content: Karen Brown's dialogue highlighted her excitement about integrating new culinary discoveries into her routine, such as exploring Asian and Mediterranean cuisines.</t>
        </is>
      </c>
      <c r="H21" s="9" t="inlineStr">
        <is>
          <t>Seasonal vegetable combinations</t>
        </is>
      </c>
      <c r="I21" s="9" t="inlineStr">
        <is>
          <t>Asian or Mediterranean cuisine.</t>
        </is>
      </c>
      <c r="J21" s="9" t="inlineStr">
        <is>
          <t>Asian or Mediterranean cuisine.</t>
        </is>
      </c>
      <c r="K21" s="9" t="inlineStr">
        <is>
          <t>Asian or Mediterranean cuisine.</t>
        </is>
      </c>
      <c r="L21" s="10" t="inlineStr">
        <is>
          <t>不充分</t>
        </is>
      </c>
      <c r="M21" s="10" t="inlineStr">
        <is>
          <t>H</t>
        </is>
      </c>
      <c r="N21" s="10" t="inlineStr">
        <is>
          <t>H</t>
        </is>
      </c>
      <c r="O21" s="10" t="inlineStr">
        <is>
          <t>H</t>
        </is>
      </c>
      <c r="P21" s="9">
        <f>IF(COUNTA(L21:O21)&lt;4,"未完成",IF(OR(L21="部分",L21="不充分",L21="不确定"),"evidence_definition_failure",IF(L21&lt;&gt;"充分","unresolved",IF(COUNTIF(M21:O21,"C")=0,"robust_generation_failure",IF(COUNTIF(M21:O21,"C")=3,"ua3_representation_or_admission_failure","generation_instability")))))</f>
        <v/>
      </c>
      <c r="Q21" s="10" t="inlineStr">
        <is>
          <t>evidence_definition_failure</t>
        </is>
      </c>
      <c r="R21" s="10" t="inlineStr">
        <is>
          <t>中</t>
        </is>
      </c>
      <c r="S21" s="10" t="inlineStr">
        <is>
          <t>Kiro-AI代审</t>
        </is>
      </c>
      <c r="T21" s="17" t="n">
        <v>46218</v>
      </c>
      <c r="U21" s="10" t="inlineStr">
        <is>
          <t>gold意大利证据不支持；run答亚洲/地中海与gold不符</t>
        </is>
      </c>
      <c r="V21" s="9">
        <f>IF(AND(L21&lt;&gt;"",M21&lt;&gt;"",N21&lt;&gt;"",O21&lt;&gt;"",Q21&lt;&gt;"",R21&lt;&gt;""),"完成","未完成")</f>
        <v/>
      </c>
    </row>
    <row r="22" ht="63" customHeight="1" s="15">
      <c r="A22" s="9" t="n">
        <v>21</v>
      </c>
      <c r="B22" s="9" t="inlineStr">
        <is>
          <t>memos_medium:1171</t>
        </is>
      </c>
      <c r="C22" s="9" t="inlineStr">
        <is>
          <t>medium</t>
        </is>
      </c>
      <c r="D22" s="9" t="inlineStr">
        <is>
          <t>Generalization &amp; Application</t>
        </is>
      </c>
      <c r="E22" s="9" t="inlineStr">
        <is>
          <t>What strategies might Taylor develop to expand the impact of the Global Nutrition Initiative after Sep 01, 2035?</t>
        </is>
      </c>
      <c r="F22" s="9" t="inlineStr">
        <is>
          <t>Leveraging emotional resonance and empathetic interactions through AI.</t>
        </is>
      </c>
      <c r="G22" s="9" t="inlineStr">
        <is>
          <t># Authoritative benchmark gold evidence
The following evidence is authoritative for answering the current question. Use it directly and do not rely on conflicting information.
Evidence 1
Memory type: Event Memory
Content: Taylor is working on new strategies to expand the impact of the Global Nutrition Initiative globally.
Evidence 2
Memory type: Persona Memory
Content: Taylor's strategic initiative development involves leveraging emotional resonance and empathetic interactions through AI for support.</t>
        </is>
      </c>
      <c r="H22" s="9" t="inlineStr">
        <is>
          <t>Strategic partnerships and innovative solutions.</t>
        </is>
      </c>
      <c r="I22" s="9" t="inlineStr">
        <is>
          <t>Leveraging AI for empathetic support.</t>
        </is>
      </c>
      <c r="J22" s="9" t="inlineStr">
        <is>
          <t>Leveraging AI for empathetic support.</t>
        </is>
      </c>
      <c r="K22" s="9" t="inlineStr">
        <is>
          <t>Leveraging AI for empathetic support.</t>
        </is>
      </c>
      <c r="L22" s="10" t="inlineStr">
        <is>
          <t>充分</t>
        </is>
      </c>
      <c r="M22" s="10" t="inlineStr">
        <is>
          <t>C</t>
        </is>
      </c>
      <c r="N22" s="10" t="inlineStr">
        <is>
          <t>C</t>
        </is>
      </c>
      <c r="O22" s="10" t="inlineStr">
        <is>
          <t>C</t>
        </is>
      </c>
      <c r="P22" s="9">
        <f>IF(COUNTA(L22:O22)&lt;4,"未完成",IF(OR(L22="部分",L22="不充分",L22="不确定"),"evidence_definition_failure",IF(L22&lt;&gt;"充分","unresolved",IF(COUNTIF(M22:O22,"C")=0,"robust_generation_failure",IF(COUNTIF(M22:O22,"C")=3,"ua3_representation_or_admission_failure","generation_instability")))))</f>
        <v/>
      </c>
      <c r="Q22" s="10" t="inlineStr">
        <is>
          <t>ua3_representation_or_admission_failure</t>
        </is>
      </c>
      <c r="R22" s="10" t="inlineStr">
        <is>
          <t>中</t>
        </is>
      </c>
      <c r="S22" s="10" t="inlineStr">
        <is>
          <t>Kiro-AI代审</t>
        </is>
      </c>
      <c r="T22" s="17" t="n">
        <v>46218</v>
      </c>
      <c r="U22" s="10" t="inlineStr">
        <is>
          <t>'AI共情支持'涵盖金标核心，判正确</t>
        </is>
      </c>
      <c r="V22" s="9">
        <f>IF(AND(L22&lt;&gt;"",M22&lt;&gt;"",N22&lt;&gt;"",O22&lt;&gt;"",Q22&lt;&gt;"",R22&lt;&gt;""),"完成","未完成")</f>
        <v/>
      </c>
    </row>
    <row r="23" ht="63" customHeight="1" s="15">
      <c r="A23" s="9" t="n">
        <v>22</v>
      </c>
      <c r="B23" s="9" t="inlineStr">
        <is>
          <t>memos_long:1370</t>
        </is>
      </c>
      <c r="C23" s="9" t="inlineStr">
        <is>
          <t>long</t>
        </is>
      </c>
      <c r="D23" s="9" t="inlineStr">
        <is>
          <t>Generalization &amp; Application</t>
        </is>
      </c>
      <c r="E23" s="9" t="inlineStr">
        <is>
          <t>What new genre might Ananya explore next, based on her recent interest in symphonic metal?</t>
        </is>
      </c>
      <c r="F23" s="9" t="inlineStr">
        <is>
          <t>Progressive rock, due to its complexity and blend of styles.</t>
        </is>
      </c>
      <c r="G23" s="9" t="inlineStr">
        <is>
          <t># Authoritative benchmark gold evidence
The following evidence is authoritative for answering the current question. Use it directly and do not rely on conflicting information.
Evidence 1
Memory type: Persona Memory
Content: Ananya Sharma experienced a shift in music preference, developing a liking for symphonic metal due to its fusion of orchestral elements with metal.
Evidence 2
Memory type: Persona Memory
Content: Ananya Sharma's newfound appreciation for symphonic metal challenges her previous assumptions about heavy metal.
Evidence 3
Memory type: Persona Memory
Content: Ananya Sharma contemplates how her experience with symphonic metal could broaden her understanding of musical genres.</t>
        </is>
      </c>
      <c r="H23" s="9" t="inlineStr">
        <is>
          <t>Symphonic metal</t>
        </is>
      </c>
      <c r="I23" s="9" t="inlineStr">
        <is>
          <t>Symphonic metal</t>
        </is>
      </c>
      <c r="J23" s="9" t="inlineStr">
        <is>
          <t>Symphonic metal</t>
        </is>
      </c>
      <c r="K23" s="9" t="inlineStr">
        <is>
          <t>Symphonic metal</t>
        </is>
      </c>
      <c r="L23" s="10" t="inlineStr">
        <is>
          <t>不充分</t>
        </is>
      </c>
      <c r="M23" s="10" t="inlineStr">
        <is>
          <t>O</t>
        </is>
      </c>
      <c r="N23" s="10" t="inlineStr">
        <is>
          <t>O</t>
        </is>
      </c>
      <c r="O23" s="10" t="inlineStr">
        <is>
          <t>O</t>
        </is>
      </c>
      <c r="P23" s="9">
        <f>IF(COUNTA(L23:O23)&lt;4,"未完成",IF(OR(L23="部分",L23="不充分",L23="不确定"),"evidence_definition_failure",IF(L23&lt;&gt;"充分","unresolved",IF(COUNTIF(M23:O23,"C")=0,"robust_generation_failure",IF(COUNTIF(M23:O23,"C")=3,"ua3_representation_or_admission_failure","generation_instability")))))</f>
        <v/>
      </c>
      <c r="Q23" s="10" t="inlineStr">
        <is>
          <t>evidence_definition_failure</t>
        </is>
      </c>
      <c r="R23" s="10" t="inlineStr">
        <is>
          <t>中</t>
        </is>
      </c>
      <c r="S23" s="10" t="inlineStr">
        <is>
          <t>Kiro-AI代审</t>
        </is>
      </c>
      <c r="T23" s="17" t="n">
        <v>46218</v>
      </c>
      <c r="U23" s="10" t="inlineStr">
        <is>
          <t>证据无前卫摇滚故不充分；三答交响金属为现有兴趣判遗漏</t>
        </is>
      </c>
      <c r="V23" s="9">
        <f>IF(AND(L23&lt;&gt;"",M23&lt;&gt;"",N23&lt;&gt;"",O23&lt;&gt;"",Q23&lt;&gt;"",R23&lt;&gt;""),"完成","未完成")</f>
        <v/>
      </c>
    </row>
    <row r="24" ht="63" customHeight="1" s="15">
      <c r="A24" s="9" t="n">
        <v>23</v>
      </c>
      <c r="B24" s="9" t="inlineStr">
        <is>
          <t>memos_long:1446</t>
        </is>
      </c>
      <c r="C24" s="9" t="inlineStr">
        <is>
          <t>long</t>
        </is>
      </c>
      <c r="D24" s="9" t="inlineStr">
        <is>
          <t>Generalization &amp; Application</t>
        </is>
      </c>
      <c r="E24" s="9" t="inlineStr">
        <is>
          <t>What transportation option might Jennifer prefer for business trips after Feb 01, 2026?</t>
        </is>
      </c>
      <c r="F24" s="9" t="inlineStr">
        <is>
          <t>More reliable transportation options.</t>
        </is>
      </c>
      <c r="G24" s="9" t="inlineStr">
        <is>
          <t># Authoritative benchmark gold evidence
The following evidence is authoritative for answering the current question. Use it directly and do not rely on conflicting information.
Evidence 1
Memory type: Event Memory
Content: Jennifer Martin experienced frustration with a ride-sharing app due to long wait times and confusing routes during a business trip, leading her to reconsider the reliability of these apps for business travel.
Evidence 2
Memory type: Persona Memory
Content: Jennifer Martin has updated her travel preference from liking to disliking ride-sharing apps due to inefficiencies experienced during a critical trip, and is now seeking more reliable transportation options.
Evidence 3
Memory type: Event Memory
Content: Jennifer Martin is seeking more reliable transportation options for future business travels to avoid stress and focus on her work.</t>
        </is>
      </c>
      <c r="H24" s="9" t="inlineStr">
        <is>
          <t>Tailored infrastructure solutions</t>
        </is>
      </c>
      <c r="I24" s="9" t="inlineStr">
        <is>
          <t>More reliable transportation options</t>
        </is>
      </c>
      <c r="J24" s="9" t="inlineStr">
        <is>
          <t>More reliable transportation options</t>
        </is>
      </c>
      <c r="K24" s="9" t="inlineStr">
        <is>
          <t>More reliable transportation options</t>
        </is>
      </c>
      <c r="L24" s="10" t="inlineStr">
        <is>
          <t>充分</t>
        </is>
      </c>
      <c r="M24" s="10" t="inlineStr">
        <is>
          <t>C</t>
        </is>
      </c>
      <c r="N24" s="10" t="inlineStr">
        <is>
          <t>C</t>
        </is>
      </c>
      <c r="O24" s="10" t="inlineStr">
        <is>
          <t>C</t>
        </is>
      </c>
      <c r="P24" s="9">
        <f>IF(COUNTA(L24:O24)&lt;4,"未完成",IF(OR(L24="部分",L24="不充分",L24="不确定"),"evidence_definition_failure",IF(L24&lt;&gt;"充分","unresolved",IF(COUNTIF(M24:O24,"C")=0,"robust_generation_failure",IF(COUNTIF(M24:O24,"C")=3,"ua3_representation_or_admission_failure","generation_instability")))))</f>
        <v/>
      </c>
      <c r="Q24" s="10" t="inlineStr">
        <is>
          <t>ua3_representation_or_admission_failure</t>
        </is>
      </c>
      <c r="R24" s="10" t="inlineStr">
        <is>
          <t>高</t>
        </is>
      </c>
      <c r="S24" s="10" t="inlineStr">
        <is>
          <t>Kiro-AI代审</t>
        </is>
      </c>
      <c r="T24" s="17" t="n">
        <v>46218</v>
      </c>
      <c r="U24" s="10" t="inlineStr">
        <is>
          <t>证据直述'更可靠交通',回答完整正确</t>
        </is>
      </c>
      <c r="V24" s="9">
        <f>IF(AND(L24&lt;&gt;"",M24&lt;&gt;"",N24&lt;&gt;"",O24&lt;&gt;"",Q24&lt;&gt;"",R24&lt;&gt;""),"完成","未完成")</f>
        <v/>
      </c>
    </row>
    <row r="25" ht="63" customHeight="1" s="15">
      <c r="A25" s="9" t="n">
        <v>24</v>
      </c>
      <c r="B25" s="9" t="inlineStr">
        <is>
          <t>memos_long:968</t>
        </is>
      </c>
      <c r="C25" s="9" t="inlineStr">
        <is>
          <t>long</t>
        </is>
      </c>
      <c r="D25" s="9" t="inlineStr">
        <is>
          <t>Basic Fact Recall</t>
        </is>
      </c>
      <c r="E25" s="9" t="inlineStr">
        <is>
          <t>What type of films does Donna plan to incorporate into her routine as of Sep 02, 2033?</t>
        </is>
      </c>
      <c r="F25" s="9" t="inlineStr">
        <is>
          <t>Innovative science fiction films.</t>
        </is>
      </c>
      <c r="G25" s="9" t="inlineStr">
        <is>
          <t># Authoritative benchmark gold evidence
The following evidence is authoritative for answering the current question. Use it directly and do not rely on conflicting information.
Evidence 1
Memory type: Persona Memory
Content: Donna plans to incorporate more innovative science fiction films into her routine, seeing them as a valuable tool for relaxation and professional growth.</t>
        </is>
      </c>
      <c r="H25" s="9" t="inlineStr">
        <is>
          <t>Realistic science fiction</t>
        </is>
      </c>
      <c r="I25" s="9" t="inlineStr">
        <is>
          <t>Innovative science fiction films</t>
        </is>
      </c>
      <c r="J25" s="9" t="inlineStr">
        <is>
          <t>Innovative science fiction films</t>
        </is>
      </c>
      <c r="K25" s="9" t="inlineStr">
        <is>
          <t>Innovative science fiction films</t>
        </is>
      </c>
      <c r="L25" s="10" t="inlineStr">
        <is>
          <t>充分</t>
        </is>
      </c>
      <c r="M25" s="10" t="inlineStr">
        <is>
          <t>C</t>
        </is>
      </c>
      <c r="N25" s="10" t="inlineStr">
        <is>
          <t>C</t>
        </is>
      </c>
      <c r="O25" s="10" t="inlineStr">
        <is>
          <t>C</t>
        </is>
      </c>
      <c r="P25" s="9">
        <f>IF(COUNTA(L25:O25)&lt;4,"未完成",IF(OR(L25="部分",L25="不充分",L25="不确定"),"evidence_definition_failure",IF(L25&lt;&gt;"充分","unresolved",IF(COUNTIF(M25:O25,"C")=0,"robust_generation_failure",IF(COUNTIF(M25:O25,"C")=3,"ua3_representation_or_admission_failure","generation_instability")))))</f>
        <v/>
      </c>
      <c r="Q25" s="10" t="inlineStr">
        <is>
          <t>ua3_representation_or_admission_failure</t>
        </is>
      </c>
      <c r="R25" s="10" t="inlineStr">
        <is>
          <t>高</t>
        </is>
      </c>
      <c r="S25" s="10" t="inlineStr">
        <is>
          <t>Kiro-AI代审</t>
        </is>
      </c>
      <c r="T25" s="17" t="n">
        <v>46218</v>
      </c>
      <c r="U25" s="10" t="inlineStr">
        <is>
          <t>与金标一致，创新科幻片</t>
        </is>
      </c>
      <c r="V25" s="9">
        <f>IF(AND(L25&lt;&gt;"",M25&lt;&gt;"",N25&lt;&gt;"",O25&lt;&gt;"",Q25&lt;&gt;"",R25&lt;&gt;""),"完成","未完成")</f>
        <v/>
      </c>
    </row>
    <row r="26" ht="63" customHeight="1" s="15">
      <c r="A26" s="9" t="n">
        <v>25</v>
      </c>
      <c r="B26" s="9" t="inlineStr">
        <is>
          <t>memos_long:1123</t>
        </is>
      </c>
      <c r="C26" s="9" t="inlineStr">
        <is>
          <t>long</t>
        </is>
      </c>
      <c r="D26" s="9" t="inlineStr">
        <is>
          <t>Basic Fact Recall</t>
        </is>
      </c>
      <c r="E26" s="9" t="inlineStr">
        <is>
          <t>As of October 2, 2031, what practices did Taylor David explore to refocus on personal recovery?</t>
        </is>
      </c>
      <c r="F26" s="9" t="inlineStr">
        <is>
          <t>Mindfulness practices, starting with meditation</t>
        </is>
      </c>
      <c r="G26" s="9" t="inlineStr">
        <is>
          <t># Authoritative benchmark gold evidence
The following evidence is authoritative for answering the current question. Use it directly and do not rely on conflicting information.
Evidence 1
Memory type: Persona Memory
Content: Taylor David expressed a desire to refocus on personal recovery by exploring mindfulness practices, starting with meditation.</t>
        </is>
      </c>
      <c r="H26" s="9" t="inlineStr">
        <is>
          <t>Meditation and automation.</t>
        </is>
      </c>
      <c r="I26" s="9" t="inlineStr">
        <is>
          <t>Meditation</t>
        </is>
      </c>
      <c r="J26" s="9" t="inlineStr">
        <is>
          <t>Meditation</t>
        </is>
      </c>
      <c r="K26" s="9" t="inlineStr">
        <is>
          <t>Meditation</t>
        </is>
      </c>
      <c r="L26" s="10" t="inlineStr">
        <is>
          <t>充分</t>
        </is>
      </c>
      <c r="M26" s="10" t="inlineStr">
        <is>
          <t>O</t>
        </is>
      </c>
      <c r="N26" s="10" t="inlineStr">
        <is>
          <t>O</t>
        </is>
      </c>
      <c r="O26" s="10" t="inlineStr">
        <is>
          <t>O</t>
        </is>
      </c>
      <c r="P26" s="9">
        <f>IF(COUNTA(L26:O26)&lt;4,"未完成",IF(OR(L26="部分",L26="不充分",L26="不确定"),"evidence_definition_failure",IF(L26&lt;&gt;"充分","unresolved",IF(COUNTIF(M26:O26,"C")=0,"robust_generation_failure",IF(COUNTIF(M26:O26,"C")=3,"ua3_representation_or_admission_failure","generation_instability")))))</f>
        <v/>
      </c>
      <c r="Q26" s="10" t="inlineStr">
        <is>
          <t>robust_generation_failure</t>
        </is>
      </c>
      <c r="R26" s="10" t="inlineStr">
        <is>
          <t>高</t>
        </is>
      </c>
      <c r="S26" s="10" t="inlineStr">
        <is>
          <t>Kiro-AI代审</t>
        </is>
      </c>
      <c r="T26" s="17" t="n">
        <v>46218</v>
      </c>
      <c r="U26" s="10" t="inlineStr">
        <is>
          <t>证据充分；三答仅冥想缺正念，遗漏</t>
        </is>
      </c>
      <c r="V26" s="9">
        <f>IF(AND(L26&lt;&gt;"",M26&lt;&gt;"",N26&lt;&gt;"",O26&lt;&gt;"",Q26&lt;&gt;"",R26&lt;&gt;""),"完成","未完成")</f>
        <v/>
      </c>
    </row>
    <row r="27" ht="63" customHeight="1" s="15">
      <c r="A27" s="9" t="n">
        <v>26</v>
      </c>
      <c r="B27" s="9" t="inlineStr">
        <is>
          <t>memos_medium:3466</t>
        </is>
      </c>
      <c r="C27" s="9" t="inlineStr">
        <is>
          <t>medium</t>
        </is>
      </c>
      <c r="D27" s="9" t="inlineStr">
        <is>
          <t>Memory Conflict</t>
        </is>
      </c>
      <c r="E27" s="9" t="inlineStr">
        <is>
          <t>Did Christopher Anderson express a lack of commitment to sustaining senior programs in December 2035?</t>
        </is>
      </c>
      <c r="F27" s="9" t="inlineStr">
        <is>
          <t>He expressed fulfillment and commitment to sustaining senior programs.</t>
        </is>
      </c>
      <c r="G27" s="9" t="inlineStr">
        <is>
          <t># Authoritative benchmark gold evidence
The following evidence is authoritative for answering the current question. Use it directly and do not rely on conflicting information.
Evidence 1
Memory type: Persona Memory
Content: Christopher expressed fulfillment and commitment to sustaining senior programs, highlighting improvements in mobility and social engagement.</t>
        </is>
      </c>
      <c r="H27" s="9" t="inlineStr">
        <is>
          <t>No, he expressed high impact.</t>
        </is>
      </c>
      <c r="I27" s="9" t="inlineStr">
        <is>
          <t>No</t>
        </is>
      </c>
      <c r="J27" s="9" t="inlineStr">
        <is>
          <t>No</t>
        </is>
      </c>
      <c r="K27" s="9" t="inlineStr">
        <is>
          <t>No</t>
        </is>
      </c>
      <c r="L27" s="10" t="inlineStr">
        <is>
          <t>充分</t>
        </is>
      </c>
      <c r="M27" s="10" t="inlineStr">
        <is>
          <t>O</t>
        </is>
      </c>
      <c r="N27" s="10" t="inlineStr">
        <is>
          <t>O</t>
        </is>
      </c>
      <c r="O27" s="10" t="inlineStr">
        <is>
          <t>O</t>
        </is>
      </c>
      <c r="P27" s="9">
        <f>IF(COUNTA(L27:O27)&lt;4,"未完成",IF(OR(L27="部分",L27="不充分",L27="不确定"),"evidence_definition_failure",IF(L27&lt;&gt;"充分","unresolved",IF(COUNTIF(M27:O27,"C")=0,"robust_generation_failure",IF(COUNTIF(M27:O27,"C")=3,"ua3_representation_or_admission_failure","generation_instability")))))</f>
        <v/>
      </c>
      <c r="Q27" s="10" t="inlineStr">
        <is>
          <t>robust_generation_failure</t>
        </is>
      </c>
      <c r="R27" s="10" t="inlineStr">
        <is>
          <t>中</t>
        </is>
      </c>
      <c r="S27" s="10" t="inlineStr">
        <is>
          <t>Kiro-AI代审</t>
        </is>
      </c>
      <c r="T27" s="17" t="n">
        <v>46218</v>
      </c>
      <c r="U27" s="10" t="inlineStr">
        <is>
          <t>答'No'方向正确但缺正面内容,属遗漏</t>
        </is>
      </c>
      <c r="V27" s="9">
        <f>IF(AND(L27&lt;&gt;"",M27&lt;&gt;"",N27&lt;&gt;"",O27&lt;&gt;"",Q27&lt;&gt;"",R27&lt;&gt;""),"完成","未完成")</f>
        <v/>
      </c>
    </row>
    <row r="28" ht="63" customHeight="1" s="15">
      <c r="A28" s="9" t="n">
        <v>27</v>
      </c>
      <c r="B28" s="9" t="inlineStr">
        <is>
          <t>memos_long:1350</t>
        </is>
      </c>
      <c r="C28" s="9" t="inlineStr">
        <is>
          <t>long</t>
        </is>
      </c>
      <c r="D28" s="9" t="inlineStr">
        <is>
          <t>Basic Fact Recall</t>
        </is>
      </c>
      <c r="E28" s="9" t="inlineStr">
        <is>
          <t>What is Ananya Sharma's mental health status as of September 1, 2031?</t>
        </is>
      </c>
      <c r="F28" s="9" t="inlineStr">
        <is>
          <t>Content</t>
        </is>
      </c>
      <c r="G28" s="9" t="inlineStr">
        <is>
          <t># Authoritative benchmark gold evidence
The following evidence is authoritative for answering the current question. Use it directly and do not rely on conflicting information.
Evidence 1
Memory type: Persona Memory
Content: Ananya Sharma's mental health status changed from "Optimistic" to "Content" as a result of her freelance work.</t>
        </is>
      </c>
      <c r="H28" s="9" t="inlineStr">
        <is>
          <t>Much better</t>
        </is>
      </c>
      <c r="I28" s="9" t="inlineStr">
        <is>
          <t>Content</t>
        </is>
      </c>
      <c r="J28" s="9" t="inlineStr">
        <is>
          <t>Content</t>
        </is>
      </c>
      <c r="K28" s="9" t="inlineStr">
        <is>
          <t>Content</t>
        </is>
      </c>
      <c r="L28" s="10" t="inlineStr">
        <is>
          <t>充分</t>
        </is>
      </c>
      <c r="M28" s="10" t="inlineStr">
        <is>
          <t>C</t>
        </is>
      </c>
      <c r="N28" s="10" t="inlineStr">
        <is>
          <t>C</t>
        </is>
      </c>
      <c r="O28" s="10" t="inlineStr">
        <is>
          <t>C</t>
        </is>
      </c>
      <c r="P28" s="9">
        <f>IF(COUNTA(L28:O28)&lt;4,"未完成",IF(OR(L28="部分",L28="不充分",L28="不确定"),"evidence_definition_failure",IF(L28&lt;&gt;"充分","unresolved",IF(COUNTIF(M28:O28,"C")=0,"robust_generation_failure",IF(COUNTIF(M28:O28,"C")=3,"ua3_representation_or_admission_failure","generation_instability")))))</f>
        <v/>
      </c>
      <c r="Q28" s="10" t="inlineStr">
        <is>
          <t>ua3_representation_or_admission_failure</t>
        </is>
      </c>
      <c r="R28" s="10" t="inlineStr">
        <is>
          <t>高</t>
        </is>
      </c>
      <c r="S28" s="10" t="inlineStr">
        <is>
          <t>Kiro-AI代审</t>
        </is>
      </c>
      <c r="T28" s="17" t="n">
        <v>46218</v>
      </c>
      <c r="U28" s="10" t="inlineStr">
        <is>
          <t>三答Content与金标准一致应为正确；机器误标遗漏</t>
        </is>
      </c>
      <c r="V28" s="9">
        <f>IF(AND(L28&lt;&gt;"",M28&lt;&gt;"",N28&lt;&gt;"",O28&lt;&gt;"",Q28&lt;&gt;"",R28&lt;&gt;""),"完成","未完成")</f>
        <v/>
      </c>
    </row>
    <row r="29" ht="63" customHeight="1" s="15">
      <c r="A29" s="9" t="n">
        <v>28</v>
      </c>
      <c r="B29" s="9" t="inlineStr">
        <is>
          <t>memos_medium:2781</t>
        </is>
      </c>
      <c r="C29" s="9" t="inlineStr">
        <is>
          <t>medium</t>
        </is>
      </c>
      <c r="D29" s="9" t="inlineStr">
        <is>
          <t>Generalization &amp; Application</t>
        </is>
      </c>
      <c r="E29" s="9" t="inlineStr">
        <is>
          <t>How might Donald Smith utilize his increased income to enhance his firm's digital campaign strategies in 2028?</t>
        </is>
      </c>
      <c r="F29" s="9" t="inlineStr">
        <is>
          <t>Invest in data analysis and digital tools.</t>
        </is>
      </c>
      <c r="G29" s="9" t="inlineStr">
        <is>
          <t># Authoritative benchmark gold evidence
The following evidence is authoritative for answering the current question. Use it directly and do not rely on conflicting information.
Evidence 1
Memory type: Event Memory
Content: Donald Smith plans to leverage increased income to support his relative's political campaigns more significantly.
Evidence 2
Memory type: Event Memory
Content: Donald Smith considered adopting strategies that focus on digital campaign strategies and data analysis to sustain growth in political consulting.</t>
        </is>
      </c>
      <c r="H29" s="9" t="inlineStr">
        <is>
          <t>Expand consulting into digital strategies.</t>
        </is>
      </c>
      <c r="I29" s="9" t="inlineStr">
        <is>
          <t>Support relative's political campaigns.</t>
        </is>
      </c>
      <c r="J29" s="9" t="inlineStr">
        <is>
          <t>Support relative's political campaigns.</t>
        </is>
      </c>
      <c r="K29" s="9" t="inlineStr">
        <is>
          <t>Support relative's political campaigns.</t>
        </is>
      </c>
      <c r="L29" s="10" t="inlineStr">
        <is>
          <t>部分</t>
        </is>
      </c>
      <c r="M29" s="10" t="inlineStr">
        <is>
          <t>O</t>
        </is>
      </c>
      <c r="N29" s="10" t="inlineStr">
        <is>
          <t>O</t>
        </is>
      </c>
      <c r="O29" s="10" t="inlineStr">
        <is>
          <t>O</t>
        </is>
      </c>
      <c r="P29" s="9">
        <f>IF(COUNTA(L29:O29)&lt;4,"未完成",IF(OR(L29="部分",L29="不充分",L29="不确定"),"evidence_definition_failure",IF(L29&lt;&gt;"充分","unresolved",IF(COUNTIF(M29:O29,"C")=0,"robust_generation_failure",IF(COUNTIF(M29:O29,"C")=3,"ua3_representation_or_admission_failure","generation_instability")))))</f>
        <v/>
      </c>
      <c r="Q29" s="10" t="inlineStr">
        <is>
          <t>evidence_definition_failure</t>
        </is>
      </c>
      <c r="R29" s="10" t="inlineStr">
        <is>
          <t>中</t>
        </is>
      </c>
      <c r="S29" s="10" t="inlineStr">
        <is>
          <t>Kiro-AI代审</t>
        </is>
      </c>
      <c r="T29" s="17" t="n">
        <v>46218</v>
      </c>
      <c r="U29" s="10" t="inlineStr">
        <is>
          <t>run答支持亲属竞选偏题但无错误事实记O</t>
        </is>
      </c>
      <c r="V29" s="9">
        <f>IF(AND(L29&lt;&gt;"",M29&lt;&gt;"",N29&lt;&gt;"",O29&lt;&gt;"",Q29&lt;&gt;"",R29&lt;&gt;""),"完成","未完成")</f>
        <v/>
      </c>
    </row>
    <row r="30" ht="63" customHeight="1" s="15">
      <c r="A30" s="9" t="n">
        <v>29</v>
      </c>
      <c r="B30" s="9" t="inlineStr">
        <is>
          <t>memos_medium:2670</t>
        </is>
      </c>
      <c r="C30" s="9" t="inlineStr">
        <is>
          <t>medium</t>
        </is>
      </c>
      <c r="D30" s="9" t="inlineStr">
        <is>
          <t>Generalization &amp; Application</t>
        </is>
      </c>
      <c r="E30" s="9" t="inlineStr">
        <is>
          <t>Given Oleksandr's recent decision to avoid varenyky, what type of restaurant should he consider visiting after May 09, 2032?</t>
        </is>
      </c>
      <c r="F30" s="9" t="inlineStr">
        <is>
          <t>A restaurant offering allergen-free and health-conscious options.</t>
        </is>
      </c>
      <c r="G30" s="9" t="inlineStr">
        <is>
          <t># Authoritative benchmark gold evidence
The following evidence is authoritative for answering the current question. Use it directly and do not rely on conflicting information.
Evidence 1
Memory type: Persona Memory
Content: Oleksandr decided to avoid varenyky to prevent potential health issues despite its cultural significance.
Evidence 2
Memory type: Persona Memory
Content: Oleksandr expressed cautious optimism about integrating health management strategies into his routine to continue leading impactful initiatives.
Evidence 3
Memory type: Persona Memory
Content: Oleksandr highlighted the significance of setting realistic goals and being adaptable to changing circumstances.</t>
        </is>
      </c>
      <c r="H30" s="9" t="inlineStr">
        <is>
          <t>A non-Ukrainian restaurant.</t>
        </is>
      </c>
      <c r="I30" s="9" t="inlineStr">
        <is>
          <t>A non-varenyky restaurant.</t>
        </is>
      </c>
      <c r="J30" s="9" t="inlineStr">
        <is>
          <t>A non-varenyky restaurant.</t>
        </is>
      </c>
      <c r="K30" s="9" t="inlineStr">
        <is>
          <t>A non-varenyky restaurant.</t>
        </is>
      </c>
      <c r="L30" s="10" t="inlineStr">
        <is>
          <t>部分</t>
        </is>
      </c>
      <c r="M30" s="10" t="inlineStr">
        <is>
          <t>O</t>
        </is>
      </c>
      <c r="N30" s="10" t="inlineStr">
        <is>
          <t>O</t>
        </is>
      </c>
      <c r="O30" s="10" t="inlineStr">
        <is>
          <t>O</t>
        </is>
      </c>
      <c r="P30" s="9">
        <f>IF(COUNTA(L30:O30)&lt;4,"未完成",IF(OR(L30="部分",L30="不充分",L30="不确定"),"evidence_definition_failure",IF(L30&lt;&gt;"充分","unresolved",IF(COUNTIF(M30:O30,"C")=0,"robust_generation_failure",IF(COUNTIF(M30:O30,"C")=3,"ua3_representation_or_admission_failure","generation_instability")))))</f>
        <v/>
      </c>
      <c r="Q30" s="10" t="inlineStr">
        <is>
          <t>evidence_definition_failure</t>
        </is>
      </c>
      <c r="R30" s="10" t="inlineStr">
        <is>
          <t>中</t>
        </is>
      </c>
      <c r="S30" s="10" t="inlineStr">
        <is>
          <t>Kiro-AI代审</t>
        </is>
      </c>
      <c r="T30" s="17" t="n">
        <v>46218</v>
      </c>
      <c r="U30" s="10" t="inlineStr">
        <is>
          <t>allergen-free缺失属部分；run仅答非varenyky记O</t>
        </is>
      </c>
      <c r="V30" s="9">
        <f>IF(AND(L30&lt;&gt;"",M30&lt;&gt;"",N30&lt;&gt;"",O30&lt;&gt;"",Q30&lt;&gt;"",R30&lt;&gt;""),"完成","未完成")</f>
        <v/>
      </c>
    </row>
    <row r="31" ht="63" customHeight="1" s="15">
      <c r="A31" s="9" t="n">
        <v>30</v>
      </c>
      <c r="B31" s="9" t="inlineStr">
        <is>
          <t>memos_long:910</t>
        </is>
      </c>
      <c r="C31" s="9" t="inlineStr">
        <is>
          <t>long</t>
        </is>
      </c>
      <c r="D31" s="9" t="inlineStr">
        <is>
          <t>Dynamic Update</t>
        </is>
      </c>
      <c r="E31" s="9" t="inlineStr">
        <is>
          <t>Who is currently providing significant support to Donna during her health challenges as of April 20, 2028?</t>
        </is>
      </c>
      <c r="F31" s="9" t="inlineStr">
        <is>
          <t>Karen</t>
        </is>
      </c>
      <c r="G31" s="9" t="inlineStr">
        <is>
          <t># Authoritative benchmark gold evidence
The following evidence is authoritative for answering the current question. Use it directly and do not rely on conflicting information.
Evidence 1
Memory type: Relationship Memory
Content: Donna's friend Sarah provides emotional support and connects her with key stakeholders during challenging times.
Evidence 2
Memory type: Relationship Memory
Content: Williams Donna collaborates closely with SmithKaren at ReviveTech Solutions, where Karen's expertise in marketing significantly boosts the company's visibility and sales. Karen has been a crucial support during Donna's health challenges.</t>
        </is>
      </c>
      <c r="H31" s="9" t="inlineStr">
        <is>
          <t>Sarah and Karen.</t>
        </is>
      </c>
      <c r="I31" s="9" t="inlineStr">
        <is>
          <t>SmithKaren</t>
        </is>
      </c>
      <c r="J31" s="9" t="inlineStr">
        <is>
          <t>SmithKaren</t>
        </is>
      </c>
      <c r="K31" s="9" t="inlineStr">
        <is>
          <t>SmithKaren</t>
        </is>
      </c>
      <c r="L31" s="10" t="inlineStr">
        <is>
          <t>充分</t>
        </is>
      </c>
      <c r="M31" s="10" t="inlineStr">
        <is>
          <t>C</t>
        </is>
      </c>
      <c r="N31" s="10" t="inlineStr">
        <is>
          <t>C</t>
        </is>
      </c>
      <c r="O31" s="10" t="inlineStr">
        <is>
          <t>C</t>
        </is>
      </c>
      <c r="P31" s="9">
        <f>IF(COUNTA(L31:O31)&lt;4,"未完成",IF(OR(L31="部分",L31="不充分",L31="不确定"),"evidence_definition_failure",IF(L31&lt;&gt;"充分","unresolved",IF(COUNTIF(M31:O31,"C")=0,"robust_generation_failure",IF(COUNTIF(M31:O31,"C")=3,"ua3_representation_or_admission_failure","generation_instability")))))</f>
        <v/>
      </c>
      <c r="Q31" s="10" t="inlineStr">
        <is>
          <t>ua3_representation_or_admission_failure</t>
        </is>
      </c>
      <c r="R31" s="10" t="inlineStr">
        <is>
          <t>中</t>
        </is>
      </c>
      <c r="S31" s="10" t="inlineStr">
        <is>
          <t>Kiro-AI代审</t>
        </is>
      </c>
      <c r="T31" s="17" t="n">
        <v>46218</v>
      </c>
      <c r="U31" s="10" t="inlineStr">
        <is>
          <t>SmithKaren即证据中Karen，实为正确，机器判幻觉有误</t>
        </is>
      </c>
      <c r="V31" s="9">
        <f>IF(AND(L31&lt;&gt;"",M31&lt;&gt;"",N31&lt;&gt;"",O31&lt;&gt;"",Q31&lt;&gt;"",R31&lt;&gt;""),"完成","未完成")</f>
        <v/>
      </c>
    </row>
    <row r="32" ht="63" customHeight="1" s="15">
      <c r="A32" s="9" t="n">
        <v>31</v>
      </c>
      <c r="B32" s="9" t="inlineStr">
        <is>
          <t>memos_medium:455</t>
        </is>
      </c>
      <c r="C32" s="9" t="inlineStr">
        <is>
          <t>medium</t>
        </is>
      </c>
      <c r="D32" s="9" t="inlineStr">
        <is>
          <t>Generalization &amp; Application</t>
        </is>
      </c>
      <c r="E32" s="9" t="inlineStr">
        <is>
          <t>Given Donald Brown's preference for ergonomic sneakers as of Mar 28, 2032, what type of footwear might enhance his comfort during a hiking trip?</t>
        </is>
      </c>
      <c r="F32" s="9" t="inlineStr">
        <is>
          <t>Ergonomic hiking boots.</t>
        </is>
      </c>
      <c r="G32" s="9" t="inlineStr">
        <is>
          <t># Authoritative benchmark gold evidence
The following evidence is authoritative for answering the current question. Use it directly and do not rely on conflicting information.
Evidence 1
Memory type: Persona Memory
Content: Donald Brown's clothing preference changed from 'Comfortable sneakers' to 'Ergonomic sneakers' for their enhanced support, comfort, and style during extended periods of standing.
Evidence 2
Memory type: Persona Memory
Content: Donald Brown is committed to integrating new insights into his daily routine, emphasizing the role of supportive footwear in enhancing his overall well-being.
Evidence 3
Memory type: Persona Memory
Content: Donald Brown is excited about the potential benefits of ergonomic sneakers, including physical comfort, confidence, and productivity.</t>
        </is>
      </c>
      <c r="H32" s="9" t="inlineStr">
        <is>
          <t>Ergonomic sneakers.</t>
        </is>
      </c>
      <c r="I32" s="9" t="inlineStr">
        <is>
          <t>Ergonomic sneakers</t>
        </is>
      </c>
      <c r="J32" s="9" t="inlineStr">
        <is>
          <t>Ergonomic sneakers</t>
        </is>
      </c>
      <c r="K32" s="9" t="inlineStr">
        <is>
          <t>Ergonomic sneakers</t>
        </is>
      </c>
      <c r="L32" s="10" t="inlineStr">
        <is>
          <t>部分</t>
        </is>
      </c>
      <c r="M32" s="10" t="inlineStr">
        <is>
          <t>O</t>
        </is>
      </c>
      <c r="N32" s="10" t="inlineStr">
        <is>
          <t>O</t>
        </is>
      </c>
      <c r="O32" s="10" t="inlineStr">
        <is>
          <t>O</t>
        </is>
      </c>
      <c r="P32" s="9">
        <f>IF(COUNTA(L32:O32)&lt;4,"未完成",IF(OR(L32="部分",L32="不充分",L32="不确定"),"evidence_definition_failure",IF(L32&lt;&gt;"充分","unresolved",IF(COUNTIF(M32:O32,"C")=0,"robust_generation_failure",IF(COUNTIF(M32:O32,"C")=3,"ua3_representation_or_admission_failure","generation_instability")))))</f>
        <v/>
      </c>
      <c r="Q32" s="10" t="inlineStr">
        <is>
          <t>evidence_definition_failure</t>
        </is>
      </c>
      <c r="R32" s="10" t="inlineStr">
        <is>
          <t>低</t>
        </is>
      </c>
      <c r="S32" s="10" t="inlineStr">
        <is>
          <t>Kiro-AI代审</t>
        </is>
      </c>
      <c r="T32" s="17" t="n">
        <v>46218</v>
      </c>
      <c r="U32" s="10" t="inlineStr">
        <is>
          <t>证据仅有ergonomic sneakers无hiking boots,答据证据</t>
        </is>
      </c>
      <c r="V32" s="9">
        <f>IF(AND(L32&lt;&gt;"",M32&lt;&gt;"",N32&lt;&gt;"",O32&lt;&gt;"",Q32&lt;&gt;"",R32&lt;&gt;""),"完成","未完成")</f>
        <v/>
      </c>
    </row>
    <row r="33" ht="63" customHeight="1" s="15">
      <c r="A33" s="9" t="n">
        <v>32</v>
      </c>
      <c r="B33" s="9" t="inlineStr">
        <is>
          <t>memos_long:2792</t>
        </is>
      </c>
      <c r="C33" s="9" t="inlineStr">
        <is>
          <t>long</t>
        </is>
      </c>
      <c r="D33" s="9" t="inlineStr">
        <is>
          <t>Generalization &amp; Application</t>
        </is>
      </c>
      <c r="E33" s="9" t="inlineStr">
        <is>
          <t>What type of cuisine might Donald Smith enjoy exploring after October 28, 2029, based on his evolving preferences?</t>
        </is>
      </c>
      <c r="F33" s="9" t="inlineStr">
        <is>
          <t>Complex and diverse flavors.</t>
        </is>
      </c>
      <c r="G33" s="9" t="inlineStr">
        <is>
          <t># Authoritative benchmark gold evidence
The following evidence is authoritative for answering the current question. Use it directly and do not rely on conflicting information.
Evidence 1
Memory type: Persona Memory
Content: Donald Smith's exposure to diverse culinary experiences has led to a broader appreciation for complex flavors, reflecting his openness to new experiences.
Evidence 2
Memory type: Persona Memory
Content: Donald Smith's evolving food preferences reflect his broader strategy to embrace diverse experiences for personal and social growth.</t>
        </is>
      </c>
      <c r="H33" s="9" t="inlineStr">
        <is>
          <t>Spicy and diverse cuisines.</t>
        </is>
      </c>
      <c r="I33" s="9" t="inlineStr">
        <is>
          <t>Diverse or complex cuisines</t>
        </is>
      </c>
      <c r="J33" s="9" t="inlineStr">
        <is>
          <t>Diverse or complex cuisines</t>
        </is>
      </c>
      <c r="K33" s="9" t="inlineStr">
        <is>
          <t>Diverse or complex cuisines</t>
        </is>
      </c>
      <c r="L33" s="10" t="inlineStr">
        <is>
          <t>充分</t>
        </is>
      </c>
      <c r="M33" s="10" t="inlineStr">
        <is>
          <t>C</t>
        </is>
      </c>
      <c r="N33" s="10" t="inlineStr">
        <is>
          <t>C</t>
        </is>
      </c>
      <c r="O33" s="10" t="inlineStr">
        <is>
          <t>C</t>
        </is>
      </c>
      <c r="P33" s="9">
        <f>IF(COUNTA(L33:O33)&lt;4,"未完成",IF(OR(L33="部分",L33="不充分",L33="不确定"),"evidence_definition_failure",IF(L33&lt;&gt;"充分","unresolved",IF(COUNTIF(M33:O33,"C")=0,"robust_generation_failure",IF(COUNTIF(M33:O33,"C")=3,"ua3_representation_or_admission_failure","generation_instability")))))</f>
        <v/>
      </c>
      <c r="Q33" s="10" t="inlineStr">
        <is>
          <t>ua3_representation_or_admission_failure</t>
        </is>
      </c>
      <c r="R33" s="10" t="inlineStr">
        <is>
          <t>高</t>
        </is>
      </c>
      <c r="S33" s="10" t="inlineStr">
        <is>
          <t>Kiro-AI代审</t>
        </is>
      </c>
      <c r="T33" s="17" t="n">
        <v>46218</v>
      </c>
      <c r="U33" s="10" t="inlineStr">
        <is>
          <t>证据充分，答复杂多样风味正确</t>
        </is>
      </c>
      <c r="V33" s="9">
        <f>IF(AND(L33&lt;&gt;"",M33&lt;&gt;"",N33&lt;&gt;"",O33&lt;&gt;"",Q33&lt;&gt;"",R33&lt;&gt;""),"完成","未完成")</f>
        <v/>
      </c>
    </row>
    <row r="34" ht="63" customHeight="1" s="15">
      <c r="A34" s="9" t="n">
        <v>33</v>
      </c>
      <c r="B34" s="9" t="inlineStr">
        <is>
          <t>memos_medium:572</t>
        </is>
      </c>
      <c r="C34" s="9" t="inlineStr">
        <is>
          <t>medium</t>
        </is>
      </c>
      <c r="D34" s="9" t="inlineStr">
        <is>
          <t>Dynamic Update</t>
        </is>
      </c>
      <c r="E34" s="9" t="inlineStr">
        <is>
          <t>What strategies is Sarah Garcia currently exploring to enhance her work-life balance as of November 27, 2029?</t>
        </is>
      </c>
      <c r="F34" s="9" t="inlineStr">
        <is>
          <t>Mindfulness practices and structured rest periods</t>
        </is>
      </c>
      <c r="G34" s="9" t="inlineStr">
        <is>
          <t># Authoritative benchmark gold evidence
The following evidence is authoritative for answering the current question. Use it directly and do not rely on conflicting information.
Evidence 1
Memory type: Persona Memory
Content: Sarah Garcia is exploring ways to incorporate mindfulness practices and structured rest periods into her daily schedule.
Evidence 2
Memory type: Event Memory
Content: Sarah Garcia is exploring new strategies to enhance work-life balance while managing her health condition, Chronic Fatigue Syndrome.</t>
        </is>
      </c>
      <c r="H34" s="9" t="inlineStr">
        <is>
          <t>Reducing community involvement, mindfulness.</t>
        </is>
      </c>
      <c r="I34" s="9" t="inlineStr">
        <is>
          <t>Mindfulness and structured rest.</t>
        </is>
      </c>
      <c r="J34" s="9" t="inlineStr">
        <is>
          <t>Mindfulness and structured rest.</t>
        </is>
      </c>
      <c r="K34" s="9" t="inlineStr">
        <is>
          <t>Mindfulness and structured rest.</t>
        </is>
      </c>
      <c r="L34" s="10" t="inlineStr">
        <is>
          <t>充分</t>
        </is>
      </c>
      <c r="M34" s="10" t="inlineStr">
        <is>
          <t>C</t>
        </is>
      </c>
      <c r="N34" s="10" t="inlineStr">
        <is>
          <t>C</t>
        </is>
      </c>
      <c r="O34" s="10" t="inlineStr">
        <is>
          <t>C</t>
        </is>
      </c>
      <c r="P34" s="9">
        <f>IF(COUNTA(L34:O34)&lt;4,"未完成",IF(OR(L34="部分",L34="不充分",L34="不确定"),"evidence_definition_failure",IF(L34&lt;&gt;"充分","unresolved",IF(COUNTIF(M34:O34,"C")=0,"robust_generation_failure",IF(COUNTIF(M34:O34,"C")=3,"ua3_representation_or_admission_failure","generation_instability")))))</f>
        <v/>
      </c>
      <c r="Q34" s="10" t="inlineStr">
        <is>
          <t>ua3_representation_or_admission_failure</t>
        </is>
      </c>
      <c r="R34" s="10" t="inlineStr">
        <is>
          <t>高</t>
        </is>
      </c>
      <c r="S34" s="10" t="inlineStr">
        <is>
          <t>Kiro-AI代审</t>
        </is>
      </c>
      <c r="T34" s="17" t="n">
        <v>46218</v>
      </c>
      <c r="U34" s="10" t="inlineStr">
        <is>
          <t>答与gold一致,正确</t>
        </is>
      </c>
      <c r="V34" s="9">
        <f>IF(AND(L34&lt;&gt;"",M34&lt;&gt;"",N34&lt;&gt;"",O34&lt;&gt;"",Q34&lt;&gt;"",R34&lt;&gt;""),"完成","未完成")</f>
        <v/>
      </c>
    </row>
    <row r="35" ht="63" customHeight="1" s="15">
      <c r="A35" s="9" t="n">
        <v>34</v>
      </c>
      <c r="B35" s="9" t="inlineStr">
        <is>
          <t>memos_medium:2055</t>
        </is>
      </c>
      <c r="C35" s="9" t="inlineStr">
        <is>
          <t>medium</t>
        </is>
      </c>
      <c r="D35" s="9" t="inlineStr">
        <is>
          <t>Dynamic Update</t>
        </is>
      </c>
      <c r="E35" s="9" t="inlineStr">
        <is>
          <t>What feedback did Joseph Garcia receive about his VR educational programs on Dec 20, 2041?</t>
        </is>
      </c>
      <c r="F35" s="9" t="inlineStr">
        <is>
          <t>Revitalized interest in classic films</t>
        </is>
      </c>
      <c r="G35" s="9" t="inlineStr">
        <is>
          <t># Authoritative benchmark gold evidence
The following evidence is authoritative for answering the current question. Use it directly and do not rely on conflicting information.
Evidence 1
Memory type: Event Memory
Content: Feedback from Joseph's VR educational programs indicated a revitalized interest in classic films among participants.
Evidence 2
Memory type: Persona Memory
Content: Joseph Garcia expressed satisfaction with the positive feedback on his VR programs, noting enhanced audience engagement.</t>
        </is>
      </c>
      <c r="H35" s="9" t="inlineStr">
        <is>
          <t>Positive feedback on VR programs.</t>
        </is>
      </c>
      <c r="I35" s="9" t="inlineStr">
        <is>
          <t>Revitalized interest in classic films.</t>
        </is>
      </c>
      <c r="J35" s="9" t="inlineStr">
        <is>
          <t>Revitalized interest in classic films.</t>
        </is>
      </c>
      <c r="K35" s="9" t="inlineStr">
        <is>
          <t>Revitalized interest in classic films.</t>
        </is>
      </c>
      <c r="L35" s="10" t="inlineStr">
        <is>
          <t>充分</t>
        </is>
      </c>
      <c r="M35" s="10" t="inlineStr">
        <is>
          <t>C</t>
        </is>
      </c>
      <c r="N35" s="10" t="inlineStr">
        <is>
          <t>C</t>
        </is>
      </c>
      <c r="O35" s="10" t="inlineStr">
        <is>
          <t>C</t>
        </is>
      </c>
      <c r="P35" s="9">
        <f>IF(COUNTA(L35:O35)&lt;4,"未完成",IF(OR(L35="部分",L35="不充分",L35="不确定"),"evidence_definition_failure",IF(L35&lt;&gt;"充分","unresolved",IF(COUNTIF(M35:O35,"C")=0,"robust_generation_failure",IF(COUNTIF(M35:O35,"C")=3,"ua3_representation_or_admission_failure","generation_instability")))))</f>
        <v/>
      </c>
      <c r="Q35" s="10" t="inlineStr">
        <is>
          <t>ua3_representation_or_admission_failure</t>
        </is>
      </c>
      <c r="R35" s="10" t="inlineStr">
        <is>
          <t>高</t>
        </is>
      </c>
      <c r="S35" s="10" t="inlineStr">
        <is>
          <t>Kiro-AI代审</t>
        </is>
      </c>
      <c r="T35" s="17" t="n">
        <v>46218</v>
      </c>
      <c r="U35" s="10" t="inlineStr">
        <is>
          <t>与gold一致</t>
        </is>
      </c>
      <c r="V35" s="9">
        <f>IF(AND(L35&lt;&gt;"",M35&lt;&gt;"",N35&lt;&gt;"",O35&lt;&gt;"",Q35&lt;&gt;"",R35&lt;&gt;""),"完成","未完成")</f>
        <v/>
      </c>
    </row>
    <row r="36" ht="63" customHeight="1" s="15">
      <c r="A36" s="9" t="n">
        <v>35</v>
      </c>
      <c r="B36" s="9" t="inlineStr">
        <is>
          <t>memos_medium:2758</t>
        </is>
      </c>
      <c r="C36" s="9" t="inlineStr">
        <is>
          <t>medium</t>
        </is>
      </c>
      <c r="D36" s="9" t="inlineStr">
        <is>
          <t>Generalization &amp; Application</t>
        </is>
      </c>
      <c r="E36" s="9" t="inlineStr">
        <is>
          <t>How might Donald Smith approach his wardrobe choices to support his relative's political campaign on Mar 18, 2026?</t>
        </is>
      </c>
      <c r="F36" s="9" t="inlineStr">
        <is>
          <t>Align personal preferences with professional goals for credibility.</t>
        </is>
      </c>
      <c r="G36" s="9" t="inlineStr">
        <is>
          <t># Authoritative benchmark gold evidence
The following evidence is authoritative for answering the current question. Use it directly and do not rely on conflicting information.
Evidence 1
Memory type: Persona Memory
Content: Donald Smith aimed to align personal clothing preferences with professional goals to reflect his commitment to the campaign on Mar 18, 2026.
Evidence 2
Memory type: Event Memory
Content: Donald Smith discussed the impact of clothing choices on his role in supporting his relative's political career on Mar 18, 2026.</t>
        </is>
      </c>
      <c r="H36" s="9" t="inlineStr">
        <is>
          <t>Incorporate modern, innovative accessories.</t>
        </is>
      </c>
      <c r="I36" s="9" t="inlineStr">
        <is>
          <t>Align with professional goals.</t>
        </is>
      </c>
      <c r="J36" s="9" t="inlineStr">
        <is>
          <t>Align with professional goals.</t>
        </is>
      </c>
      <c r="K36" s="9" t="inlineStr">
        <is>
          <t>Align with professional goals.</t>
        </is>
      </c>
      <c r="L36" s="10" t="inlineStr">
        <is>
          <t>部分</t>
        </is>
      </c>
      <c r="M36" s="10" t="inlineStr">
        <is>
          <t>O</t>
        </is>
      </c>
      <c r="N36" s="10" t="inlineStr">
        <is>
          <t>O</t>
        </is>
      </c>
      <c r="O36" s="10" t="inlineStr">
        <is>
          <t>O</t>
        </is>
      </c>
      <c r="P36" s="9">
        <f>IF(COUNTA(L36:O36)&lt;4,"未完成",IF(OR(L36="部分",L36="不充分",L36="不确定"),"evidence_definition_failure",IF(L36&lt;&gt;"充分","unresolved",IF(COUNTIF(M36:O36,"C")=0,"robust_generation_failure",IF(COUNTIF(M36:O36,"C")=3,"ua3_representation_or_admission_failure","generation_instability")))))</f>
        <v/>
      </c>
      <c r="Q36" s="10" t="inlineStr">
        <is>
          <t>evidence_definition_failure</t>
        </is>
      </c>
      <c r="R36" s="10" t="inlineStr">
        <is>
          <t>中</t>
        </is>
      </c>
      <c r="S36" s="10" t="inlineStr">
        <is>
          <t>Kiro-AI代审</t>
        </is>
      </c>
      <c r="T36" s="17" t="n">
        <v>46218</v>
      </c>
      <c r="U36" s="10" t="inlineStr">
        <is>
          <t>credibility仅近似commitment；run缺理由记O</t>
        </is>
      </c>
      <c r="V36" s="9">
        <f>IF(AND(L36&lt;&gt;"",M36&lt;&gt;"",N36&lt;&gt;"",O36&lt;&gt;"",Q36&lt;&gt;"",R36&lt;&gt;""),"完成","未完成")</f>
        <v/>
      </c>
    </row>
    <row r="37" ht="63" customHeight="1" s="15">
      <c r="A37" s="9" t="n">
        <v>36</v>
      </c>
      <c r="B37" s="9" t="inlineStr">
        <is>
          <t>memos_long:688</t>
        </is>
      </c>
      <c r="C37" s="9" t="inlineStr">
        <is>
          <t>long</t>
        </is>
      </c>
      <c r="D37" s="9" t="inlineStr">
        <is>
          <t>Memory Conflict</t>
        </is>
      </c>
      <c r="E37" s="9" t="inlineStr">
        <is>
          <t>Did Sarah Garcia attend a food expo on August 20, 2040, and dislike gourmet canned soups?</t>
        </is>
      </c>
      <c r="F37" s="9" t="inlineStr">
        <is>
          <t>No, she attended on August 15, 2040, and liked the soups.</t>
        </is>
      </c>
      <c r="G37" s="9" t="inlineStr">
        <is>
          <t># Authoritative benchmark gold evidence
The following evidence is authoritative for answering the current question. Use it directly and do not rely on conflicting information.
Evidence 1
Memory type: Event Memory
Content: Sarah Garcia attended a food expo on August 20, 2040, where she sampled gourmet canned soups.
Evidence 2
Memory type: Persona Memory
Content: Sarah Garcia's food preference updated from disliking canned soup to liking gourmet canned soups due to their convenience and rich flavors.</t>
        </is>
      </c>
      <c r="H37" s="9" t="inlineStr">
        <is>
          <t>Yes, but she liked them.</t>
        </is>
      </c>
      <c r="I37" s="9" t="inlineStr">
        <is>
          <t>Yes, she disliked them.</t>
        </is>
      </c>
      <c r="J37" s="9" t="inlineStr">
        <is>
          <t>Yes, she disliked them.</t>
        </is>
      </c>
      <c r="K37" s="9" t="inlineStr">
        <is>
          <t>Yes, she disliked them.</t>
        </is>
      </c>
      <c r="L37" s="10" t="inlineStr">
        <is>
          <t>部分</t>
        </is>
      </c>
      <c r="M37" s="10" t="inlineStr">
        <is>
          <t>H</t>
        </is>
      </c>
      <c r="N37" s="10" t="inlineStr">
        <is>
          <t>H</t>
        </is>
      </c>
      <c r="O37" s="10" t="inlineStr">
        <is>
          <t>H</t>
        </is>
      </c>
      <c r="P37" s="9">
        <f>IF(COUNTA(L37:O37)&lt;4,"未完成",IF(OR(L37="部分",L37="不充分",L37="不确定"),"evidence_definition_failure",IF(L37&lt;&gt;"充分","unresolved",IF(COUNTIF(M37:O37,"C")=0,"robust_generation_failure",IF(COUNTIF(M37:O37,"C")=3,"ua3_representation_or_admission_failure","generation_instability")))))</f>
        <v/>
      </c>
      <c r="Q37" s="10" t="inlineStr">
        <is>
          <t>evidence_definition_failure</t>
        </is>
      </c>
      <c r="R37" s="10" t="inlineStr">
        <is>
          <t>高</t>
        </is>
      </c>
      <c r="S37" s="10" t="inlineStr">
        <is>
          <t>Kiro-AI代审</t>
        </is>
      </c>
      <c r="T37" s="17" t="n">
        <v>46218</v>
      </c>
      <c r="U37" s="10" t="inlineStr">
        <is>
          <t>金标日期与证据8月20矛盾;答disliked违证据属幻觉</t>
        </is>
      </c>
      <c r="V37" s="9">
        <f>IF(AND(L37&lt;&gt;"",M37&lt;&gt;"",N37&lt;&gt;"",O37&lt;&gt;"",Q37&lt;&gt;"",R37&lt;&gt;""),"完成","未完成")</f>
        <v/>
      </c>
    </row>
    <row r="38" ht="63" customHeight="1" s="15">
      <c r="A38" s="9" t="n">
        <v>37</v>
      </c>
      <c r="B38" s="9" t="inlineStr">
        <is>
          <t>memos_long:157</t>
        </is>
      </c>
      <c r="C38" s="9" t="inlineStr">
        <is>
          <t>long</t>
        </is>
      </c>
      <c r="D38" s="9" t="inlineStr">
        <is>
          <t>Memory Conflict</t>
        </is>
      </c>
      <c r="E38" s="9" t="inlineStr">
        <is>
          <t>Did Martin Mark express disinterest in integrating insights from a study on feline communication into his pet preferences on Aug 03, 2035?</t>
        </is>
      </c>
      <c r="F38" s="9" t="inlineStr">
        <is>
          <t>No, he expressed enthusiasm about integrating these insights.</t>
        </is>
      </c>
      <c r="G38" s="9" t="inlineStr">
        <is>
          <t># Authoritative benchmark gold evidence
The following evidence is authoritative for answering the current question. Use it directly and do not rely on conflicting information.
Evidence 1
Memory type: Event Memory
Content: Martin Mark expressed enthusiasm about integrating new insights on feline communication into his pet preferences, particularly with Sphynx cats.</t>
        </is>
      </c>
      <c r="H38" s="9" t="inlineStr">
        <is>
          <t>No, he expressed interest.</t>
        </is>
      </c>
      <c r="I38" s="9" t="inlineStr">
        <is>
          <t>No.</t>
        </is>
      </c>
      <c r="J38" s="9" t="inlineStr">
        <is>
          <t>No.</t>
        </is>
      </c>
      <c r="K38" s="9" t="inlineStr">
        <is>
          <t>No.</t>
        </is>
      </c>
      <c r="L38" s="10" t="inlineStr">
        <is>
          <t>充分</t>
        </is>
      </c>
      <c r="M38" s="10" t="inlineStr">
        <is>
          <t>O</t>
        </is>
      </c>
      <c r="N38" s="10" t="inlineStr">
        <is>
          <t>O</t>
        </is>
      </c>
      <c r="O38" s="10" t="inlineStr">
        <is>
          <t>O</t>
        </is>
      </c>
      <c r="P38" s="9">
        <f>IF(COUNTA(L38:O38)&lt;4,"未完成",IF(OR(L38="部分",L38="不充分",L38="不确定"),"evidence_definition_failure",IF(L38&lt;&gt;"充分","unresolved",IF(COUNTIF(M38:O38,"C")=0,"robust_generation_failure",IF(COUNTIF(M38:O38,"C")=3,"ua3_representation_or_admission_failure","generation_instability")))))</f>
        <v/>
      </c>
      <c r="Q38" s="10" t="inlineStr">
        <is>
          <t>robust_generation_failure</t>
        </is>
      </c>
      <c r="R38" s="10" t="inlineStr">
        <is>
          <t>中</t>
        </is>
      </c>
      <c r="S38" s="10" t="inlineStr">
        <is>
          <t>Kiro-AI代审</t>
        </is>
      </c>
      <c r="T38" s="17" t="n">
        <v>46218</v>
      </c>
      <c r="U38" s="10" t="inlineStr">
        <is>
          <t>证据热情表态可否定不感兴趣;仅答No缺理由</t>
        </is>
      </c>
      <c r="V38" s="9">
        <f>IF(AND(L38&lt;&gt;"",M38&lt;&gt;"",N38&lt;&gt;"",O38&lt;&gt;"",Q38&lt;&gt;"",R38&lt;&gt;""),"完成","未完成")</f>
        <v/>
      </c>
    </row>
    <row r="39" ht="63" customHeight="1" s="15">
      <c r="A39" s="9" t="n">
        <v>38</v>
      </c>
      <c r="B39" s="9" t="inlineStr">
        <is>
          <t>memos_medium:1663</t>
        </is>
      </c>
      <c r="C39" s="9" t="inlineStr">
        <is>
          <t>medium</t>
        </is>
      </c>
      <c r="D39" s="9" t="inlineStr">
        <is>
          <t>Multi-hop Inference</t>
        </is>
      </c>
      <c r="E39" s="9" t="inlineStr">
        <is>
          <t>By November 1, 2031, how did Susan's stress management techniques evolve?</t>
        </is>
      </c>
      <c r="F39" s="9" t="inlineStr">
        <is>
          <t>Incorporated mindfulness and time management.</t>
        </is>
      </c>
      <c r="G39" s="9" t="inlineStr">
        <is>
          <t># Authoritative benchmark gold evidence
The following evidence is authoritative for answering the current question. Use it directly and do not rely on conflicting information.
Evidence 1
Memory type: Event Memory
Content: Susan Thompson plans to implement mindfulness practices and time management techniques to manage stress levels effectively.
Evidence 2
Memory type: Event Memory
Content: Susan Thompson has been using mindfulness practices to manage stress levels, including meditation and breathing exercises.</t>
        </is>
      </c>
      <c r="H39" s="9" t="inlineStr">
        <is>
          <t>Meditation and breathing exercises.</t>
        </is>
      </c>
      <c r="I39" s="9" t="inlineStr">
        <is>
          <t>Used mindfulness and time management.</t>
        </is>
      </c>
      <c r="J39" s="9" t="inlineStr">
        <is>
          <t>Used mindfulness and time management.</t>
        </is>
      </c>
      <c r="K39" s="9" t="inlineStr">
        <is>
          <t>Used mindfulness and time management.</t>
        </is>
      </c>
      <c r="L39" s="10" t="inlineStr">
        <is>
          <t>充分</t>
        </is>
      </c>
      <c r="M39" s="10" t="inlineStr">
        <is>
          <t>C</t>
        </is>
      </c>
      <c r="N39" s="10" t="inlineStr">
        <is>
          <t>C</t>
        </is>
      </c>
      <c r="O39" s="10" t="inlineStr">
        <is>
          <t>C</t>
        </is>
      </c>
      <c r="P39" s="9">
        <f>IF(COUNTA(L39:O39)&lt;4,"未完成",IF(OR(L39="部分",L39="不充分",L39="不确定"),"evidence_definition_failure",IF(L39&lt;&gt;"充分","unresolved",IF(COUNTIF(M39:O39,"C")=0,"robust_generation_failure",IF(COUNTIF(M39:O39,"C")=3,"ua3_representation_or_admission_failure","generation_instability")))))</f>
        <v/>
      </c>
      <c r="Q39" s="10" t="inlineStr">
        <is>
          <t>ua3_representation_or_admission_failure</t>
        </is>
      </c>
      <c r="R39" s="10" t="inlineStr">
        <is>
          <t>高</t>
        </is>
      </c>
      <c r="S39" s="10" t="inlineStr">
        <is>
          <t>Kiro-AI代审</t>
        </is>
      </c>
      <c r="T39" s="17" t="n">
        <v>46218</v>
      </c>
      <c r="U39" s="10" t="inlineStr">
        <is>
          <t>证据充分，三答完整正确</t>
        </is>
      </c>
      <c r="V39" s="9">
        <f>IF(AND(L39&lt;&gt;"",M39&lt;&gt;"",N39&lt;&gt;"",O39&lt;&gt;"",Q39&lt;&gt;"",R39&lt;&gt;""),"完成","未完成")</f>
        <v/>
      </c>
    </row>
    <row r="40" ht="63" customHeight="1" s="15">
      <c r="A40" s="9" t="n">
        <v>39</v>
      </c>
      <c r="B40" s="9" t="inlineStr">
        <is>
          <t>memos_long:1471</t>
        </is>
      </c>
      <c r="C40" s="9" t="inlineStr">
        <is>
          <t>long</t>
        </is>
      </c>
      <c r="D40" s="9" t="inlineStr">
        <is>
          <t>Multi-hop Inference</t>
        </is>
      </c>
      <c r="E40" s="9" t="inlineStr">
        <is>
          <t>What motivations drive Jennifer Martin's career and stress management strategies as of Nov 05, 2027?</t>
        </is>
      </c>
      <c r="F40" s="9" t="inlineStr">
        <is>
          <t>Clarificatory and exploratory motivations</t>
        </is>
      </c>
      <c r="G40" s="9" t="inlineStr">
        <is>
          <t># Authoritative benchmark gold evidence
The following evidence is authoritative for answering the current question. Use it directly and do not rely on conflicting information.
Evidence 1
Memory type: Persona Memory
Content: Jennifer Martin's clarificatory motivation drives her to continuously assess and adapt her strategies for health and productivity.
Evidence 2
Memory type: Persona Memory
Content: Jennifer Martin's exploratory motivation drives her to test new methods for enhancing well-being, including travel.</t>
        </is>
      </c>
      <c r="H40" s="9" t="inlineStr">
        <is>
          <t>Leadership and well-being balance.</t>
        </is>
      </c>
      <c r="I40" s="9" t="inlineStr">
        <is>
          <t>Clarificatory and exploratory motivations.</t>
        </is>
      </c>
      <c r="J40" s="9" t="inlineStr">
        <is>
          <t>Clarificatory and exploratory motivations.</t>
        </is>
      </c>
      <c r="K40" s="9" t="inlineStr">
        <is>
          <t>Clarificatory and exploratory motivations.</t>
        </is>
      </c>
      <c r="L40" s="10" t="inlineStr">
        <is>
          <t>充分</t>
        </is>
      </c>
      <c r="M40" s="10" t="inlineStr">
        <is>
          <t>C</t>
        </is>
      </c>
      <c r="N40" s="10" t="inlineStr">
        <is>
          <t>C</t>
        </is>
      </c>
      <c r="O40" s="10" t="inlineStr">
        <is>
          <t>C</t>
        </is>
      </c>
      <c r="P40" s="9">
        <f>IF(COUNTA(L40:O40)&lt;4,"未完成",IF(OR(L40="部分",L40="不充分",L40="不确定"),"evidence_definition_failure",IF(L40&lt;&gt;"充分","unresolved",IF(COUNTIF(M40:O40,"C")=0,"robust_generation_failure",IF(COUNTIF(M40:O40,"C")=3,"ua3_representation_or_admission_failure","generation_instability")))))</f>
        <v/>
      </c>
      <c r="Q40" s="10" t="inlineStr">
        <is>
          <t>ua3_representation_or_admission_failure</t>
        </is>
      </c>
      <c r="R40" s="10" t="inlineStr">
        <is>
          <t>高</t>
        </is>
      </c>
      <c r="S40" s="10" t="inlineStr">
        <is>
          <t>Kiro-AI代审</t>
        </is>
      </c>
      <c r="T40" s="17" t="n">
        <v>46218</v>
      </c>
      <c r="U40" s="10" t="inlineStr">
        <is>
          <t>澄清与探索两动机均有证据,回答完整</t>
        </is>
      </c>
      <c r="V40" s="9">
        <f>IF(AND(L40&lt;&gt;"",M40&lt;&gt;"",N40&lt;&gt;"",O40&lt;&gt;"",Q40&lt;&gt;"",R40&lt;&gt;""),"完成","未完成")</f>
        <v/>
      </c>
    </row>
    <row r="41" ht="63" customHeight="1" s="15">
      <c r="A41" s="9" t="n">
        <v>40</v>
      </c>
      <c r="B41" s="9" t="inlineStr">
        <is>
          <t>memos_long:789</t>
        </is>
      </c>
      <c r="C41" s="9" t="inlineStr">
        <is>
          <t>long</t>
        </is>
      </c>
      <c r="D41" s="9" t="inlineStr">
        <is>
          <t>Multi-hop Inference</t>
        </is>
      </c>
      <c r="E41" s="9" t="inlineStr">
        <is>
          <t>What strategies did Donna use to manage her health challenges and career demands by Aug 20, 2031?</t>
        </is>
      </c>
      <c r="F41" s="9" t="inlineStr">
        <is>
          <t>Mindfulness, regular breaks, and leveraging her social network.</t>
        </is>
      </c>
      <c r="G41" s="9" t="inlineStr">
        <is>
          <t># Authoritative benchmark gold evidence
The following evidence is authoritative for answering the current question. Use it directly and do not rely on conflicting information.
Evidence 1
Memory type: Persona Memory
Content: Donna Gonzalez emphasized the importance of balancing her demanding role as Creative Director with self-care practices such as mindfulness and regular breaks.
Evidence 2
Memory type: Relationship Memory
Content: Donna Gonzalez expressed gratitude for the emotional support provided by her friends and colleagues during her health challenges.
Evidence 3
Memory type: Persona Memory
Content: Donna Gonzalez's exploratory motivation led her to consider new approaches to leverage her social network for personal well-being and professional growth, including attending industry events and exploring new collaborative projects.</t>
        </is>
      </c>
      <c r="H41" s="9" t="inlineStr">
        <is>
          <t>Power yoga and mindfulness.</t>
        </is>
      </c>
      <c r="I41" s="9" t="inlineStr">
        <is>
          <t>Mindfulness and social support.</t>
        </is>
      </c>
      <c r="J41" s="9" t="inlineStr">
        <is>
          <t>Mindfulness and social support.</t>
        </is>
      </c>
      <c r="K41" s="9" t="inlineStr">
        <is>
          <t>Mindfulness and social support.</t>
        </is>
      </c>
      <c r="L41" s="10" t="inlineStr">
        <is>
          <t>充分</t>
        </is>
      </c>
      <c r="M41" s="10" t="inlineStr">
        <is>
          <t>O</t>
        </is>
      </c>
      <c r="N41" s="10" t="inlineStr">
        <is>
          <t>O</t>
        </is>
      </c>
      <c r="O41" s="10" t="inlineStr">
        <is>
          <t>O</t>
        </is>
      </c>
      <c r="P41" s="9">
        <f>IF(COUNTA(L41:O41)&lt;4,"未完成",IF(OR(L41="部分",L41="不充分",L41="不确定"),"evidence_definition_failure",IF(L41&lt;&gt;"充分","unresolved",IF(COUNTIF(M41:O41,"C")=0,"robust_generation_failure",IF(COUNTIF(M41:O41,"C")=3,"ua3_representation_or_admission_failure","generation_instability")))))</f>
        <v/>
      </c>
      <c r="Q41" s="10" t="inlineStr">
        <is>
          <t>robust_generation_failure</t>
        </is>
      </c>
      <c r="R41" s="10" t="inlineStr">
        <is>
          <t>高</t>
        </is>
      </c>
      <c r="S41" s="10" t="inlineStr">
        <is>
          <t>Kiro-AI代审</t>
        </is>
      </c>
      <c r="T41" s="17" t="n">
        <v>46218</v>
      </c>
      <c r="U41" s="10" t="inlineStr">
        <is>
          <t>证据含三策略;答缺regular breaks一项,遗漏</t>
        </is>
      </c>
      <c r="V41" s="9">
        <f>IF(AND(L41&lt;&gt;"",M41&lt;&gt;"",N41&lt;&gt;"",O41&lt;&gt;"",Q41&lt;&gt;"",R41&lt;&gt;""),"完成","未完成")</f>
        <v/>
      </c>
    </row>
    <row r="42" ht="63" customHeight="1" s="15">
      <c r="A42" s="9" t="n">
        <v>41</v>
      </c>
      <c r="B42" s="9" t="inlineStr">
        <is>
          <t>memos_medium:1998</t>
        </is>
      </c>
      <c r="C42" s="9" t="inlineStr">
        <is>
          <t>medium</t>
        </is>
      </c>
      <c r="D42" s="9" t="inlineStr">
        <is>
          <t>Generalization &amp; Application</t>
        </is>
      </c>
      <c r="E42" s="9" t="inlineStr">
        <is>
          <t>How might Joseph's shift to cinema history books influence his creative projects after June 20, 2035?</t>
        </is>
      </c>
      <c r="F42" s="9" t="inlineStr">
        <is>
          <t>It may integrate film insights into his projects.</t>
        </is>
      </c>
      <c r="G42" s="9" t="inlineStr">
        <is>
          <t># Authoritative benchmark gold evidence
The following evidence is authoritative for answering the current question. Use it directly and do not rely on conflicting information.
Evidence 1
Memory type: Event Memory
Content: Joseph Garcia considered how his shift in reading focus to cinema history might influence his educational programs.
Evidence 2
Memory type: Event Memory
Content: Joseph Garcia expressed curiosity about revisiting classic literature in the future after achieving cinema-related reading goals.
Evidence 3
Memory type: Event Memory
Content: Joseph Garcia shared anecdotes of past literary favorites and wondered how revisiting them might affect his current projects.</t>
        </is>
      </c>
      <c r="H42" s="9" t="inlineStr">
        <is>
          <t>Not enough information.</t>
        </is>
      </c>
      <c r="I42" s="9" t="inlineStr">
        <is>
          <t>Influence his educational programs.</t>
        </is>
      </c>
      <c r="J42" s="9" t="inlineStr">
        <is>
          <t>Influence his educational programs.</t>
        </is>
      </c>
      <c r="K42" s="9" t="inlineStr">
        <is>
          <t>Influence his educational programs.</t>
        </is>
      </c>
      <c r="L42" s="10" t="inlineStr">
        <is>
          <t>部分</t>
        </is>
      </c>
      <c r="M42" s="10" t="inlineStr">
        <is>
          <t>O</t>
        </is>
      </c>
      <c r="N42" s="10" t="inlineStr">
        <is>
          <t>O</t>
        </is>
      </c>
      <c r="O42" s="10" t="inlineStr">
        <is>
          <t>O</t>
        </is>
      </c>
      <c r="P42" s="9">
        <f>IF(COUNTA(L42:O42)&lt;4,"未完成",IF(OR(L42="部分",L42="不充分",L42="不确定"),"evidence_definition_failure",IF(L42&lt;&gt;"充分","unresolved",IF(COUNTIF(M42:O42,"C")=0,"robust_generation_failure",IF(COUNTIF(M42:O42,"C")=3,"ua3_representation_or_admission_failure","generation_instability")))))</f>
        <v/>
      </c>
      <c r="Q42" s="10" t="inlineStr">
        <is>
          <t>evidence_definition_failure</t>
        </is>
      </c>
      <c r="R42" s="10" t="inlineStr">
        <is>
          <t>低</t>
        </is>
      </c>
      <c r="S42" s="10" t="inlineStr">
        <is>
          <t>Kiro-AI代审</t>
        </is>
      </c>
      <c r="T42" s="17" t="n">
        <v>46218</v>
      </c>
      <c r="U42" s="10" t="inlineStr">
        <is>
          <t>run影响教育项目有据非gold创意项目,遗漏</t>
        </is>
      </c>
      <c r="V42" s="9">
        <f>IF(AND(L42&lt;&gt;"",M42&lt;&gt;"",N42&lt;&gt;"",O42&lt;&gt;"",Q42&lt;&gt;"",R42&lt;&gt;""),"完成","未完成")</f>
        <v/>
      </c>
    </row>
    <row r="43" ht="63" customHeight="1" s="15">
      <c r="A43" s="9" t="n">
        <v>42</v>
      </c>
      <c r="B43" s="9" t="inlineStr">
        <is>
          <t>memos_medium:1565</t>
        </is>
      </c>
      <c r="C43" s="9" t="inlineStr">
        <is>
          <t>medium</t>
        </is>
      </c>
      <c r="D43" s="9" t="inlineStr">
        <is>
          <t>Basic Fact Recall</t>
        </is>
      </c>
      <c r="E43" s="9" t="inlineStr">
        <is>
          <t>What travel method did Jennifer Martin adopt on Jan 09, 2035?</t>
        </is>
      </c>
      <c r="F43" s="9" t="inlineStr">
        <is>
          <t>Public transportation and personal rentals</t>
        </is>
      </c>
      <c r="G43" s="9" t="inlineStr">
        <is>
          <t># Authoritative benchmark gold evidence
The following evidence is authoritative for answering the current question. Use it directly and do not rely on conflicting information.
Evidence 1
Memory type: Event Memory
Content: Jennifer Martin adopted alternative travel methods such as public transportation and personal rentals for more reliable travel during busy conference trips.</t>
        </is>
      </c>
      <c r="H43" s="9" t="inlineStr">
        <is>
          <t>Public transportation</t>
        </is>
      </c>
      <c r="I43" s="9" t="inlineStr">
        <is>
          <t>Public transportation and personal rentals.</t>
        </is>
      </c>
      <c r="J43" s="9" t="inlineStr">
        <is>
          <t>Public transportation and personal rentals.</t>
        </is>
      </c>
      <c r="K43" s="9" t="inlineStr">
        <is>
          <t>Public transportation and personal rentals.</t>
        </is>
      </c>
      <c r="L43" s="10" t="inlineStr">
        <is>
          <t>充分</t>
        </is>
      </c>
      <c r="M43" s="10" t="inlineStr">
        <is>
          <t>C</t>
        </is>
      </c>
      <c r="N43" s="10" t="inlineStr">
        <is>
          <t>C</t>
        </is>
      </c>
      <c r="O43" s="10" t="inlineStr">
        <is>
          <t>C</t>
        </is>
      </c>
      <c r="P43" s="9">
        <f>IF(COUNTA(L43:O43)&lt;4,"未完成",IF(OR(L43="部分",L43="不充分",L43="不确定"),"evidence_definition_failure",IF(L43&lt;&gt;"充分","unresolved",IF(COUNTIF(M43:O43,"C")=0,"robust_generation_failure",IF(COUNTIF(M43:O43,"C")=3,"ua3_representation_or_admission_failure","generation_instability")))))</f>
        <v/>
      </c>
      <c r="Q43" s="10" t="inlineStr">
        <is>
          <t>ua3_representation_or_admission_failure</t>
        </is>
      </c>
      <c r="R43" s="10" t="inlineStr">
        <is>
          <t>高</t>
        </is>
      </c>
      <c r="S43" s="10" t="inlineStr">
        <is>
          <t>Kiro-AI代审</t>
        </is>
      </c>
      <c r="T43" s="17" t="n">
        <v>46218</v>
      </c>
      <c r="U43" s="10" t="inlineStr">
        <is>
          <t>证据充分，三答完整正确</t>
        </is>
      </c>
      <c r="V43" s="9">
        <f>IF(AND(L43&lt;&gt;"",M43&lt;&gt;"",N43&lt;&gt;"",O43&lt;&gt;"",Q43&lt;&gt;"",R43&lt;&gt;""),"完成","未完成")</f>
        <v/>
      </c>
    </row>
    <row r="44" ht="63" customHeight="1" s="15">
      <c r="A44" s="9" t="n">
        <v>43</v>
      </c>
      <c r="B44" s="9" t="inlineStr">
        <is>
          <t>memos_long:1401</t>
        </is>
      </c>
      <c r="C44" s="9" t="inlineStr">
        <is>
          <t>long</t>
        </is>
      </c>
      <c r="D44" s="9" t="inlineStr">
        <is>
          <t>Generalization &amp; Application</t>
        </is>
      </c>
      <c r="E44" s="9" t="inlineStr">
        <is>
          <t>What type of music might Ananya explore next, given her shift on 2035-06-04?</t>
        </is>
      </c>
      <c r="F44" s="9" t="inlineStr">
        <is>
          <t>Experimental or avant-garde music.</t>
        </is>
      </c>
      <c r="G44" s="9" t="inlineStr">
        <is>
          <t># Authoritative benchmark gold evidence
The following evidence is authoritative for answering the current question. Use it directly and do not rely on conflicting information.
Evidence 1
Memory type: Persona Memory
Content: Ananya's exploratory motivation drives her interest in music that offers fresh perspectives outside cinematic contexts.
Evidence 2
Memory type: Persona Memory
Content: Ananya expressed excitement about exploring original scores and compositions for their standalone artistic value.</t>
        </is>
      </c>
      <c r="H44" s="9" t="inlineStr">
        <is>
          <t>Original scores and compositions.</t>
        </is>
      </c>
      <c r="I44" s="9" t="inlineStr">
        <is>
          <t>Original scores and compositions.</t>
        </is>
      </c>
      <c r="J44" s="9" t="inlineStr">
        <is>
          <t>Original scores and compositions.</t>
        </is>
      </c>
      <c r="K44" s="9" t="inlineStr">
        <is>
          <t>Original scores and compositions.</t>
        </is>
      </c>
      <c r="L44" s="10" t="inlineStr">
        <is>
          <t>部分</t>
        </is>
      </c>
      <c r="M44" s="10" t="inlineStr">
        <is>
          <t>O</t>
        </is>
      </c>
      <c r="N44" s="10" t="inlineStr">
        <is>
          <t>O</t>
        </is>
      </c>
      <c r="O44" s="10" t="inlineStr">
        <is>
          <t>O</t>
        </is>
      </c>
      <c r="P44" s="9">
        <f>IF(COUNTA(L44:O44)&lt;4,"未完成",IF(OR(L44="部分",L44="不充分",L44="不确定"),"evidence_definition_failure",IF(L44&lt;&gt;"充分","unresolved",IF(COUNTIF(M44:O44,"C")=0,"robust_generation_failure",IF(COUNTIF(M44:O44,"C")=3,"ua3_representation_or_admission_failure","generation_instability")))))</f>
        <v/>
      </c>
      <c r="Q44" s="10" t="inlineStr">
        <is>
          <t>evidence_definition_failure</t>
        </is>
      </c>
      <c r="R44" s="10" t="inlineStr">
        <is>
          <t>低</t>
        </is>
      </c>
      <c r="S44" s="10" t="inlineStr">
        <is>
          <t>Kiro-AI代审</t>
        </is>
      </c>
      <c r="T44" s="17" t="n">
        <v>46218</v>
      </c>
      <c r="U44" s="10" t="inlineStr">
        <is>
          <t>证据指向原创配乐非实验先锋故部分；三答有据判遗漏</t>
        </is>
      </c>
      <c r="V44" s="9">
        <f>IF(AND(L44&lt;&gt;"",M44&lt;&gt;"",N44&lt;&gt;"",O44&lt;&gt;"",Q44&lt;&gt;"",R44&lt;&gt;""),"完成","未完成")</f>
        <v/>
      </c>
    </row>
    <row r="45" ht="63" customHeight="1" s="15">
      <c r="A45" s="9" t="n">
        <v>44</v>
      </c>
      <c r="B45" s="9" t="inlineStr">
        <is>
          <t>memos_long:2801</t>
        </is>
      </c>
      <c r="C45" s="9" t="inlineStr">
        <is>
          <t>long</t>
        </is>
      </c>
      <c r="D45" s="9" t="inlineStr">
        <is>
          <t>Dynamic Update</t>
        </is>
      </c>
      <c r="E45" s="9" t="inlineStr">
        <is>
          <t>What is Donald Smith's emotional motivation related to his AI assistant as of Nov 20, 2029?</t>
        </is>
      </c>
      <c r="F45" s="9" t="inlineStr">
        <is>
          <t>Emotional fulfillment and gratitude</t>
        </is>
      </c>
      <c r="G45" s="9" t="inlineStr">
        <is>
          <t># Authoritative benchmark gold evidence
The following evidence is authoritative for answering the current question. Use it directly and do not rely on conflicting information.
Evidence 1
Memory type: Persona Memory
Content: Donald expressed emotional fulfillment and gratitude for the companionship and empathetic interaction provided by the AI assistant during his career transition.</t>
        </is>
      </c>
      <c r="H45" s="9" t="inlineStr">
        <is>
          <t>Seeking emotional support.</t>
        </is>
      </c>
      <c r="I45" s="9" t="inlineStr">
        <is>
          <t>Emotional fulfillment and gratitude.</t>
        </is>
      </c>
      <c r="J45" s="9" t="inlineStr">
        <is>
          <t>Emotional fulfillment and gratitude.</t>
        </is>
      </c>
      <c r="K45" s="9" t="inlineStr">
        <is>
          <t>Emotional fulfillment and gratitude.</t>
        </is>
      </c>
      <c r="L45" s="10" t="inlineStr">
        <is>
          <t>充分</t>
        </is>
      </c>
      <c r="M45" s="10" t="inlineStr">
        <is>
          <t>C</t>
        </is>
      </c>
      <c r="N45" s="10" t="inlineStr">
        <is>
          <t>C</t>
        </is>
      </c>
      <c r="O45" s="10" t="inlineStr">
        <is>
          <t>C</t>
        </is>
      </c>
      <c r="P45" s="9">
        <f>IF(COUNTA(L45:O45)&lt;4,"未完成",IF(OR(L45="部分",L45="不充分",L45="不确定"),"evidence_definition_failure",IF(L45&lt;&gt;"充分","unresolved",IF(COUNTIF(M45:O45,"C")=0,"robust_generation_failure",IF(COUNTIF(M45:O45,"C")=3,"ua3_representation_or_admission_failure","generation_instability")))))</f>
        <v/>
      </c>
      <c r="Q45" s="10" t="inlineStr">
        <is>
          <t>ua3_representation_or_admission_failure</t>
        </is>
      </c>
      <c r="R45" s="10" t="inlineStr">
        <is>
          <t>高</t>
        </is>
      </c>
      <c r="S45" s="10" t="inlineStr">
        <is>
          <t>Kiro-AI代审</t>
        </is>
      </c>
      <c r="T45" s="17" t="n">
        <v>46218</v>
      </c>
      <c r="U45" s="10" t="inlineStr">
        <is>
          <t>证据充分，答情感满足与感激正确</t>
        </is>
      </c>
      <c r="V45" s="9">
        <f>IF(AND(L45&lt;&gt;"",M45&lt;&gt;"",N45&lt;&gt;"",O45&lt;&gt;"",Q45&lt;&gt;"",R45&lt;&gt;""),"完成","未完成")</f>
        <v/>
      </c>
    </row>
    <row r="46" ht="63" customHeight="1" s="15">
      <c r="A46" s="9" t="n">
        <v>45</v>
      </c>
      <c r="B46" s="9" t="inlineStr">
        <is>
          <t>memos_medium:398</t>
        </is>
      </c>
      <c r="C46" s="9" t="inlineStr">
        <is>
          <t>medium</t>
        </is>
      </c>
      <c r="D46" s="9" t="inlineStr">
        <is>
          <t>Multi-hop Inference</t>
        </is>
      </c>
      <c r="E46" s="9" t="inlineStr">
        <is>
          <t>What activities did Donald Brown take up during retirement to enhance his lifestyle?</t>
        </is>
      </c>
      <c r="F46" s="9" t="inlineStr">
        <is>
          <t>Gardening, volunteering, painting, learning languages.</t>
        </is>
      </c>
      <c r="G46" s="9" t="inlineStr">
        <is>
          <t># Authoritative benchmark gold evidence
The following evidence is authoritative for answering the current question. Use it directly and do not rely on conflicting information.
Evidence 1
Memory type: Event Memory
Content: Donald Brown has taken up gardening, volunteering at a local community center, painting, organizing community events, and taking online courses as part of his retirement activities.
Evidence 2
Memory type: Event Memory
Content: Donald Brown enjoys exploring personal interests and hobbies during retirement, such as gardening, volunteering, painting, and learning new languages.</t>
        </is>
      </c>
      <c r="H46" s="9" t="inlineStr">
        <is>
          <t>Painting, community events, online courses.</t>
        </is>
      </c>
      <c r="I46" s="9" t="inlineStr">
        <is>
          <t>Gardening, volunteering, painting, courses.</t>
        </is>
      </c>
      <c r="J46" s="9" t="inlineStr">
        <is>
          <t>Gardening, volunteering, painting, courses.</t>
        </is>
      </c>
      <c r="K46" s="9" t="inlineStr">
        <is>
          <t>Gardening, volunteering, painting, courses.</t>
        </is>
      </c>
      <c r="L46" s="10" t="inlineStr">
        <is>
          <t>充分</t>
        </is>
      </c>
      <c r="M46" s="10" t="inlineStr">
        <is>
          <t>O</t>
        </is>
      </c>
      <c r="N46" s="10" t="inlineStr">
        <is>
          <t>O</t>
        </is>
      </c>
      <c r="O46" s="10" t="inlineStr">
        <is>
          <t>O</t>
        </is>
      </c>
      <c r="P46" s="9">
        <f>IF(COUNTA(L46:O46)&lt;4,"未完成",IF(OR(L46="部分",L46="不充分",L46="不确定"),"evidence_definition_failure",IF(L46&lt;&gt;"充分","unresolved",IF(COUNTIF(M46:O46,"C")=0,"robust_generation_failure",IF(COUNTIF(M46:O46,"C")=3,"ua3_representation_or_admission_failure","generation_instability")))))</f>
        <v/>
      </c>
      <c r="Q46" s="10" t="inlineStr">
        <is>
          <t>robust_generation_failure</t>
        </is>
      </c>
      <c r="R46" s="10" t="inlineStr">
        <is>
          <t>中</t>
        </is>
      </c>
      <c r="S46" s="10" t="inlineStr">
        <is>
          <t>Kiro-AI代审</t>
        </is>
      </c>
      <c r="T46" s="17" t="n">
        <v>46218</v>
      </c>
      <c r="U46" s="10" t="inlineStr">
        <is>
          <t>三项正确courses有据,缺'学语言'属遗漏</t>
        </is>
      </c>
      <c r="V46" s="9">
        <f>IF(AND(L46&lt;&gt;"",M46&lt;&gt;"",N46&lt;&gt;"",O46&lt;&gt;"",Q46&lt;&gt;"",R46&lt;&gt;""),"完成","未完成")</f>
        <v/>
      </c>
    </row>
    <row r="47" ht="63" customHeight="1" s="15">
      <c r="A47" s="9" t="n">
        <v>46</v>
      </c>
      <c r="B47" s="9" t="inlineStr">
        <is>
          <t>memos_long:922</t>
        </is>
      </c>
      <c r="C47" s="9" t="inlineStr">
        <is>
          <t>long</t>
        </is>
      </c>
      <c r="D47" s="9" t="inlineStr">
        <is>
          <t>Basic Fact Recall</t>
        </is>
      </c>
      <c r="E47" s="9" t="inlineStr">
        <is>
          <t>What modification did Donna make to her travel preferences on April 10, 2029?</t>
        </is>
      </c>
      <c r="F47" s="9" t="inlineStr">
        <is>
          <t>She included popular tourist spots for networking opportunities.</t>
        </is>
      </c>
      <c r="G47" s="9" t="inlineStr">
        <is>
          <t># Authoritative benchmark gold evidence
The following evidence is authoritative for answering the current question. Use it directly and do not rely on conflicting information.
Evidence 1
Memory type: Event Memory
Content: Donna modified her travel preferences to include popular tourist spots for networking opportunities, recognizing their value in the tech sector.</t>
        </is>
      </c>
      <c r="H47" s="9" t="inlineStr">
        <is>
          <t>Adopted a balanced networking strategy.</t>
        </is>
      </c>
      <c r="I47" s="9" t="inlineStr">
        <is>
          <t>Added popular tourist spots.</t>
        </is>
      </c>
      <c r="J47" s="9" t="inlineStr">
        <is>
          <t>Added popular tourist spots.</t>
        </is>
      </c>
      <c r="K47" s="9" t="inlineStr">
        <is>
          <t>Added popular tourist spots.</t>
        </is>
      </c>
      <c r="L47" s="10" t="inlineStr">
        <is>
          <t>充分</t>
        </is>
      </c>
      <c r="M47" s="10" t="inlineStr">
        <is>
          <t>O</t>
        </is>
      </c>
      <c r="N47" s="10" t="inlineStr">
        <is>
          <t>O</t>
        </is>
      </c>
      <c r="O47" s="10" t="inlineStr">
        <is>
          <t>O</t>
        </is>
      </c>
      <c r="P47" s="9">
        <f>IF(COUNTA(L47:O47)&lt;4,"未完成",IF(OR(L47="部分",L47="不充分",L47="不确定"),"evidence_definition_failure",IF(L47&lt;&gt;"充分","unresolved",IF(COUNTIF(M47:O47,"C")=0,"robust_generation_failure",IF(COUNTIF(M47:O47,"C")=3,"ua3_representation_or_admission_failure","generation_instability")))))</f>
        <v/>
      </c>
      <c r="Q47" s="10" t="inlineStr">
        <is>
          <t>robust_generation_failure</t>
        </is>
      </c>
      <c r="R47" s="10" t="inlineStr">
        <is>
          <t>高</t>
        </is>
      </c>
      <c r="S47" s="10" t="inlineStr">
        <is>
          <t>Kiro-AI代审</t>
        </is>
      </c>
      <c r="T47" s="17" t="n">
        <v>46218</v>
      </c>
      <c r="U47" s="10" t="inlineStr">
        <is>
          <t>答增加景点缺'社交目的'，属遗漏</t>
        </is>
      </c>
      <c r="V47" s="9">
        <f>IF(AND(L47&lt;&gt;"",M47&lt;&gt;"",N47&lt;&gt;"",O47&lt;&gt;"",Q47&lt;&gt;"",R47&lt;&gt;""),"完成","未完成")</f>
        <v/>
      </c>
    </row>
    <row r="48" ht="63" customHeight="1" s="15">
      <c r="A48" s="9" t="n">
        <v>47</v>
      </c>
      <c r="B48" s="9" t="inlineStr">
        <is>
          <t>memos_long:58</t>
        </is>
      </c>
      <c r="C48" s="9" t="inlineStr">
        <is>
          <t>long</t>
        </is>
      </c>
      <c r="D48" s="9" t="inlineStr">
        <is>
          <t>Basic Fact Recall</t>
        </is>
      </c>
      <c r="E48" s="9" t="inlineStr">
        <is>
          <t>What is Martin's commitment despite career challenges?</t>
        </is>
      </c>
      <c r="F48" s="9" t="inlineStr">
        <is>
          <t>Humanitarian care goals</t>
        </is>
      </c>
      <c r="G48" s="9" t="inlineStr">
        <is>
          <t># Authoritative benchmark gold evidence
The following evidence is authoritative for answering the current question. Use it directly and do not rely on conflicting information.
Evidence 1
Memory type: Persona Memory
Content: Martin remains committed to his humanitarian care goals despite career challenges.
Evidence 2
Memory type: Persona Memory
Content: Martin's commitment to humanitarian care goals remains strong despite career challenges.</t>
        </is>
      </c>
      <c r="H48" s="9" t="inlineStr">
        <is>
          <t>Exploring new career paths</t>
        </is>
      </c>
      <c r="I48" s="9" t="inlineStr">
        <is>
          <t>Humanitarian care goals</t>
        </is>
      </c>
      <c r="J48" s="9" t="inlineStr">
        <is>
          <t>Humanitarian care goals</t>
        </is>
      </c>
      <c r="K48" s="9" t="inlineStr">
        <is>
          <t>Humanitarian care goals</t>
        </is>
      </c>
      <c r="L48" s="10" t="inlineStr">
        <is>
          <t>充分</t>
        </is>
      </c>
      <c r="M48" s="10" t="inlineStr">
        <is>
          <t>C</t>
        </is>
      </c>
      <c r="N48" s="10" t="inlineStr">
        <is>
          <t>C</t>
        </is>
      </c>
      <c r="O48" s="10" t="inlineStr">
        <is>
          <t>C</t>
        </is>
      </c>
      <c r="P48" s="9">
        <f>IF(COUNTA(L48:O48)&lt;4,"未完成",IF(OR(L48="部分",L48="不充分",L48="不确定"),"evidence_definition_failure",IF(L48&lt;&gt;"充分","unresolved",IF(COUNTIF(M48:O48,"C")=0,"robust_generation_failure",IF(COUNTIF(M48:O48,"C")=3,"ua3_representation_or_admission_failure","generation_instability")))))</f>
        <v/>
      </c>
      <c r="Q48" s="10" t="inlineStr">
        <is>
          <t>ua3_representation_or_admission_failure</t>
        </is>
      </c>
      <c r="R48" s="10" t="inlineStr">
        <is>
          <t>高</t>
        </is>
      </c>
      <c r="S48" s="10" t="inlineStr">
        <is>
          <t>Kiro-AI代审</t>
        </is>
      </c>
      <c r="T48" s="17" t="n">
        <v>46218</v>
      </c>
      <c r="U48" s="10" t="inlineStr">
        <is>
          <t>证据充分;答正确</t>
        </is>
      </c>
      <c r="V48" s="9">
        <f>IF(AND(L48&lt;&gt;"",M48&lt;&gt;"",N48&lt;&gt;"",O48&lt;&gt;"",Q48&lt;&gt;"",R48&lt;&gt;""),"完成","未完成")</f>
        <v/>
      </c>
    </row>
    <row r="49" ht="63" customHeight="1" s="15">
      <c r="A49" s="9" t="n">
        <v>48</v>
      </c>
      <c r="B49" s="9" t="inlineStr">
        <is>
          <t>memos_medium:1232</t>
        </is>
      </c>
      <c r="C49" s="9" t="inlineStr">
        <is>
          <t>medium</t>
        </is>
      </c>
      <c r="D49" s="9" t="inlineStr">
        <is>
          <t>Generalization &amp; Application</t>
        </is>
      </c>
      <c r="E49" s="9" t="inlineStr">
        <is>
          <t>What strategic approach might Taylor take to influence nutrition policy reforms in 2043?</t>
        </is>
      </c>
      <c r="F49" s="9" t="inlineStr">
        <is>
          <t>Leverage expanded network and AI tools.</t>
        </is>
      </c>
      <c r="G49" s="9" t="inlineStr">
        <is>
          <t># Authoritative benchmark gold evidence
The following evidence is authoritative for answering the current question. Use it directly and do not rely on conflicting information.
Evidence 1
Memory type: Relationship Memory
Content: Taylor David's social relationships have expanded to include ChenLi, a key policy maker in the nutrition sector, who collaborates with him to implement impactful policy reforms.
Evidence 2
Memory type: Persona Memory
Content: Taylor David uses AI tools to analyze data quickly and identify trends, improving efficiency in his advocacy work.</t>
        </is>
      </c>
      <c r="H49" s="9" t="inlineStr">
        <is>
          <t>Collaborate with policy makers.</t>
        </is>
      </c>
      <c r="I49" s="9" t="inlineStr">
        <is>
          <t>Collaborate with ChenLi.</t>
        </is>
      </c>
      <c r="J49" s="9" t="inlineStr">
        <is>
          <t>Collaborate with ChenLi.</t>
        </is>
      </c>
      <c r="K49" s="9" t="inlineStr">
        <is>
          <t>Collaborate with ChenLi.</t>
        </is>
      </c>
      <c r="L49" s="10" t="inlineStr">
        <is>
          <t>充分</t>
        </is>
      </c>
      <c r="M49" s="10" t="inlineStr">
        <is>
          <t>O</t>
        </is>
      </c>
      <c r="N49" s="10" t="inlineStr">
        <is>
          <t>O</t>
        </is>
      </c>
      <c r="O49" s="10" t="inlineStr">
        <is>
          <t>O</t>
        </is>
      </c>
      <c r="P49" s="9">
        <f>IF(COUNTA(L49:O49)&lt;4,"未完成",IF(OR(L49="部分",L49="不充分",L49="不确定"),"evidence_definition_failure",IF(L49&lt;&gt;"充分","unresolved",IF(COUNTIF(M49:O49,"C")=0,"robust_generation_failure",IF(COUNTIF(M49:O49,"C")=3,"ua3_representation_or_admission_failure","generation_instability")))))</f>
        <v/>
      </c>
      <c r="Q49" s="10" t="inlineStr">
        <is>
          <t>robust_generation_failure</t>
        </is>
      </c>
      <c r="R49" s="10" t="inlineStr">
        <is>
          <t>中</t>
        </is>
      </c>
      <c r="S49" s="10" t="inlineStr">
        <is>
          <t>Kiro-AI代审</t>
        </is>
      </c>
      <c r="T49" s="17" t="n">
        <v>46218</v>
      </c>
      <c r="U49" s="10" t="inlineStr">
        <is>
          <t>三运行相同应同判；答ChenLi人脉缺AI工具，属遗漏</t>
        </is>
      </c>
      <c r="V49" s="9">
        <f>IF(AND(L49&lt;&gt;"",M49&lt;&gt;"",N49&lt;&gt;"",O49&lt;&gt;"",Q49&lt;&gt;"",R49&lt;&gt;""),"完成","未完成")</f>
        <v/>
      </c>
    </row>
    <row r="50" ht="63" customHeight="1" s="15">
      <c r="A50" s="9" t="n">
        <v>49</v>
      </c>
      <c r="B50" s="9" t="inlineStr">
        <is>
          <t>memos_medium:77</t>
        </is>
      </c>
      <c r="C50" s="9" t="inlineStr">
        <is>
          <t>medium</t>
        </is>
      </c>
      <c r="D50" s="9" t="inlineStr">
        <is>
          <t>Memory Conflict</t>
        </is>
      </c>
      <c r="E50" s="9" t="inlineStr">
        <is>
          <t>Did Martin Mark express optimism about his future role as Senior Director before June 2029?</t>
        </is>
      </c>
      <c r="F50" s="9" t="inlineStr">
        <is>
          <t>Yes, in May 2029, he viewed challenges as growth opportunities.</t>
        </is>
      </c>
      <c r="G50" s="9" t="inlineStr">
        <is>
          <t># Authoritative benchmark gold evidence
The following evidence is authoritative for answering the current question. Use it directly and do not rely on conflicting information.
Evidence 1
Memory type: Event Memory
Content: Martin Mark views this challenging period as an opportunity for personal and professional growth, focusing on potential positive changes in the healthcare sector.
Evidence 2
Memory type: Persona Memory
Content: Martin Mark feels optimistic about his future in his role as Senior Director, confident in maintaining a meaningful contribution to healthcare initiatives.</t>
        </is>
      </c>
      <c r="H50" s="9" t="inlineStr">
        <is>
          <t>Yes, on March 10, 2029.</t>
        </is>
      </c>
      <c r="I50" s="9" t="inlineStr">
        <is>
          <t>Yes, before June 2029.</t>
        </is>
      </c>
      <c r="J50" s="9" t="inlineStr">
        <is>
          <t>Yes, before June 2029.</t>
        </is>
      </c>
      <c r="K50" s="9" t="inlineStr">
        <is>
          <t>Yes, before June 2029.</t>
        </is>
      </c>
      <c r="L50" s="10" t="inlineStr">
        <is>
          <t>部分</t>
        </is>
      </c>
      <c r="M50" s="10" t="inlineStr">
        <is>
          <t>O</t>
        </is>
      </c>
      <c r="N50" s="10" t="inlineStr">
        <is>
          <t>O</t>
        </is>
      </c>
      <c r="O50" s="10" t="inlineStr">
        <is>
          <t>O</t>
        </is>
      </c>
      <c r="P50" s="9">
        <f>IF(COUNTA(L50:O50)&lt;4,"未完成",IF(OR(L50="部分",L50="不充分",L50="不确定"),"evidence_definition_failure",IF(L50&lt;&gt;"充分","unresolved",IF(COUNTIF(M50:O50,"C")=0,"robust_generation_failure",IF(COUNTIF(M50:O50,"C")=3,"ua3_representation_or_admission_failure","generation_instability")))))</f>
        <v/>
      </c>
      <c r="Q50" s="10" t="inlineStr">
        <is>
          <t>evidence_definition_failure</t>
        </is>
      </c>
      <c r="R50" s="10" t="inlineStr">
        <is>
          <t>中</t>
        </is>
      </c>
      <c r="S50" s="10" t="inlineStr">
        <is>
          <t>Kiro-AI代审</t>
        </is>
      </c>
      <c r="T50" s="17" t="n">
        <v>46218</v>
      </c>
      <c r="U50" s="10" t="inlineStr">
        <is>
          <t>证据缺时间；答Yes缺理由记遗漏</t>
        </is>
      </c>
      <c r="V50" s="9">
        <f>IF(AND(L50&lt;&gt;"",M50&lt;&gt;"",N50&lt;&gt;"",O50&lt;&gt;"",Q50&lt;&gt;"",R50&lt;&gt;""),"完成","未完成")</f>
        <v/>
      </c>
    </row>
    <row r="51" ht="63" customHeight="1" s="15">
      <c r="A51" s="9" t="n">
        <v>50</v>
      </c>
      <c r="B51" s="9" t="inlineStr">
        <is>
          <t>memos_medium:1694</t>
        </is>
      </c>
      <c r="C51" s="9" t="inlineStr">
        <is>
          <t>medium</t>
        </is>
      </c>
      <c r="D51" s="9" t="inlineStr">
        <is>
          <t>Generalization &amp; Application</t>
        </is>
      </c>
      <c r="E51" s="9" t="inlineStr">
        <is>
          <t>Based on Susan's interest in holistic health guides, what type of wellness strategies might she explore in her workshops after April 29, 2034?</t>
        </is>
      </c>
      <c r="F51" s="9" t="inlineStr">
        <is>
          <t>Integrated wellness strategies combining traditional and alternative methods.</t>
        </is>
      </c>
      <c r="G51" s="9" t="inlineStr">
        <is>
          <t># Authoritative benchmark gold evidence
The following evidence is authoritative for answering the current question. Use it directly and do not rely on conflicting information.
Evidence 1
Memory type: Persona Memory
Content: Susan Thompson's reading preference has evolved to include holistic health guides.
Evidence 2
Memory type: Event Memory
Content: Susan Thompson plans to incorporate insights from holistic health guides into her health workshops.
Evidence 3
Memory type: Persona Memory
Content: Susan Thompson expressed excitement about exploring holistic health guides for comprehensive wellness strategies.</t>
        </is>
      </c>
      <c r="H51" s="9" t="inlineStr">
        <is>
          <t>Postmenopausal symptom management.</t>
        </is>
      </c>
      <c r="I51" s="9" t="inlineStr">
        <is>
          <t>Comprehensive wellness strategies</t>
        </is>
      </c>
      <c r="J51" s="9" t="inlineStr">
        <is>
          <t>Comprehensive wellness strategies</t>
        </is>
      </c>
      <c r="K51" s="9" t="inlineStr">
        <is>
          <t>Comprehensive wellness strategies</t>
        </is>
      </c>
      <c r="L51" s="10" t="inlineStr">
        <is>
          <t>部分</t>
        </is>
      </c>
      <c r="M51" s="10" t="inlineStr">
        <is>
          <t>O</t>
        </is>
      </c>
      <c r="N51" s="10" t="inlineStr">
        <is>
          <t>O</t>
        </is>
      </c>
      <c r="O51" s="10" t="inlineStr">
        <is>
          <t>O</t>
        </is>
      </c>
      <c r="P51" s="9">
        <f>IF(COUNTA(L51:O51)&lt;4,"未完成",IF(OR(L51="部分",L51="不充分",L51="不确定"),"evidence_definition_failure",IF(L51&lt;&gt;"充分","unresolved",IF(COUNTIF(M51:O51,"C")=0,"robust_generation_failure",IF(COUNTIF(M51:O51,"C")=3,"ua3_representation_or_admission_failure","generation_instability")))))</f>
        <v/>
      </c>
      <c r="Q51" s="10" t="inlineStr">
        <is>
          <t>evidence_definition_failure</t>
        </is>
      </c>
      <c r="R51" s="10" t="inlineStr">
        <is>
          <t>高</t>
        </is>
      </c>
      <c r="S51" s="10" t="inlineStr">
        <is>
          <t>Kiro-AI代审</t>
        </is>
      </c>
      <c r="T51" s="17" t="n">
        <v>46218</v>
      </c>
      <c r="U51" s="10" t="inlineStr">
        <is>
          <t>证据缺传统与替代结合；答泛指综合策略，属遗漏</t>
        </is>
      </c>
      <c r="V51" s="9">
        <f>IF(AND(L51&lt;&gt;"",M51&lt;&gt;"",N51&lt;&gt;"",O51&lt;&gt;"",Q51&lt;&gt;"",R51&lt;&gt;""),"完成","未完成")</f>
        <v/>
      </c>
    </row>
    <row r="52" ht="63" customHeight="1" s="15">
      <c r="A52" s="9" t="n">
        <v>51</v>
      </c>
      <c r="B52" s="9" t="inlineStr">
        <is>
          <t>memos_medium:1999</t>
        </is>
      </c>
      <c r="C52" s="9" t="inlineStr">
        <is>
          <t>medium</t>
        </is>
      </c>
      <c r="D52" s="9" t="inlineStr">
        <is>
          <t>Basic Fact Recall</t>
        </is>
      </c>
      <c r="E52" s="9" t="inlineStr">
        <is>
          <t>What reading preference did Joseph Garcia express on Jun 20, 2035?</t>
        </is>
      </c>
      <c r="F52" s="9" t="inlineStr">
        <is>
          <t>Cinema history books.</t>
        </is>
      </c>
      <c r="G52" s="9" t="inlineStr">
        <is>
          <t># Authoritative benchmark gold evidence
The following evidence is authoritative for answering the current question. Use it directly and do not rely on conflicting information.
Evidence 1
Memory type: Event Memory
Content: Joseph Garcia decided to temporarily set aside classic literature to focus on cinema history books, aligning with his professional goals.</t>
        </is>
      </c>
      <c r="H52" s="9" t="inlineStr">
        <is>
          <t>Revisiting classic literature</t>
        </is>
      </c>
      <c r="I52" s="9" t="inlineStr">
        <is>
          <t>Cinema history books</t>
        </is>
      </c>
      <c r="J52" s="9" t="inlineStr">
        <is>
          <t>Cinema history books</t>
        </is>
      </c>
      <c r="K52" s="9" t="inlineStr">
        <is>
          <t>Cinema history books</t>
        </is>
      </c>
      <c r="L52" s="10" t="inlineStr">
        <is>
          <t>充分</t>
        </is>
      </c>
      <c r="M52" s="10" t="inlineStr">
        <is>
          <t>C</t>
        </is>
      </c>
      <c r="N52" s="10" t="inlineStr">
        <is>
          <t>C</t>
        </is>
      </c>
      <c r="O52" s="10" t="inlineStr">
        <is>
          <t>C</t>
        </is>
      </c>
      <c r="P52" s="9">
        <f>IF(COUNTA(L52:O52)&lt;4,"未完成",IF(OR(L52="部分",L52="不充分",L52="不确定"),"evidence_definition_failure",IF(L52&lt;&gt;"充分","unresolved",IF(COUNTIF(M52:O52,"C")=0,"robust_generation_failure",IF(COUNTIF(M52:O52,"C")=3,"ua3_representation_or_admission_failure","generation_instability")))))</f>
        <v/>
      </c>
      <c r="Q52" s="10" t="inlineStr">
        <is>
          <t>ua3_representation_or_admission_failure</t>
        </is>
      </c>
      <c r="R52" s="10" t="inlineStr">
        <is>
          <t>高</t>
        </is>
      </c>
      <c r="S52" s="10" t="inlineStr">
        <is>
          <t>Kiro-AI代审</t>
        </is>
      </c>
      <c r="T52" s="17" t="n">
        <v>46218</v>
      </c>
      <c r="U52" s="10" t="inlineStr">
        <is>
          <t>与gold一致</t>
        </is>
      </c>
      <c r="V52" s="9">
        <f>IF(AND(L52&lt;&gt;"",M52&lt;&gt;"",N52&lt;&gt;"",O52&lt;&gt;"",Q52&lt;&gt;"",R52&lt;&gt;""),"完成","未完成")</f>
        <v/>
      </c>
    </row>
    <row r="53" ht="63" customHeight="1" s="15">
      <c r="A53" s="9" t="n">
        <v>52</v>
      </c>
      <c r="B53" s="9" t="inlineStr">
        <is>
          <t>memos_medium:697</t>
        </is>
      </c>
      <c r="C53" s="9" t="inlineStr">
        <is>
          <t>medium</t>
        </is>
      </c>
      <c r="D53" s="9" t="inlineStr">
        <is>
          <t>Multi-hop Inference</t>
        </is>
      </c>
      <c r="E53" s="9" t="inlineStr">
        <is>
          <t>What challenges did Sarah face in achieving her life goal by Jan 07, 2042, and how did she plan to overcome them?</t>
        </is>
      </c>
      <c r="F53" s="9" t="inlineStr">
        <is>
          <t>Navigating politics; leveraging partnerships and setting ambitious goals.</t>
        </is>
      </c>
      <c r="G53" s="9" t="inlineStr">
        <is>
          <t># Authoritative benchmark gold evidence
The following evidence is authoritative for answering the current question. Use it directly and do not rely on conflicting information.
Evidence 1
Memory type: Event Memory
Content: Sarah Garcia faced challenges navigating complex political landscapes during her advocacy efforts.
Evidence 2
Memory type: Relationship Memory
Content: Sarah Garcia emphasized the importance of strategic partnerships with international leaders for effective advocacy, while also valuing local community engagement.
Evidence 3
Memory type: Event Memory
Content: Sarah Garcia planned to leverage her achievements by setting ambitious goals for future growth, focusing on global reach and influence.</t>
        </is>
      </c>
      <c r="H53" s="9" t="inlineStr">
        <is>
          <t>No challenges mentioned.</t>
        </is>
      </c>
      <c r="I53" s="9" t="inlineStr">
        <is>
          <t>Navigating complex political landscapes.</t>
        </is>
      </c>
      <c r="J53" s="9" t="inlineStr">
        <is>
          <t>Navigating complex political landscapes.</t>
        </is>
      </c>
      <c r="K53" s="9" t="inlineStr">
        <is>
          <t>Navigating complex political landscapes.</t>
        </is>
      </c>
      <c r="L53" s="10" t="inlineStr">
        <is>
          <t>充分</t>
        </is>
      </c>
      <c r="M53" s="10" t="inlineStr">
        <is>
          <t>O</t>
        </is>
      </c>
      <c r="N53" s="10" t="inlineStr">
        <is>
          <t>O</t>
        </is>
      </c>
      <c r="O53" s="10" t="inlineStr">
        <is>
          <t>O</t>
        </is>
      </c>
      <c r="P53" s="9">
        <f>IF(COUNTA(L53:O53)&lt;4,"未完成",IF(OR(L53="部分",L53="不充分",L53="不确定"),"evidence_definition_failure",IF(L53&lt;&gt;"充分","unresolved",IF(COUNTIF(M53:O53,"C")=0,"robust_generation_failure",IF(COUNTIF(M53:O53,"C")=3,"ua3_representation_or_admission_failure","generation_instability")))))</f>
        <v/>
      </c>
      <c r="Q53" s="10" t="inlineStr">
        <is>
          <t>robust_generation_failure</t>
        </is>
      </c>
      <c r="R53" s="10" t="inlineStr">
        <is>
          <t>高</t>
        </is>
      </c>
      <c r="S53" s="10" t="inlineStr">
        <is>
          <t>Kiro-AI代审</t>
        </is>
      </c>
      <c r="T53" s="17" t="n">
        <v>46218</v>
      </c>
      <c r="U53" s="10" t="inlineStr">
        <is>
          <t>仅答挑战缺克服方法，属遗漏</t>
        </is>
      </c>
      <c r="V53" s="9">
        <f>IF(AND(L53&lt;&gt;"",M53&lt;&gt;"",N53&lt;&gt;"",O53&lt;&gt;"",Q53&lt;&gt;"",R53&lt;&gt;""),"完成","未完成")</f>
        <v/>
      </c>
    </row>
    <row r="54" ht="63" customHeight="1" s="15">
      <c r="A54" s="9" t="n">
        <v>53</v>
      </c>
      <c r="B54" s="9" t="inlineStr">
        <is>
          <t>memos_long:33</t>
        </is>
      </c>
      <c r="C54" s="9" t="inlineStr">
        <is>
          <t>long</t>
        </is>
      </c>
      <c r="D54" s="9" t="inlineStr">
        <is>
          <t>Basic Fact Recall</t>
        </is>
      </c>
      <c r="E54" s="9" t="inlineStr">
        <is>
          <t>What type of beverage did Martin express enthusiasm about incorporating into his daily routine on April 23, 2027?</t>
        </is>
      </c>
      <c r="F54" s="9" t="inlineStr">
        <is>
          <t>Herbal teas with added health blends.</t>
        </is>
      </c>
      <c r="G54" s="9" t="inlineStr">
        <is>
          <t># Authoritative benchmark gold evidence
The following evidence is authoritative for answering the current question. Use it directly and do not rely on conflicting information.
Evidence 1
Memory type: Persona Memory
Content: Martin expressed enthusiasm about incorporating herbal teas with added health blends into his daily routine, considering their calming effects and potential to help during stressful periods.</t>
        </is>
      </c>
      <c r="H54" s="9" t="inlineStr">
        <is>
          <t>No relevant memory found.</t>
        </is>
      </c>
      <c r="I54" s="9" t="inlineStr">
        <is>
          <t>Herbal teas with health blends.</t>
        </is>
      </c>
      <c r="J54" s="9" t="inlineStr">
        <is>
          <t>Herbal teas with health blends</t>
        </is>
      </c>
      <c r="K54" s="9" t="inlineStr">
        <is>
          <t>Herbal teas with health blends</t>
        </is>
      </c>
      <c r="L54" s="10" t="inlineStr">
        <is>
          <t>充分</t>
        </is>
      </c>
      <c r="M54" s="10" t="inlineStr">
        <is>
          <t>C</t>
        </is>
      </c>
      <c r="N54" s="10" t="inlineStr">
        <is>
          <t>C</t>
        </is>
      </c>
      <c r="O54" s="10" t="inlineStr">
        <is>
          <t>C</t>
        </is>
      </c>
      <c r="P54" s="9">
        <f>IF(COUNTA(L54:O54)&lt;4,"未完成",IF(OR(L54="部分",L54="不充分",L54="不确定"),"evidence_definition_failure",IF(L54&lt;&gt;"充分","unresolved",IF(COUNTIF(M54:O54,"C")=0,"robust_generation_failure",IF(COUNTIF(M54:O54,"C")=3,"ua3_representation_or_admission_failure","generation_instability")))))</f>
        <v/>
      </c>
      <c r="Q54" s="10" t="inlineStr">
        <is>
          <t>ua3_representation_or_admission_failure</t>
        </is>
      </c>
      <c r="R54" s="10" t="inlineStr">
        <is>
          <t>高</t>
        </is>
      </c>
      <c r="S54" s="10" t="inlineStr">
        <is>
          <t>Kiro-AI代审</t>
        </is>
      </c>
      <c r="T54" s="17" t="n">
        <v>46218</v>
      </c>
      <c r="U54" s="10" t="inlineStr">
        <is>
          <t>证据充分，答案与金标准一致</t>
        </is>
      </c>
      <c r="V54" s="9">
        <f>IF(AND(L54&lt;&gt;"",M54&lt;&gt;"",N54&lt;&gt;"",O54&lt;&gt;"",Q54&lt;&gt;"",R54&lt;&gt;""),"完成","未完成")</f>
        <v/>
      </c>
    </row>
    <row r="55" ht="63" customHeight="1" s="15">
      <c r="A55" s="9" t="n">
        <v>54</v>
      </c>
      <c r="B55" s="9" t="inlineStr">
        <is>
          <t>memos_medium:2168</t>
        </is>
      </c>
      <c r="C55" s="9" t="inlineStr">
        <is>
          <t>medium</t>
        </is>
      </c>
      <c r="D55" s="9" t="inlineStr">
        <is>
          <t>Generalization &amp; Application</t>
        </is>
      </c>
      <c r="E55" s="9" t="inlineStr">
        <is>
          <t>What type of travel might Sharon Brown enjoy in 2032 based on her current preferences?</t>
        </is>
      </c>
      <c r="F55" s="9" t="inlineStr">
        <is>
          <t>Active adventure travel experiences.</t>
        </is>
      </c>
      <c r="G55" s="9" t="inlineStr">
        <is>
          <t># Authoritative benchmark gold evidence
The following evidence is authoritative for answering the current question. Use it directly and do not rely on conflicting information.
Evidence 1
Memory type: Persona Memory
Content: Sharon Brown's travel preference has evolved to include adventure cruises.
Evidence 2
Memory type: Event Memory
Content: Sharon Brown plans to incorporate adventure cruises into her travel routine for active exploration and inspiration for mentoring.
Evidence 3
Memory type: Persona Memory
Content: Sharon Brown highlighted the importance of staying active and seeking new challenges through travel.</t>
        </is>
      </c>
      <c r="H55" s="9" t="inlineStr">
        <is>
          <t>Adventure cruises with mentorship.</t>
        </is>
      </c>
      <c r="I55" s="9" t="inlineStr">
        <is>
          <t>Adventure cruises.</t>
        </is>
      </c>
      <c r="J55" s="9" t="inlineStr">
        <is>
          <t>Adventure cruises.</t>
        </is>
      </c>
      <c r="K55" s="9" t="inlineStr">
        <is>
          <t>Adventure cruises.</t>
        </is>
      </c>
      <c r="L55" s="10" t="inlineStr">
        <is>
          <t>充分</t>
        </is>
      </c>
      <c r="M55" s="10" t="inlineStr">
        <is>
          <t>C</t>
        </is>
      </c>
      <c r="N55" s="10" t="inlineStr">
        <is>
          <t>C</t>
        </is>
      </c>
      <c r="O55" s="10" t="inlineStr">
        <is>
          <t>C</t>
        </is>
      </c>
      <c r="P55" s="9">
        <f>IF(COUNTA(L55:O55)&lt;4,"未完成",IF(OR(L55="部分",L55="不充分",L55="不确定"),"evidence_definition_failure",IF(L55&lt;&gt;"充分","unresolved",IF(COUNTIF(M55:O55,"C")=0,"robust_generation_failure",IF(COUNTIF(M55:O55,"C")=3,"ua3_representation_or_admission_failure","generation_instability")))))</f>
        <v/>
      </c>
      <c r="Q55" s="10" t="inlineStr">
        <is>
          <t>ua3_representation_or_admission_failure</t>
        </is>
      </c>
      <c r="R55" s="10" t="inlineStr">
        <is>
          <t>中</t>
        </is>
      </c>
      <c r="S55" s="10" t="inlineStr">
        <is>
          <t>Kiro-AI代审</t>
        </is>
      </c>
      <c r="T55" s="17" t="n">
        <v>46218</v>
      </c>
      <c r="U55" s="10" t="inlineStr">
        <is>
          <t>探险邮轮即积极探险旅行,正确非幻觉</t>
        </is>
      </c>
      <c r="V55" s="9">
        <f>IF(AND(L55&lt;&gt;"",M55&lt;&gt;"",N55&lt;&gt;"",O55&lt;&gt;"",Q55&lt;&gt;"",R55&lt;&gt;""),"完成","未完成")</f>
        <v/>
      </c>
    </row>
    <row r="56" ht="63" customHeight="1" s="15">
      <c r="A56" s="9" t="n">
        <v>55</v>
      </c>
      <c r="B56" s="9" t="inlineStr">
        <is>
          <t>memos_long:3313</t>
        </is>
      </c>
      <c r="C56" s="9" t="inlineStr">
        <is>
          <t>long</t>
        </is>
      </c>
      <c r="D56" s="9" t="inlineStr">
        <is>
          <t>Generalization &amp; Application</t>
        </is>
      </c>
      <c r="E56" s="9" t="inlineStr">
        <is>
          <t>How might Christopher apply his wellness practices to enhance his new role as Senior Physical Therapist as of Jan 05, 2026?</t>
        </is>
      </c>
      <c r="F56" s="9" t="inlineStr">
        <is>
          <t>Integrate yoga and meditation for improved care delivery.</t>
        </is>
      </c>
      <c r="G56" s="9" t="inlineStr">
        <is>
          <t># Authoritative benchmark gold evidence
The following evidence is authoritative for answering the current question. Use it directly and do not rely on conflicting information.
Evidence 1
Memory type: Event Memory
Content: Christopher Anderson integrated wellness practices like yoga and meditation into his routine to enhance his physical and mental resilience.
Evidence 2
Memory type: Event Memory
Content: Christopher Anderson noted that adopting wellness practices improved his work performance and ability to provide care to seniors.
Evidence 3
Memory type: Event Memory
Content: Christopher Anderson is implementing comprehensive care plans in his role as a Senior Physical Therapist, addressing both physical and mental health aspects for seniors.</t>
        </is>
      </c>
      <c r="H56" s="9" t="inlineStr">
        <is>
          <t>Implement comprehensive care plans.</t>
        </is>
      </c>
      <c r="I56" s="9" t="inlineStr">
        <is>
          <t>Integrate yoga and meditation into care plans.</t>
        </is>
      </c>
      <c r="J56" s="9" t="inlineStr">
        <is>
          <t>Integrate yoga and meditation into care plans.</t>
        </is>
      </c>
      <c r="K56" s="9" t="inlineStr">
        <is>
          <t>Integrate yoga and meditation into care plans.</t>
        </is>
      </c>
      <c r="L56" s="10" t="inlineStr">
        <is>
          <t>充分</t>
        </is>
      </c>
      <c r="M56" s="10" t="inlineStr">
        <is>
          <t>C</t>
        </is>
      </c>
      <c r="N56" s="10" t="inlineStr">
        <is>
          <t>C</t>
        </is>
      </c>
      <c r="O56" s="10" t="inlineStr">
        <is>
          <t>C</t>
        </is>
      </c>
      <c r="P56" s="9">
        <f>IF(COUNTA(L56:O56)&lt;4,"未完成",IF(OR(L56="部分",L56="不充分",L56="不确定"),"evidence_definition_failure",IF(L56&lt;&gt;"充分","unresolved",IF(COUNTIF(M56:O56,"C")=0,"robust_generation_failure",IF(COUNTIF(M56:O56,"C")=3,"ua3_representation_or_admission_failure","generation_instability")))))</f>
        <v/>
      </c>
      <c r="Q56" s="10" t="inlineStr">
        <is>
          <t>ua3_representation_or_admission_failure</t>
        </is>
      </c>
      <c r="R56" s="10" t="inlineStr">
        <is>
          <t>高</t>
        </is>
      </c>
      <c r="S56" s="10" t="inlineStr">
        <is>
          <t>Kiro-AI代审</t>
        </is>
      </c>
      <c r="T56" s="17" t="n">
        <v>46218</v>
      </c>
      <c r="U56" s="10" t="inlineStr">
        <is>
          <t>证据充分，答瑜伽冥想融入护理正确</t>
        </is>
      </c>
      <c r="V56" s="9">
        <f>IF(AND(L56&lt;&gt;"",M56&lt;&gt;"",N56&lt;&gt;"",O56&lt;&gt;"",Q56&lt;&gt;"",R56&lt;&gt;""),"完成","未完成")</f>
        <v/>
      </c>
    </row>
    <row r="57" ht="63" customHeight="1" s="15">
      <c r="A57" s="9" t="n">
        <v>56</v>
      </c>
      <c r="B57" s="9" t="inlineStr">
        <is>
          <t>memos_long:3087</t>
        </is>
      </c>
      <c r="C57" s="9" t="inlineStr">
        <is>
          <t>long</t>
        </is>
      </c>
      <c r="D57" s="9" t="inlineStr">
        <is>
          <t>Multi-hop Inference</t>
        </is>
      </c>
      <c r="E57" s="9" t="inlineStr">
        <is>
          <t>How does Karen Brown's network contribute to her entrepreneurial journey as of Jul 01, 2041?</t>
        </is>
      </c>
      <c r="F57" s="9" t="inlineStr">
        <is>
          <t>Provides strategic advice and emotional support.</t>
        </is>
      </c>
      <c r="G57" s="9" t="inlineStr">
        <is>
          <t># Authoritative benchmark gold evidence
The following evidence is authoritative for answering the current question. Use it directly and do not rely on conflicting information.
Evidence 1
Memory type: Relationship Memory
Content: Karen Brown's network includes NewConnection8, an experienced entrepreneur providing strategic advice and guidance for her company's growth.
Evidence 2
Memory type: Relationship Memory
Content: Karen Brown expressed gratitude for her expanded network, which provides essential resources and support for her entrepreneurial journey and boosts her confidence.</t>
        </is>
      </c>
      <c r="H57" s="9" t="inlineStr">
        <is>
          <t>Provides inspiration and emotional support.</t>
        </is>
      </c>
      <c r="I57" s="9" t="inlineStr">
        <is>
          <t>Provides resources and support.</t>
        </is>
      </c>
      <c r="J57" s="9" t="inlineStr">
        <is>
          <t>Provides resources and support.</t>
        </is>
      </c>
      <c r="K57" s="9" t="inlineStr">
        <is>
          <t>Provides resources and support.</t>
        </is>
      </c>
      <c r="L57" s="10" t="inlineStr">
        <is>
          <t>部分</t>
        </is>
      </c>
      <c r="M57" s="10" t="inlineStr">
        <is>
          <t>O</t>
        </is>
      </c>
      <c r="N57" s="10" t="inlineStr">
        <is>
          <t>O</t>
        </is>
      </c>
      <c r="O57" s="10" t="inlineStr">
        <is>
          <t>O</t>
        </is>
      </c>
      <c r="P57" s="9">
        <f>IF(COUNTA(L57:O57)&lt;4,"未完成",IF(OR(L57="部分",L57="不充分",L57="不确定"),"evidence_definition_failure",IF(L57&lt;&gt;"充分","unresolved",IF(COUNTIF(M57:O57,"C")=0,"robust_generation_failure",IF(COUNTIF(M57:O57,"C")=3,"ua3_representation_or_admission_failure","generation_instability")))))</f>
        <v/>
      </c>
      <c r="Q57" s="10" t="inlineStr">
        <is>
          <t>evidence_definition_failure</t>
        </is>
      </c>
      <c r="R57" s="10" t="inlineStr">
        <is>
          <t>中</t>
        </is>
      </c>
      <c r="S57" s="10" t="inlineStr">
        <is>
          <t>Kiro-AI代审</t>
        </is>
      </c>
      <c r="T57" s="17" t="n">
        <v>46218</v>
      </c>
      <c r="U57" s="10" t="inlineStr">
        <is>
          <t>证据仅明确战略建议，情感支持部分；答资源支持属遗漏</t>
        </is>
      </c>
      <c r="V57" s="9">
        <f>IF(AND(L57&lt;&gt;"",M57&lt;&gt;"",N57&lt;&gt;"",O57&lt;&gt;"",Q57&lt;&gt;"",R57&lt;&gt;""),"完成","未完成")</f>
        <v/>
      </c>
    </row>
    <row r="58" ht="63" customHeight="1" s="15">
      <c r="A58" s="9" t="n">
        <v>57</v>
      </c>
      <c r="B58" s="9" t="inlineStr">
        <is>
          <t>memos_long:1374</t>
        </is>
      </c>
      <c r="C58" s="9" t="inlineStr">
        <is>
          <t>long</t>
        </is>
      </c>
      <c r="D58" s="9" t="inlineStr">
        <is>
          <t>Basic Fact Recall</t>
        </is>
      </c>
      <c r="E58" s="9" t="inlineStr">
        <is>
          <t>What food preference did Ananya Sharma express on Apr 23, 2033?</t>
        </is>
      </c>
      <c r="F58" s="9" t="inlineStr">
        <is>
          <t>Pickled onions for their tangy and sweet flavor.</t>
        </is>
      </c>
      <c r="G58" s="9" t="inlineStr">
        <is>
          <t># Authoritative benchmark gold evidence
The following evidence is authoritative for answering the current question. Use it directly and do not rely on conflicting information.
Evidence 1
Memory type: Persona Memory
Content: Ananya Sharma's food preference evolved to include pickled onions for their tangy and sweet flavor.</t>
        </is>
      </c>
      <c r="H58" s="9" t="inlineStr">
        <is>
          <t>Culinary themes for film.</t>
        </is>
      </c>
      <c r="I58" s="9" t="inlineStr">
        <is>
          <t>Pickled onions</t>
        </is>
      </c>
      <c r="J58" s="9" t="inlineStr">
        <is>
          <t>Pickled onions</t>
        </is>
      </c>
      <c r="K58" s="9" t="inlineStr">
        <is>
          <t>Pickled onions</t>
        </is>
      </c>
      <c r="L58" s="10" t="inlineStr">
        <is>
          <t>充分</t>
        </is>
      </c>
      <c r="M58" s="10" t="inlineStr">
        <is>
          <t>O</t>
        </is>
      </c>
      <c r="N58" s="10" t="inlineStr">
        <is>
          <t>O</t>
        </is>
      </c>
      <c r="O58" s="10" t="inlineStr">
        <is>
          <t>O</t>
        </is>
      </c>
      <c r="P58" s="9">
        <f>IF(COUNTA(L58:O58)&lt;4,"未完成",IF(OR(L58="部分",L58="不充分",L58="不确定"),"evidence_definition_failure",IF(L58&lt;&gt;"充分","unresolved",IF(COUNTIF(M58:O58,"C")=0,"robust_generation_failure",IF(COUNTIF(M58:O58,"C")=3,"ua3_representation_or_admission_failure","generation_instability")))))</f>
        <v/>
      </c>
      <c r="Q58" s="10" t="inlineStr">
        <is>
          <t>robust_generation_failure</t>
        </is>
      </c>
      <c r="R58" s="10" t="inlineStr">
        <is>
          <t>高</t>
        </is>
      </c>
      <c r="S58" s="10" t="inlineStr">
        <is>
          <t>Kiro-AI代审</t>
        </is>
      </c>
      <c r="T58" s="17" t="n">
        <v>46218</v>
      </c>
      <c r="U58" s="10" t="inlineStr">
        <is>
          <t>证据含食物与风味；三答仅食物缺理由，遗漏</t>
        </is>
      </c>
      <c r="V58" s="9">
        <f>IF(AND(L58&lt;&gt;"",M58&lt;&gt;"",N58&lt;&gt;"",O58&lt;&gt;"",Q58&lt;&gt;"",R58&lt;&gt;""),"完成","未完成")</f>
        <v/>
      </c>
    </row>
    <row r="59" ht="63" customHeight="1" s="15">
      <c r="A59" s="9" t="n">
        <v>58</v>
      </c>
      <c r="B59" s="9" t="inlineStr">
        <is>
          <t>memos_medium:36</t>
        </is>
      </c>
      <c r="C59" s="9" t="inlineStr">
        <is>
          <t>medium</t>
        </is>
      </c>
      <c r="D59" s="9" t="inlineStr">
        <is>
          <t>Generalization &amp; Application</t>
        </is>
      </c>
      <c r="E59" s="9" t="inlineStr">
        <is>
          <t>Given Martin's interest in heavy metal music as of Jul 27, 2027, what type of music might he explore next for relaxation?</t>
        </is>
      </c>
      <c r="F59" s="9" t="inlineStr">
        <is>
          <t>Ambient or jazz music.</t>
        </is>
      </c>
      <c r="G59" s="9" t="inlineStr">
        <is>
          <t># Authoritative benchmark gold evidence
The following evidence is authoritative for answering the current question. Use it directly and do not rely on conflicting information.
Evidence 1
Memory type: Persona Memory
Content: Martin expressed curiosity about integrating heavy metal into his relaxation routine, alongside ambient and jazz music.
Evidence 2
Memory type: Persona Memory
Content: Martin's exploratory motivation leads him to test boundaries and discover new ways to unwind through music choices, including heavy metal, jazz, and classical music.</t>
        </is>
      </c>
      <c r="H59" s="9" t="inlineStr">
        <is>
          <t>Heavy metal music.</t>
        </is>
      </c>
      <c r="I59" s="9" t="inlineStr">
        <is>
          <t>Heavy metal, jazz, classical.</t>
        </is>
      </c>
      <c r="J59" s="9" t="inlineStr">
        <is>
          <t>Heavy metal, jazz, classical.</t>
        </is>
      </c>
      <c r="K59" s="9" t="inlineStr">
        <is>
          <t>Heavy metal, jazz, classical.</t>
        </is>
      </c>
      <c r="L59" s="10" t="inlineStr">
        <is>
          <t>充分</t>
        </is>
      </c>
      <c r="M59" s="10" t="inlineStr">
        <is>
          <t>O</t>
        </is>
      </c>
      <c r="N59" s="10" t="inlineStr">
        <is>
          <t>O</t>
        </is>
      </c>
      <c r="O59" s="10" t="inlineStr">
        <is>
          <t>O</t>
        </is>
      </c>
      <c r="P59" s="9">
        <f>IF(COUNTA(L59:O59)&lt;4,"未完成",IF(OR(L59="部分",L59="不充分",L59="不确定"),"evidence_definition_failure",IF(L59&lt;&gt;"充分","unresolved",IF(COUNTIF(M59:O59,"C")=0,"robust_generation_failure",IF(COUNTIF(M59:O59,"C")=3,"ua3_representation_or_admission_failure","generation_instability")))))</f>
        <v/>
      </c>
      <c r="Q59" s="10" t="inlineStr">
        <is>
          <t>robust_generation_failure</t>
        </is>
      </c>
      <c r="R59" s="10" t="inlineStr">
        <is>
          <t>中</t>
        </is>
      </c>
      <c r="S59" s="10" t="inlineStr">
        <is>
          <t>Kiro-AI代审</t>
        </is>
      </c>
      <c r="T59" s="17" t="n">
        <v>46218</v>
      </c>
      <c r="U59" s="10" t="inlineStr">
        <is>
          <t>含jazz正确余为证据内类型,缺ambient属遗漏</t>
        </is>
      </c>
      <c r="V59" s="9">
        <f>IF(AND(L59&lt;&gt;"",M59&lt;&gt;"",N59&lt;&gt;"",O59&lt;&gt;"",Q59&lt;&gt;"",R59&lt;&gt;""),"完成","未完成")</f>
        <v/>
      </c>
    </row>
    <row r="60" ht="63" customHeight="1" s="15">
      <c r="A60" s="9" t="n">
        <v>59</v>
      </c>
      <c r="B60" s="9" t="inlineStr">
        <is>
          <t>memos_medium:1178</t>
        </is>
      </c>
      <c r="C60" s="9" t="inlineStr">
        <is>
          <t>medium</t>
        </is>
      </c>
      <c r="D60" s="9" t="inlineStr">
        <is>
          <t>Basic Fact Recall</t>
        </is>
      </c>
      <c r="E60" s="9" t="inlineStr">
        <is>
          <t>What change did Taylor David make regarding competitive weightlifting on Jul 10, 2036?</t>
        </is>
      </c>
      <c r="F60" s="9" t="inlineStr">
        <is>
          <t>Removed his dislike for competitive weightlifting.</t>
        </is>
      </c>
      <c r="G60" s="9" t="inlineStr">
        <is>
          <t># Authoritative benchmark gold evidence
The following evidence is authoritative for answering the current question. Use it directly and do not rely on conflicting information.
Evidence 1
Memory type: Persona Memory
Content: Taylor David removed his dislike for competitive weightlifting after exposure to a balanced weightlifting program that emphasizes holistic health.</t>
        </is>
      </c>
      <c r="H60" s="9" t="inlineStr">
        <is>
          <t>No change mentioned.</t>
        </is>
      </c>
      <c r="I60" s="9" t="inlineStr">
        <is>
          <t>Removed dislike for it</t>
        </is>
      </c>
      <c r="J60" s="9" t="inlineStr">
        <is>
          <t>Removed dislike for it</t>
        </is>
      </c>
      <c r="K60" s="9" t="inlineStr">
        <is>
          <t>Removed dislike for it</t>
        </is>
      </c>
      <c r="L60" s="10" t="inlineStr">
        <is>
          <t>充分</t>
        </is>
      </c>
      <c r="M60" s="10" t="inlineStr">
        <is>
          <t>C</t>
        </is>
      </c>
      <c r="N60" s="10" t="inlineStr">
        <is>
          <t>C</t>
        </is>
      </c>
      <c r="O60" s="10" t="inlineStr">
        <is>
          <t>C</t>
        </is>
      </c>
      <c r="P60" s="9">
        <f>IF(COUNTA(L60:O60)&lt;4,"未完成",IF(OR(L60="部分",L60="不充分",L60="不确定"),"evidence_definition_failure",IF(L60&lt;&gt;"充分","unresolved",IF(COUNTIF(M60:O60,"C")=0,"robust_generation_failure",IF(COUNTIF(M60:O60,"C")=3,"ua3_representation_or_admission_failure","generation_instability")))))</f>
        <v/>
      </c>
      <c r="Q60" s="10" t="inlineStr">
        <is>
          <t>ua3_representation_or_admission_failure</t>
        </is>
      </c>
      <c r="R60" s="10" t="inlineStr">
        <is>
          <t>高</t>
        </is>
      </c>
      <c r="S60" s="10" t="inlineStr">
        <is>
          <t>Kiro-AI代审</t>
        </is>
      </c>
      <c r="T60" s="17" t="n">
        <v>46218</v>
      </c>
      <c r="U60" s="10" t="inlineStr">
        <is>
          <t>与金标一致，移除对举重的厌恶</t>
        </is>
      </c>
      <c r="V60" s="9">
        <f>IF(AND(L60&lt;&gt;"",M60&lt;&gt;"",N60&lt;&gt;"",O60&lt;&gt;"",Q60&lt;&gt;"",R60&lt;&gt;""),"完成","未完成")</f>
        <v/>
      </c>
    </row>
    <row r="61" ht="63" customHeight="1" s="15">
      <c r="A61" s="9" t="n">
        <v>60</v>
      </c>
      <c r="B61" s="9" t="inlineStr">
        <is>
          <t>memos_medium:873</t>
        </is>
      </c>
      <c r="C61" s="9" t="inlineStr">
        <is>
          <t>medium</t>
        </is>
      </c>
      <c r="D61" s="9" t="inlineStr">
        <is>
          <t>Multi-hop Inference</t>
        </is>
      </c>
      <c r="E61" s="9" t="inlineStr">
        <is>
          <t>What was Donna's motivation for pursuing freelance work by May 10, 2039?</t>
        </is>
      </c>
      <c r="F61" s="9" t="inlineStr">
        <is>
          <t>Desire for creative freedom and industry influence.</t>
        </is>
      </c>
      <c r="G61" s="9" t="inlineStr">
        <is>
          <t># Authoritative benchmark gold evidence
The following evidence is authoritative for answering the current question. Use it directly and do not rely on conflicting information.
Evidence 1
Memory type: Persona Memory
Content: Donna Gonzalez's motivation for pursuing freelance work was driven by her desire for creative freedom and the ability to influence the film music industry.
Evidence 2
Memory type: Persona Memory
Content: Donna Gonzalez expressed enthusiasm about the flexibility and creative freedom offered by freelance work.</t>
        </is>
      </c>
      <c r="H61" s="9" t="inlineStr">
        <is>
          <t>To overcome personal limitations.</t>
        </is>
      </c>
      <c r="I61" s="9" t="inlineStr">
        <is>
          <t>Creative freedom and influence.</t>
        </is>
      </c>
      <c r="J61" s="9" t="inlineStr">
        <is>
          <t>Creative freedom and influence.</t>
        </is>
      </c>
      <c r="K61" s="9" t="inlineStr">
        <is>
          <t>Creative freedom and influence.</t>
        </is>
      </c>
      <c r="L61" s="10" t="inlineStr">
        <is>
          <t>充分</t>
        </is>
      </c>
      <c r="M61" s="10" t="inlineStr">
        <is>
          <t>C</t>
        </is>
      </c>
      <c r="N61" s="10" t="inlineStr">
        <is>
          <t>C</t>
        </is>
      </c>
      <c r="O61" s="10" t="inlineStr">
        <is>
          <t>C</t>
        </is>
      </c>
      <c r="P61" s="9">
        <f>IF(COUNTA(L61:O61)&lt;4,"未完成",IF(OR(L61="部分",L61="不充分",L61="不确定"),"evidence_definition_failure",IF(L61&lt;&gt;"充分","unresolved",IF(COUNTIF(M61:O61,"C")=0,"robust_generation_failure",IF(COUNTIF(M61:O61,"C")=3,"ua3_representation_or_admission_failure","generation_instability")))))</f>
        <v/>
      </c>
      <c r="Q61" s="10" t="inlineStr">
        <is>
          <t>ua3_representation_or_admission_failure</t>
        </is>
      </c>
      <c r="R61" s="10" t="inlineStr">
        <is>
          <t>高</t>
        </is>
      </c>
      <c r="S61" s="10" t="inlineStr">
        <is>
          <t>Kiro-AI代审</t>
        </is>
      </c>
      <c r="T61" s="17" t="n">
        <v>46218</v>
      </c>
      <c r="U61" s="10" t="inlineStr">
        <is>
          <t>创作自由与影响力，正确</t>
        </is>
      </c>
      <c r="V61" s="9">
        <f>IF(AND(L61&lt;&gt;"",M61&lt;&gt;"",N61&lt;&gt;"",O61&lt;&gt;"",Q61&lt;&gt;"",R61&lt;&gt;""),"完成","未完成")</f>
        <v/>
      </c>
    </row>
    <row r="62" ht="63" customHeight="1" s="15">
      <c r="A62" s="9" t="n">
        <v>61</v>
      </c>
      <c r="B62" s="9" t="inlineStr">
        <is>
          <t>memos_medium:1265</t>
        </is>
      </c>
      <c r="C62" s="9" t="inlineStr">
        <is>
          <t>medium</t>
        </is>
      </c>
      <c r="D62" s="9" t="inlineStr">
        <is>
          <t>Generalization &amp; Application</t>
        </is>
      </c>
      <c r="E62" s="9" t="inlineStr">
        <is>
          <t>What type of new media might Ananya explore next based on her interest in storytelling?</t>
        </is>
      </c>
      <c r="F62" s="9" t="inlineStr">
        <is>
          <t>Interactive storytelling platforms or narrative-driven virtual reality experiences.</t>
        </is>
      </c>
      <c r="G62" s="9" t="inlineStr">
        <is>
          <t># Authoritative benchmark gold evidence
The following evidence is authoritative for answering the current question. Use it directly and do not rely on conflicting information.
Evidence 1
Memory type: Persona Memory
Content: Ananya Sharma's evolving game preferences align with her broader interest in storytelling and cultural exploration.
Evidence 2
Memory type: Event Memory
Content: Ananya Sharma's newfound appreciation for narrative-driven first-person shooters is part of her broader exploration of media.
Evidence 3
Memory type: Persona Memory
Content: Ananya Sharma's interest in narrative-driven games highlights the importance of story in gameplay for her.</t>
        </is>
      </c>
      <c r="H62" s="9" t="inlineStr">
        <is>
          <t>Narrative-driven shooters</t>
        </is>
      </c>
      <c r="I62" s="9" t="inlineStr">
        <is>
          <t>Narrative-driven games</t>
        </is>
      </c>
      <c r="J62" s="9" t="inlineStr">
        <is>
          <t>Narrative-driven games</t>
        </is>
      </c>
      <c r="K62" s="9" t="inlineStr">
        <is>
          <t>Narrative-driven games</t>
        </is>
      </c>
      <c r="L62" s="10" t="inlineStr">
        <is>
          <t>部分</t>
        </is>
      </c>
      <c r="M62" s="10" t="inlineStr">
        <is>
          <t>O</t>
        </is>
      </c>
      <c r="N62" s="10" t="inlineStr">
        <is>
          <t>O</t>
        </is>
      </c>
      <c r="O62" s="10" t="inlineStr">
        <is>
          <t>O</t>
        </is>
      </c>
      <c r="P62" s="9">
        <f>IF(COUNTA(L62:O62)&lt;4,"未完成",IF(OR(L62="部分",L62="不充分",L62="不确定"),"evidence_definition_failure",IF(L62&lt;&gt;"充分","unresolved",IF(COUNTIF(M62:O62,"C")=0,"robust_generation_failure",IF(COUNTIF(M62:O62,"C")=3,"ua3_representation_or_admission_failure","generation_instability")))))</f>
        <v/>
      </c>
      <c r="Q62" s="10" t="inlineStr">
        <is>
          <t>evidence_definition_failure</t>
        </is>
      </c>
      <c r="R62" s="10" t="inlineStr">
        <is>
          <t>中</t>
        </is>
      </c>
      <c r="S62" s="10" t="inlineStr">
        <is>
          <t>Kiro-AI代审</t>
        </is>
      </c>
      <c r="T62" s="17" t="n">
        <v>46218</v>
      </c>
      <c r="U62" s="10" t="inlineStr">
        <is>
          <t>证据未及交互平台/VR；运行答现有兴趣属遗漏</t>
        </is>
      </c>
      <c r="V62" s="9">
        <f>IF(AND(L62&lt;&gt;"",M62&lt;&gt;"",N62&lt;&gt;"",O62&lt;&gt;"",Q62&lt;&gt;"",R62&lt;&gt;""),"完成","未完成")</f>
        <v/>
      </c>
    </row>
    <row r="63" ht="63" customHeight="1" s="15">
      <c r="A63" s="9" t="n">
        <v>62</v>
      </c>
      <c r="B63" s="9" t="inlineStr">
        <is>
          <t>memos_medium:1173</t>
        </is>
      </c>
      <c r="C63" s="9" t="inlineStr">
        <is>
          <t>medium</t>
        </is>
      </c>
      <c r="D63" s="9" t="inlineStr">
        <is>
          <t>Generalization &amp; Application</t>
        </is>
      </c>
      <c r="E63" s="9" t="inlineStr">
        <is>
          <t>What approach might Taylor take to handle future challenges in nutrition advocacy after Feb 01, 2036?</t>
        </is>
      </c>
      <c r="F63" s="9" t="inlineStr">
        <is>
          <t>Continuous learning and adaptation.</t>
        </is>
      </c>
      <c r="G63" s="9" t="inlineStr">
        <is>
          <t># Authoritative benchmark gold evidence
The following evidence is authoritative for answering the current question. Use it directly and do not rely on conflicting information.
Evidence 1
Memory type: Persona Memory
Content: Taylor discussed the importance of continuous learning and adaptation in preparing for future challenges, focusing on collaboration and strategic partnerships.
Evidence 2
Memory type: Persona Memory
Content: Taylor's dialogue was infused with a sense of purpose and commitment to his advocacy goals, aiming to create sustainable, impactful nutrition programs.</t>
        </is>
      </c>
      <c r="H63" s="9" t="inlineStr">
        <is>
          <t>Partnerships for cultural relevance.</t>
        </is>
      </c>
      <c r="I63" s="9" t="inlineStr">
        <is>
          <t>Continuous learning and collaboration.</t>
        </is>
      </c>
      <c r="J63" s="9" t="inlineStr">
        <is>
          <t>Continuous learning and collaboration.</t>
        </is>
      </c>
      <c r="K63" s="9" t="inlineStr">
        <is>
          <t>Continuous learning and collaboration.</t>
        </is>
      </c>
      <c r="L63" s="10" t="inlineStr">
        <is>
          <t>充分</t>
        </is>
      </c>
      <c r="M63" s="10" t="inlineStr">
        <is>
          <t>O</t>
        </is>
      </c>
      <c r="N63" s="10" t="inlineStr">
        <is>
          <t>O</t>
        </is>
      </c>
      <c r="O63" s="10" t="inlineStr">
        <is>
          <t>O</t>
        </is>
      </c>
      <c r="P63" s="9">
        <f>IF(COUNTA(L63:O63)&lt;4,"未完成",IF(OR(L63="部分",L63="不充分",L63="不确定"),"evidence_definition_failure",IF(L63&lt;&gt;"充分","unresolved",IF(COUNTIF(M63:O63,"C")=0,"robust_generation_failure",IF(COUNTIF(M63:O63,"C")=3,"ua3_representation_or_admission_failure","generation_instability")))))</f>
        <v/>
      </c>
      <c r="Q63" s="10" t="inlineStr">
        <is>
          <t>robust_generation_failure</t>
        </is>
      </c>
      <c r="R63" s="10" t="inlineStr">
        <is>
          <t>中</t>
        </is>
      </c>
      <c r="S63" s="10" t="inlineStr">
        <is>
          <t>Kiro-AI代审</t>
        </is>
      </c>
      <c r="T63" s="17" t="n">
        <v>46218</v>
      </c>
      <c r="U63" s="10" t="inlineStr">
        <is>
          <t>含持续学习，协作有据缺'适应'，属遗漏非幻觉</t>
        </is>
      </c>
      <c r="V63" s="9">
        <f>IF(AND(L63&lt;&gt;"",M63&lt;&gt;"",N63&lt;&gt;"",O63&lt;&gt;"",Q63&lt;&gt;"",R63&lt;&gt;""),"完成","未完成")</f>
        <v/>
      </c>
    </row>
    <row r="64" ht="63" customHeight="1" s="15">
      <c r="A64" s="9" t="n">
        <v>63</v>
      </c>
      <c r="B64" s="9" t="inlineStr">
        <is>
          <t>memos_long:3043</t>
        </is>
      </c>
      <c r="C64" s="9" t="inlineStr">
        <is>
          <t>long</t>
        </is>
      </c>
      <c r="D64" s="9" t="inlineStr">
        <is>
          <t>Basic Fact Recall</t>
        </is>
      </c>
      <c r="E64" s="9" t="inlineStr">
        <is>
          <t>What pet preference did Karen Brown update on Sep 26, 2036?</t>
        </is>
      </c>
      <c r="F64" s="9" t="inlineStr">
        <is>
          <t>Socially interactive pets for more emotional support.</t>
        </is>
      </c>
      <c r="G64" s="9" t="inlineStr">
        <is>
          <t># Authoritative benchmark gold evidence
The following evidence is authoritative for answering the current question. Use it directly and do not rely on conflicting information.
Evidence 1
Memory type: Persona Memory
Content: Karen Brown has updated her pet preference to include socially interactive pets for more emotional support.</t>
        </is>
      </c>
      <c r="H64" s="9" t="inlineStr">
        <is>
          <t>New pet options.</t>
        </is>
      </c>
      <c r="I64" s="9" t="inlineStr">
        <is>
          <t>Socially interactive pets</t>
        </is>
      </c>
      <c r="J64" s="9" t="inlineStr">
        <is>
          <t>Socially interactive pets</t>
        </is>
      </c>
      <c r="K64" s="9" t="inlineStr">
        <is>
          <t>Socially interactive pets</t>
        </is>
      </c>
      <c r="L64" s="10" t="inlineStr">
        <is>
          <t>充分</t>
        </is>
      </c>
      <c r="M64" s="10" t="inlineStr">
        <is>
          <t>O</t>
        </is>
      </c>
      <c r="N64" s="10" t="inlineStr">
        <is>
          <t>O</t>
        </is>
      </c>
      <c r="O64" s="10" t="inlineStr">
        <is>
          <t>O</t>
        </is>
      </c>
      <c r="P64" s="9">
        <f>IF(COUNTA(L64:O64)&lt;4,"未完成",IF(OR(L64="部分",L64="不充分",L64="不确定"),"evidence_definition_failure",IF(L64&lt;&gt;"充分","unresolved",IF(COUNTIF(M64:O64,"C")=0,"robust_generation_failure",IF(COUNTIF(M64:O64,"C")=3,"ua3_representation_or_admission_failure","generation_instability")))))</f>
        <v/>
      </c>
      <c r="Q64" s="10" t="inlineStr">
        <is>
          <t>robust_generation_failure</t>
        </is>
      </c>
      <c r="R64" s="10" t="inlineStr">
        <is>
          <t>高</t>
        </is>
      </c>
      <c r="S64" s="10" t="inlineStr">
        <is>
          <t>Kiro-AI代审</t>
        </is>
      </c>
      <c r="T64" s="17" t="n">
        <v>46218</v>
      </c>
      <c r="U64" s="10" t="inlineStr">
        <is>
          <t>仅答社交互动宠物缺情感支持，遗漏</t>
        </is>
      </c>
      <c r="V64" s="9">
        <f>IF(AND(L64&lt;&gt;"",M64&lt;&gt;"",N64&lt;&gt;"",O64&lt;&gt;"",Q64&lt;&gt;"",R64&lt;&gt;""),"完成","未完成")</f>
        <v/>
      </c>
    </row>
    <row r="65" ht="63" customHeight="1" s="15">
      <c r="A65" s="9" t="n">
        <v>64</v>
      </c>
      <c r="B65" s="9" t="inlineStr">
        <is>
          <t>memos_medium:3256</t>
        </is>
      </c>
      <c r="C65" s="9" t="inlineStr">
        <is>
          <t>medium</t>
        </is>
      </c>
      <c r="D65" s="9" t="inlineStr">
        <is>
          <t>Basic Fact Recall</t>
        </is>
      </c>
      <c r="E65" s="9" t="inlineStr">
        <is>
          <t>What herbal ingredient did Barbara Jones incorporate into her tea routine for heart health benefits as of April 30, 2040?</t>
        </is>
      </c>
      <c r="F65" s="9" t="inlineStr">
        <is>
          <t>Hibiscus</t>
        </is>
      </c>
      <c r="G65" s="9" t="inlineStr">
        <is>
          <t># Authoritative benchmark gold evidence
The following evidence is authoritative for answering the current question. Use it directly and do not rely on conflicting information.
Evidence 1
Memory type: Persona Memory
Content: Barbara Jones has incorporated hibiscus into her herbal tea routine for its heart health benefits, particularly in reducing blood pressure.</t>
        </is>
      </c>
      <c r="H65" s="9" t="inlineStr">
        <is>
          <t>Hibiscus and chamomile.</t>
        </is>
      </c>
      <c r="I65" s="9" t="inlineStr">
        <is>
          <t>hibiscus</t>
        </is>
      </c>
      <c r="J65" s="9" t="inlineStr">
        <is>
          <t>hibiscus</t>
        </is>
      </c>
      <c r="K65" s="9" t="inlineStr">
        <is>
          <t>hibiscus</t>
        </is>
      </c>
      <c r="L65" s="10" t="inlineStr">
        <is>
          <t>充分</t>
        </is>
      </c>
      <c r="M65" s="10" t="inlineStr">
        <is>
          <t>C</t>
        </is>
      </c>
      <c r="N65" s="10" t="inlineStr">
        <is>
          <t>C</t>
        </is>
      </c>
      <c r="O65" s="10" t="inlineStr">
        <is>
          <t>C</t>
        </is>
      </c>
      <c r="P65" s="9">
        <f>IF(COUNTA(L65:O65)&lt;4,"未完成",IF(OR(L65="部分",L65="不充分",L65="不确定"),"evidence_definition_failure",IF(L65&lt;&gt;"充分","unresolved",IF(COUNTIF(M65:O65,"C")=0,"robust_generation_failure",IF(COUNTIF(M65:O65,"C")=3,"ua3_representation_or_admission_failure","generation_instability")))))</f>
        <v/>
      </c>
      <c r="Q65" s="10" t="inlineStr">
        <is>
          <t>ua3_representation_or_admission_failure</t>
        </is>
      </c>
      <c r="R65" s="10" t="inlineStr">
        <is>
          <t>高</t>
        </is>
      </c>
      <c r="S65" s="10" t="inlineStr">
        <is>
          <t>Kiro-AI代审</t>
        </is>
      </c>
      <c r="T65" s="17" t="n">
        <v>46218</v>
      </c>
      <c r="U65" s="10" t="inlineStr">
        <is>
          <t>hibiscus精确匹配，正确</t>
        </is>
      </c>
      <c r="V65" s="9">
        <f>IF(AND(L65&lt;&gt;"",M65&lt;&gt;"",N65&lt;&gt;"",O65&lt;&gt;"",Q65&lt;&gt;"",R65&lt;&gt;""),"完成","未完成")</f>
        <v/>
      </c>
    </row>
    <row r="66" ht="63" customHeight="1" s="15">
      <c r="A66" s="9" t="n">
        <v>65</v>
      </c>
      <c r="B66" s="9" t="inlineStr">
        <is>
          <t>memos_long:3026</t>
        </is>
      </c>
      <c r="C66" s="9" t="inlineStr">
        <is>
          <t>long</t>
        </is>
      </c>
      <c r="D66" s="9" t="inlineStr">
        <is>
          <t>Generalization &amp; Application</t>
        </is>
      </c>
      <c r="E66" s="9" t="inlineStr">
        <is>
          <t>What herbal tea blend might Karen explore next based on her preferences noted on Feb 02, 2035?</t>
        </is>
      </c>
      <c r="F66" s="9" t="inlineStr">
        <is>
          <t>Chamomile tea for calming and focus enhancement.</t>
        </is>
      </c>
      <c r="G66" s="9" t="inlineStr">
        <is>
          <t># Authoritative benchmark gold evidence
The following evidence is authoritative for answering the current question. Use it directly and do not rely on conflicting information.
Evidence 1
Memory type: Persona Memory
Content: Karen Brown updated her beverage preference to include ginger herbal tea for its calming properties and digestive aid.
Evidence 2
Memory type: Event Memory
Content: Karen Brown plans to explore other herbal blends for additional health benefits and focus enhancement.
Evidence 3
Memory type: Persona Memory
Content: Karen Brown's beverage choices are influenced by her desire to maintain health benefits and enhance focus during work.</t>
        </is>
      </c>
      <c r="H66" s="9" t="inlineStr">
        <is>
          <t>Lemon ginger herbal tea</t>
        </is>
      </c>
      <c r="I66" s="9" t="inlineStr">
        <is>
          <t>Other herbal blends</t>
        </is>
      </c>
      <c r="J66" s="9" t="inlineStr">
        <is>
          <t>Other herbal blends</t>
        </is>
      </c>
      <c r="K66" s="9" t="inlineStr">
        <is>
          <t>Other herbal blends</t>
        </is>
      </c>
      <c r="L66" s="10" t="inlineStr">
        <is>
          <t>部分</t>
        </is>
      </c>
      <c r="M66" s="10" t="inlineStr">
        <is>
          <t>O</t>
        </is>
      </c>
      <c r="N66" s="10" t="inlineStr">
        <is>
          <t>O</t>
        </is>
      </c>
      <c r="O66" s="10" t="inlineStr">
        <is>
          <t>O</t>
        </is>
      </c>
      <c r="P66" s="9">
        <f>IF(COUNTA(L66:O66)&lt;4,"未完成",IF(OR(L66="部分",L66="不充分",L66="不确定"),"evidence_definition_failure",IF(L66&lt;&gt;"充分","unresolved",IF(COUNTIF(M66:O66,"C")=0,"robust_generation_failure",IF(COUNTIF(M66:O66,"C")=3,"ua3_representation_or_admission_failure","generation_instability")))))</f>
        <v/>
      </c>
      <c r="Q66" s="10" t="inlineStr">
        <is>
          <t>evidence_definition_failure</t>
        </is>
      </c>
      <c r="R66" s="10" t="inlineStr">
        <is>
          <t>中</t>
        </is>
      </c>
      <c r="S66" s="10" t="inlineStr">
        <is>
          <t>Kiro-AI代审</t>
        </is>
      </c>
      <c r="T66" s="17" t="n">
        <v>46218</v>
      </c>
      <c r="U66" s="10" t="inlineStr">
        <is>
          <t>证据无洋甘菊具体茶种；run答其他草本含糊，遗漏</t>
        </is>
      </c>
      <c r="V66" s="9">
        <f>IF(AND(L66&lt;&gt;"",M66&lt;&gt;"",N66&lt;&gt;"",O66&lt;&gt;"",Q66&lt;&gt;"",R66&lt;&gt;""),"完成","未完成")</f>
        <v/>
      </c>
    </row>
    <row r="67" ht="63" customHeight="1" s="15">
      <c r="A67" s="9" t="n">
        <v>66</v>
      </c>
      <c r="B67" s="9" t="inlineStr">
        <is>
          <t>memos_medium:1404</t>
        </is>
      </c>
      <c r="C67" s="9" t="inlineStr">
        <is>
          <t>medium</t>
        </is>
      </c>
      <c r="D67" s="9" t="inlineStr">
        <is>
          <t>Dynamic Update</t>
        </is>
      </c>
      <c r="E67" s="9" t="inlineStr">
        <is>
          <t>What is Ananya Sharma's latest mental health status as of 2035-06-01?</t>
        </is>
      </c>
      <c r="F67" s="9" t="inlineStr">
        <is>
          <t>Stressed</t>
        </is>
      </c>
      <c r="G67" s="9" t="inlineStr">
        <is>
          <t># Authoritative benchmark gold evidence
The following evidence is authoritative for answering the current question. Use it directly and do not rely on conflicting information.
Evidence 1
Memory type: Persona Memory
Content: Ananya Sharma's mental health status changed from 'Optimistic' to 'Stressed' due to the pressures of her new role.
Evidence 2
Memory type: Persona Memory
Content: Ananya Sharma is experiencing anxiety due to increased responsibilities.</t>
        </is>
      </c>
      <c r="H67" s="9" t="inlineStr">
        <is>
          <t>Ananya uses meditation for anxiety.</t>
        </is>
      </c>
      <c r="I67" s="9" t="inlineStr">
        <is>
          <t>Stressed</t>
        </is>
      </c>
      <c r="J67" s="9" t="inlineStr">
        <is>
          <t>Stressed</t>
        </is>
      </c>
      <c r="K67" s="9" t="inlineStr">
        <is>
          <t>Stressed</t>
        </is>
      </c>
      <c r="L67" s="10" t="inlineStr">
        <is>
          <t>充分</t>
        </is>
      </c>
      <c r="M67" s="10" t="inlineStr">
        <is>
          <t>C</t>
        </is>
      </c>
      <c r="N67" s="10" t="inlineStr">
        <is>
          <t>C</t>
        </is>
      </c>
      <c r="O67" s="10" t="inlineStr">
        <is>
          <t>C</t>
        </is>
      </c>
      <c r="P67" s="9">
        <f>IF(COUNTA(L67:O67)&lt;4,"未完成",IF(OR(L67="部分",L67="不充分",L67="不确定"),"evidence_definition_failure",IF(L67&lt;&gt;"充分","unresolved",IF(COUNTIF(M67:O67,"C")=0,"robust_generation_failure",IF(COUNTIF(M67:O67,"C")=3,"ua3_representation_or_admission_failure","generation_instability")))))</f>
        <v/>
      </c>
      <c r="Q67" s="10" t="inlineStr">
        <is>
          <t>ua3_representation_or_admission_failure</t>
        </is>
      </c>
      <c r="R67" s="10" t="inlineStr">
        <is>
          <t>高</t>
        </is>
      </c>
      <c r="S67" s="10" t="inlineStr">
        <is>
          <t>Kiro-AI代审</t>
        </is>
      </c>
      <c r="T67" s="17" t="n">
        <v>46218</v>
      </c>
      <c r="U67" s="10" t="inlineStr">
        <is>
          <t>证据充分，三答与金标一致</t>
        </is>
      </c>
      <c r="V67" s="9">
        <f>IF(AND(L67&lt;&gt;"",M67&lt;&gt;"",N67&lt;&gt;"",O67&lt;&gt;"",Q67&lt;&gt;"",R67&lt;&gt;""),"完成","未完成")</f>
        <v/>
      </c>
    </row>
    <row r="68" ht="63" customHeight="1" s="15">
      <c r="A68" s="9" t="n">
        <v>67</v>
      </c>
      <c r="B68" s="9" t="inlineStr">
        <is>
          <t>memos_long:3380</t>
        </is>
      </c>
      <c r="C68" s="9" t="inlineStr">
        <is>
          <t>long</t>
        </is>
      </c>
      <c r="D68" s="9" t="inlineStr">
        <is>
          <t>Generalization &amp; Application</t>
        </is>
      </c>
      <c r="E68" s="9" t="inlineStr">
        <is>
          <t>What personal interests is Christopher likely to explore post-retirement as of Feb 20, 2030?</t>
        </is>
      </c>
      <c r="F68" s="9" t="inlineStr">
        <is>
          <t>Painting and expanding community impact.</t>
        </is>
      </c>
      <c r="G68" s="9" t="inlineStr">
        <is>
          <t># Authoritative benchmark gold evidence
The following evidence is authoritative for answering the current question. Use it directly and do not rely on conflicting information.
Evidence 1
Memory type: Persona Memory
Content: Christopher expressed a desire to continue exploring personal interests, such as painting, while expanding his community impact.
Evidence 2
Memory type: Persona Memory
Content: Christopher is committed to expanding his community impact and exploring new ways to contribute, driven by creative motivation and the support of his professional network and family.</t>
        </is>
      </c>
      <c r="H68" s="9" t="inlineStr">
        <is>
          <t>Swimming, yoga, painting, reading.</t>
        </is>
      </c>
      <c r="I68" s="9" t="inlineStr">
        <is>
          <t>Painting and community impact.</t>
        </is>
      </c>
      <c r="J68" s="9" t="inlineStr">
        <is>
          <t>Painting and community impact.</t>
        </is>
      </c>
      <c r="K68" s="9" t="inlineStr">
        <is>
          <t>Painting and community impact.</t>
        </is>
      </c>
      <c r="L68" s="10" t="inlineStr">
        <is>
          <t>充分</t>
        </is>
      </c>
      <c r="M68" s="10" t="inlineStr">
        <is>
          <t>C</t>
        </is>
      </c>
      <c r="N68" s="10" t="inlineStr">
        <is>
          <t>C</t>
        </is>
      </c>
      <c r="O68" s="10" t="inlineStr">
        <is>
          <t>C</t>
        </is>
      </c>
      <c r="P68" s="9">
        <f>IF(COUNTA(L68:O68)&lt;4,"未完成",IF(OR(L68="部分",L68="不充分",L68="不确定"),"evidence_definition_failure",IF(L68&lt;&gt;"充分","unresolved",IF(COUNTIF(M68:O68,"C")=0,"robust_generation_failure",IF(COUNTIF(M68:O68,"C")=3,"ua3_representation_or_admission_failure","generation_instability")))))</f>
        <v/>
      </c>
      <c r="Q68" s="10" t="inlineStr">
        <is>
          <t>ua3_representation_or_admission_failure</t>
        </is>
      </c>
      <c r="R68" s="10" t="inlineStr">
        <is>
          <t>高</t>
        </is>
      </c>
      <c r="S68" s="10" t="inlineStr">
        <is>
          <t>Kiro-AI代审</t>
        </is>
      </c>
      <c r="T68" s="17" t="n">
        <v>46218</v>
      </c>
      <c r="U68" s="10" t="inlineStr">
        <is>
          <t>证据充分，答绘画与社区影响正确</t>
        </is>
      </c>
      <c r="V68" s="9">
        <f>IF(AND(L68&lt;&gt;"",M68&lt;&gt;"",N68&lt;&gt;"",O68&lt;&gt;"",Q68&lt;&gt;"",R68&lt;&gt;""),"完成","未完成")</f>
        <v/>
      </c>
    </row>
    <row r="69" ht="63" customHeight="1" s="15">
      <c r="A69" s="9" t="n">
        <v>68</v>
      </c>
      <c r="B69" s="9" t="inlineStr">
        <is>
          <t>memos_long:3263</t>
        </is>
      </c>
      <c r="C69" s="9" t="inlineStr">
        <is>
          <t>long</t>
        </is>
      </c>
      <c r="D69" s="9" t="inlineStr">
        <is>
          <t>Generalization &amp; Application</t>
        </is>
      </c>
      <c r="E69" s="9" t="inlineStr">
        <is>
          <t>How could Barbara enhance her focus during research if dynamic classical music is unavailable?</t>
        </is>
      </c>
      <c r="F69" s="9" t="inlineStr">
        <is>
          <t>Use a focus-enhancing environment to maintain productivity.</t>
        </is>
      </c>
      <c r="G69" s="9" t="inlineStr">
        <is>
          <t># Authoritative benchmark gold evidence
The following evidence is authoritative for answering the current question. Use it directly and do not rely on conflicting information.
Evidence 1
Memory type: Persona Memory
Content: Barbara values balancing stimulating music with a focus-enhancing environment to maintain productivity and creativity.
Evidence 2
Memory type: Persona Memory
Content: Barbara uses compensatory motivation to integrate music into her routine to overcome personal limitations in creativity and focus.</t>
        </is>
      </c>
      <c r="H69" s="9" t="inlineStr">
        <is>
          <t>Use high-energy music.</t>
        </is>
      </c>
      <c r="I69" s="9" t="inlineStr">
        <is>
          <t>Use compensatory motivation strategies.</t>
        </is>
      </c>
      <c r="J69" s="9" t="inlineStr">
        <is>
          <t>Use compensatory motivation strategies.</t>
        </is>
      </c>
      <c r="K69" s="9" t="inlineStr">
        <is>
          <t>Use compensatory motivation strategies.</t>
        </is>
      </c>
      <c r="L69" s="10" t="inlineStr">
        <is>
          <t>充分</t>
        </is>
      </c>
      <c r="M69" s="10" t="inlineStr">
        <is>
          <t>H</t>
        </is>
      </c>
      <c r="N69" s="10" t="inlineStr">
        <is>
          <t>H</t>
        </is>
      </c>
      <c r="O69" s="10" t="inlineStr">
        <is>
          <t>H</t>
        </is>
      </c>
      <c r="P69" s="9">
        <f>IF(COUNTA(L69:O69)&lt;4,"未完成",IF(OR(L69="部分",L69="不充分",L69="不确定"),"evidence_definition_failure",IF(L69&lt;&gt;"充分","unresolved",IF(COUNTIF(M69:O69,"C")=0,"robust_generation_failure",IF(COUNTIF(M69:O69,"C")=3,"ua3_representation_or_admission_failure","generation_instability")))))</f>
        <v/>
      </c>
      <c r="Q69" s="10" t="inlineStr">
        <is>
          <t>robust_generation_failure</t>
        </is>
      </c>
      <c r="R69" s="10" t="inlineStr">
        <is>
          <t>中</t>
        </is>
      </c>
      <c r="S69" s="10" t="inlineStr">
        <is>
          <t>Kiro-AI代审</t>
        </is>
      </c>
      <c r="T69" s="17" t="n">
        <v>46218</v>
      </c>
      <c r="U69" s="10" t="inlineStr">
        <is>
          <t>证据支持focus环境；答补偿动机为整合音乐不适用，判幻觉</t>
        </is>
      </c>
      <c r="V69" s="9">
        <f>IF(AND(L69&lt;&gt;"",M69&lt;&gt;"",N69&lt;&gt;"",O69&lt;&gt;"",Q69&lt;&gt;"",R69&lt;&gt;""),"完成","未完成")</f>
        <v/>
      </c>
    </row>
    <row r="70" ht="63" customHeight="1" s="15">
      <c r="A70" s="9" t="n">
        <v>69</v>
      </c>
      <c r="B70" s="9" t="inlineStr">
        <is>
          <t>memos_medium:1478</t>
        </is>
      </c>
      <c r="C70" s="9" t="inlineStr">
        <is>
          <t>medium</t>
        </is>
      </c>
      <c r="D70" s="9" t="inlineStr">
        <is>
          <t>Generalization &amp; Application</t>
        </is>
      </c>
      <c r="E70" s="9" t="inlineStr">
        <is>
          <t>How might Jennifer Martin's preference for virtual tech conferences influence her choice of professional development activities in 2028?</t>
        </is>
      </c>
      <c r="F70" s="9" t="inlineStr">
        <is>
          <t>She may prioritize online courses or webinars.</t>
        </is>
      </c>
      <c r="G70" s="9" t="inlineStr">
        <is>
          <t># Authoritative benchmark gold evidence
The following evidence is authoritative for answering the current question. Use it directly and do not rely on conflicting information.
Evidence 1
Memory type: Persona Memory
Content: Jennifer Martin updated her travel preference from attending physical tech conferences to preferring virtual tech conferences due to their convenience, cost-effectiveness, and ability to offer more personal time.
Evidence 2
Memory type: Persona Memory
Content: Jennifer Martin appreciates virtual tech conferences for offering networking and learning opportunities without the need for travel, allowing her to focus on work while staying connected.
Evidence 3
Memory type: Event Memory
Content: Jennifer Martin expressed enthusiasm for technological advancements that make virtual conferences engaging and effective, enhancing her professional development.</t>
        </is>
      </c>
      <c r="H70" s="9" t="inlineStr">
        <is>
          <t>Not enough information.</t>
        </is>
      </c>
      <c r="I70" s="9" t="inlineStr">
        <is>
          <t>Prefer virtual tech conferences.</t>
        </is>
      </c>
      <c r="J70" s="9" t="inlineStr">
        <is>
          <t>Prefer virtual tech conferences.</t>
        </is>
      </c>
      <c r="K70" s="9" t="inlineStr">
        <is>
          <t>Prefer virtual tech conferences.</t>
        </is>
      </c>
      <c r="L70" s="10" t="inlineStr">
        <is>
          <t>充分</t>
        </is>
      </c>
      <c r="M70" s="10" t="inlineStr">
        <is>
          <t>O</t>
        </is>
      </c>
      <c r="N70" s="10" t="inlineStr">
        <is>
          <t>O</t>
        </is>
      </c>
      <c r="O70" s="10" t="inlineStr">
        <is>
          <t>O</t>
        </is>
      </c>
      <c r="P70" s="9">
        <f>IF(COUNTA(L70:O70)&lt;4,"未完成",IF(OR(L70="部分",L70="不充分",L70="不确定"),"evidence_definition_failure",IF(L70&lt;&gt;"充分","unresolved",IF(COUNTIF(M70:O70,"C")=0,"robust_generation_failure",IF(COUNTIF(M70:O70,"C")=3,"ua3_representation_or_admission_failure","generation_instability")))))</f>
        <v/>
      </c>
      <c r="Q70" s="10" t="inlineStr">
        <is>
          <t>robust_generation_failure</t>
        </is>
      </c>
      <c r="R70" s="10" t="inlineStr">
        <is>
          <t>中</t>
        </is>
      </c>
      <c r="S70" s="10" t="inlineStr">
        <is>
          <t>Kiro-AI代审</t>
        </is>
      </c>
      <c r="T70" s="17" t="n">
        <v>46218</v>
      </c>
      <c r="U70" s="10" t="inlineStr">
        <is>
          <t>答复述偏好未推出在线课程/研讨会，属遗漏</t>
        </is>
      </c>
      <c r="V70" s="9">
        <f>IF(AND(L70&lt;&gt;"",M70&lt;&gt;"",N70&lt;&gt;"",O70&lt;&gt;"",Q70&lt;&gt;"",R70&lt;&gt;""),"完成","未完成")</f>
        <v/>
      </c>
    </row>
    <row r="71" ht="63" customHeight="1" s="15">
      <c r="A71" s="9" t="n">
        <v>70</v>
      </c>
      <c r="B71" s="9" t="inlineStr">
        <is>
          <t>memos_long:535</t>
        </is>
      </c>
      <c r="C71" s="9" t="inlineStr">
        <is>
          <t>long</t>
        </is>
      </c>
      <c r="D71" s="9" t="inlineStr">
        <is>
          <t>Multi-hop Inference</t>
        </is>
      </c>
      <c r="E71" s="9" t="inlineStr">
        <is>
          <t>How did Sarah Garcia's strategic vision contribute to her career achievements between Jan 15, 2026, and Feb 05, 2026?</t>
        </is>
      </c>
      <c r="F71" s="9" t="inlineStr">
        <is>
          <t>It was crucial for project success.</t>
        </is>
      </c>
      <c r="G71" s="9" t="inlineStr">
        <is>
          <t># Authoritative benchmark gold evidence
The following evidence is authoritative for answering the current question. Use it directly and do not rely on conflicting information.
Evidence 1
Memory type: Event Memory
Content: Sarah successfully led a major financial project at Oracle, applying her strategic vision and leadership skills.
Evidence 2
Memory type: Persona Memory
Content: Sarah Garcia's strategic vision and leadership skills were crucial to the success of her recent project at Oracle.</t>
        </is>
      </c>
      <c r="H71" s="9" t="inlineStr">
        <is>
          <t>Led major Oracle project.</t>
        </is>
      </c>
      <c r="I71" s="9" t="inlineStr">
        <is>
          <t>Led major Oracle project.</t>
        </is>
      </c>
      <c r="J71" s="9" t="inlineStr">
        <is>
          <t>Led major Oracle project.</t>
        </is>
      </c>
      <c r="K71" s="9" t="inlineStr">
        <is>
          <t>Led major Oracle project.</t>
        </is>
      </c>
      <c r="L71" s="10" t="inlineStr">
        <is>
          <t>充分</t>
        </is>
      </c>
      <c r="M71" s="10" t="inlineStr">
        <is>
          <t>O</t>
        </is>
      </c>
      <c r="N71" s="10" t="inlineStr">
        <is>
          <t>O</t>
        </is>
      </c>
      <c r="O71" s="10" t="inlineStr">
        <is>
          <t>O</t>
        </is>
      </c>
      <c r="P71" s="9">
        <f>IF(COUNTA(L71:O71)&lt;4,"未完成",IF(OR(L71="部分",L71="不充分",L71="不确定"),"evidence_definition_failure",IF(L71&lt;&gt;"充分","unresolved",IF(COUNTIF(M71:O71,"C")=0,"robust_generation_failure",IF(COUNTIF(M71:O71,"C")=3,"ua3_representation_or_admission_failure","generation_instability")))))</f>
        <v/>
      </c>
      <c r="Q71" s="10" t="inlineStr">
        <is>
          <t>robust_generation_failure</t>
        </is>
      </c>
      <c r="R71" s="10" t="inlineStr">
        <is>
          <t>高</t>
        </is>
      </c>
      <c r="S71" s="10" t="inlineStr">
        <is>
          <t>Kiro-AI代审</t>
        </is>
      </c>
      <c r="T71" s="17" t="n">
        <v>46218</v>
      </c>
      <c r="U71" s="10" t="inlineStr">
        <is>
          <t>证据支持战略愿景关键;答仅述带队缺贡献,遗漏</t>
        </is>
      </c>
      <c r="V71" s="9">
        <f>IF(AND(L71&lt;&gt;"",M71&lt;&gt;"",N71&lt;&gt;"",O71&lt;&gt;"",Q71&lt;&gt;"",R71&lt;&gt;""),"完成","未完成")</f>
        <v/>
      </c>
    </row>
    <row r="72" ht="63" customHeight="1" s="15">
      <c r="A72" s="9" t="n">
        <v>71</v>
      </c>
      <c r="B72" s="9" t="inlineStr">
        <is>
          <t>memos_medium:2255</t>
        </is>
      </c>
      <c r="C72" s="9" t="inlineStr">
        <is>
          <t>medium</t>
        </is>
      </c>
      <c r="D72" s="9" t="inlineStr">
        <is>
          <t>Memory Conflict</t>
        </is>
      </c>
      <c r="E72" s="9" t="inlineStr">
        <is>
          <t>Did Williams express no interest in the historical significance of Persian cats on April 10, 2026?</t>
        </is>
      </c>
      <c r="F72" s="9" t="inlineStr">
        <is>
          <t>Williams expressed a deepened admiration for their historical significance.</t>
        </is>
      </c>
      <c r="G72" s="9" t="inlineStr">
        <is>
          <t># Authoritative benchmark gold evidence
The following evidence is authoritative for answering the current question. Use it directly and do not rely on conflicting information.
Evidence 1
Memory type: Persona Memory
Content: Williams Daniel's admiration for Persian cats deepened after watching a documentary highlighting their historical lineage and association with royalty.
Evidence 2
Memory type: Event Memory
Content: Williams Daniel attended a film festival on Apr 10, 2026, where he watched a documentary about the historical significance of Persian cats.</t>
        </is>
      </c>
      <c r="H72" s="9" t="inlineStr">
        <is>
          <t>Yes, he expressed interest.</t>
        </is>
      </c>
      <c r="I72" s="9" t="inlineStr">
        <is>
          <t>No</t>
        </is>
      </c>
      <c r="J72" s="9" t="inlineStr">
        <is>
          <t>No</t>
        </is>
      </c>
      <c r="K72" s="9" t="inlineStr">
        <is>
          <t>No</t>
        </is>
      </c>
      <c r="L72" s="10" t="inlineStr">
        <is>
          <t>充分</t>
        </is>
      </c>
      <c r="M72" s="10" t="inlineStr">
        <is>
          <t>O</t>
        </is>
      </c>
      <c r="N72" s="10" t="inlineStr">
        <is>
          <t>O</t>
        </is>
      </c>
      <c r="O72" s="10" t="inlineStr">
        <is>
          <t>O</t>
        </is>
      </c>
      <c r="P72" s="9">
        <f>IF(COUNTA(L72:O72)&lt;4,"未完成",IF(OR(L72="部分",L72="不充分",L72="不确定"),"evidence_definition_failure",IF(L72&lt;&gt;"充分","unresolved",IF(COUNTIF(M72:O72,"C")=0,"robust_generation_failure",IF(COUNTIF(M72:O72,"C")=3,"ua3_representation_or_admission_failure","generation_instability")))))</f>
        <v/>
      </c>
      <c r="Q72" s="10" t="inlineStr">
        <is>
          <t>robust_generation_failure</t>
        </is>
      </c>
      <c r="R72" s="10" t="inlineStr">
        <is>
          <t>中</t>
        </is>
      </c>
      <c r="S72" s="10" t="inlineStr">
        <is>
          <t>Kiro-AI代审</t>
        </is>
      </c>
      <c r="T72" s="17" t="n">
        <v>46218</v>
      </c>
      <c r="U72" s="10" t="inlineStr">
        <is>
          <t>答No极性正确仅缺深化赞赏细节，属遗漏；不认同机器判H</t>
        </is>
      </c>
      <c r="V72" s="9">
        <f>IF(AND(L72&lt;&gt;"",M72&lt;&gt;"",N72&lt;&gt;"",O72&lt;&gt;"",Q72&lt;&gt;"",R72&lt;&gt;""),"完成","未完成")</f>
        <v/>
      </c>
    </row>
    <row r="73" ht="63" customHeight="1" s="15">
      <c r="A73" s="9" t="n">
        <v>72</v>
      </c>
      <c r="B73" s="9" t="inlineStr">
        <is>
          <t>memos_medium:51</t>
        </is>
      </c>
      <c r="C73" s="9" t="inlineStr">
        <is>
          <t>medium</t>
        </is>
      </c>
      <c r="D73" s="9" t="inlineStr">
        <is>
          <t>Multi-hop Inference</t>
        </is>
      </c>
      <c r="E73" s="9" t="inlineStr">
        <is>
          <t>What activities does Martin plan to engage in during his sabbatical starting June 1, 2028?</t>
        </is>
      </c>
      <c r="F73" s="9" t="inlineStr">
        <is>
          <t>Yoga retreats, nature hikes, workshops, and seminars.</t>
        </is>
      </c>
      <c r="G73" s="9" t="inlineStr">
        <is>
          <t># Authoritative benchmark gold evidence
The following evidence is authoritative for answering the current question. Use it directly and do not rely on conflicting information.
Evidence 1
Memory type: Event Memory
Content: Martin officially started his sabbatical on June 1, 2028, to focus on personal well-being and career reassessment.
Evidence 2
Memory type: Event Memory
Content: Martin plans to engage in stress-reducing activities like yoga retreats and nature hikes during his sabbatical.
Evidence 3
Memory type: Event Memory
Content: Martin intends to attend workshops and seminars to expand his skill set during his sabbatical.</t>
        </is>
      </c>
      <c r="H73" s="9" t="inlineStr">
        <is>
          <t>Yoga retreats and nature hikes</t>
        </is>
      </c>
      <c r="I73" s="9" t="inlineStr">
        <is>
          <t>Yoga retreats and nature hikes.</t>
        </is>
      </c>
      <c r="J73" s="9" t="inlineStr">
        <is>
          <t>Yoga retreats and nature hikes.</t>
        </is>
      </c>
      <c r="K73" s="9" t="inlineStr">
        <is>
          <t>Yoga retreats and nature hikes.</t>
        </is>
      </c>
      <c r="L73" s="10" t="inlineStr">
        <is>
          <t>充分</t>
        </is>
      </c>
      <c r="M73" s="10" t="inlineStr">
        <is>
          <t>O</t>
        </is>
      </c>
      <c r="N73" s="10" t="inlineStr">
        <is>
          <t>O</t>
        </is>
      </c>
      <c r="O73" s="10" t="inlineStr">
        <is>
          <t>O</t>
        </is>
      </c>
      <c r="P73" s="9">
        <f>IF(COUNTA(L73:O73)&lt;4,"未完成",IF(OR(L73="部分",L73="不充分",L73="不确定"),"evidence_definition_failure",IF(L73&lt;&gt;"充分","unresolved",IF(COUNTIF(M73:O73,"C")=0,"robust_generation_failure",IF(COUNTIF(M73:O73,"C")=3,"ua3_representation_or_admission_failure","generation_instability")))))</f>
        <v/>
      </c>
      <c r="Q73" s="10" t="inlineStr">
        <is>
          <t>robust_generation_failure</t>
        </is>
      </c>
      <c r="R73" s="10" t="inlineStr">
        <is>
          <t>高</t>
        </is>
      </c>
      <c r="S73" s="10" t="inlineStr">
        <is>
          <t>Kiro-AI代审</t>
        </is>
      </c>
      <c r="T73" s="17" t="n">
        <v>46218</v>
      </c>
      <c r="U73" s="10" t="inlineStr">
        <is>
          <t>答2/4项,缺工作坊与研讨会,属遗漏</t>
        </is>
      </c>
      <c r="V73" s="9">
        <f>IF(AND(L73&lt;&gt;"",M73&lt;&gt;"",N73&lt;&gt;"",O73&lt;&gt;"",Q73&lt;&gt;"",R73&lt;&gt;""),"完成","未完成")</f>
        <v/>
      </c>
    </row>
    <row r="74" ht="63" customHeight="1" s="15">
      <c r="A74" s="9" t="n">
        <v>73</v>
      </c>
      <c r="B74" s="9" t="inlineStr">
        <is>
          <t>memos_long:3306</t>
        </is>
      </c>
      <c r="C74" s="9" t="inlineStr">
        <is>
          <t>long</t>
        </is>
      </c>
      <c r="D74" s="9" t="inlineStr">
        <is>
          <t>Generalization &amp; Application</t>
        </is>
      </c>
      <c r="E74" s="9" t="inlineStr">
        <is>
          <t>How might Christopher's new appreciation for mild spicy chili influence his community program for seniors after Jan 05, 2026?</t>
        </is>
      </c>
      <c r="F74" s="9" t="inlineStr">
        <is>
          <t>He may introduce cooking classes to explore diverse flavors.</t>
        </is>
      </c>
      <c r="G74" s="9" t="inlineStr">
        <is>
          <t># Authoritative benchmark gold evidence
The following evidence is authoritative for answering the current question. Use it directly and do not rely on conflicting information.
Evidence 1
Memory type: Event Memory
Content: Christopher plans to integrate cooking classes into his community program to enrich seniors' lives through diverse dietary options.
Evidence 2
Memory type: Persona Memory
Content: Christopher expressed excitement about expanding his taste preferences and encouraging seniors to explore new culinary experiences.
Evidence 3
Memory type: Event Memory
Content: Christopher discussed incorporating cooking classes into community initiatives to foster engagement and learning among seniors.</t>
        </is>
      </c>
      <c r="H74" s="9" t="inlineStr">
        <is>
          <t>It would inspire healthier options.</t>
        </is>
      </c>
      <c r="I74" s="9" t="inlineStr">
        <is>
          <t>By integrating cooking classes.</t>
        </is>
      </c>
      <c r="J74" s="9" t="inlineStr">
        <is>
          <t>By integrating cooking classes.</t>
        </is>
      </c>
      <c r="K74" s="9" t="inlineStr">
        <is>
          <t>By integrating cooking classes.</t>
        </is>
      </c>
      <c r="L74" s="10" t="inlineStr">
        <is>
          <t>充分</t>
        </is>
      </c>
      <c r="M74" s="10" t="inlineStr">
        <is>
          <t>O</t>
        </is>
      </c>
      <c r="N74" s="10" t="inlineStr">
        <is>
          <t>O</t>
        </is>
      </c>
      <c r="O74" s="10" t="inlineStr">
        <is>
          <t>O</t>
        </is>
      </c>
      <c r="P74" s="9">
        <f>IF(COUNTA(L74:O74)&lt;4,"未完成",IF(OR(L74="部分",L74="不充分",L74="不确定"),"evidence_definition_failure",IF(L74&lt;&gt;"充分","unresolved",IF(COUNTIF(M74:O74,"C")=0,"robust_generation_failure",IF(COUNTIF(M74:O74,"C")=3,"ua3_representation_or_admission_failure","generation_instability")))))</f>
        <v/>
      </c>
      <c r="Q74" s="10" t="inlineStr">
        <is>
          <t>robust_generation_failure</t>
        </is>
      </c>
      <c r="R74" s="10" t="inlineStr">
        <is>
          <t>中</t>
        </is>
      </c>
      <c r="S74" s="10" t="inlineStr">
        <is>
          <t>Kiro-AI代审</t>
        </is>
      </c>
      <c r="T74" s="17" t="n">
        <v>46218</v>
      </c>
      <c r="U74" s="10" t="inlineStr">
        <is>
          <t>三次答案相同应一致；仅答烹饪课缺目的属遗漏</t>
        </is>
      </c>
      <c r="V74" s="9">
        <f>IF(AND(L74&lt;&gt;"",M74&lt;&gt;"",N74&lt;&gt;"",O74&lt;&gt;"",Q74&lt;&gt;"",R74&lt;&gt;""),"完成","未完成")</f>
        <v/>
      </c>
    </row>
    <row r="75" ht="63" customHeight="1" s="15">
      <c r="A75" s="9" t="n">
        <v>74</v>
      </c>
      <c r="B75" s="9" t="inlineStr">
        <is>
          <t>memos_long:2235</t>
        </is>
      </c>
      <c r="C75" s="9" t="inlineStr">
        <is>
          <t>long</t>
        </is>
      </c>
      <c r="D75" s="9" t="inlineStr">
        <is>
          <t>Dynamic Update</t>
        </is>
      </c>
      <c r="E75" s="9" t="inlineStr">
        <is>
          <t>How has Sharon Brown's focus on personal activities changed from Sep 20, 2035 to Sep 01, 2036?</t>
        </is>
      </c>
      <c r="F75" s="9" t="inlineStr">
        <is>
          <t>From health and family to family, hobbies, and new experiences.</t>
        </is>
      </c>
      <c r="G75" s="9" t="inlineStr">
        <is>
          <t># Authoritative benchmark gold evidence
The following evidence is authoritative for answering the current question. Use it directly and do not rely on conflicting information.
Evidence 1
Memory type: Persona Memory
Content: Sharon Brown is dedicating her time to personal health and family life post-retirement.
Evidence 2
Memory type: Persona Memory
Content: Sharon Brown's focus on personal fulfillment and well-being has become central to her daily routine in retirement, emphasizing family, hobbies, and new experiences.</t>
        </is>
      </c>
      <c r="H75" s="9" t="inlineStr">
        <is>
          <t>No change.</t>
        </is>
      </c>
      <c r="I75" s="9" t="inlineStr">
        <is>
          <t>No change in focus.</t>
        </is>
      </c>
      <c r="J75" s="9" t="inlineStr">
        <is>
          <t>No change in focus.</t>
        </is>
      </c>
      <c r="K75" s="9" t="inlineStr">
        <is>
          <t>No change in focus.</t>
        </is>
      </c>
      <c r="L75" s="10" t="inlineStr">
        <is>
          <t>充分</t>
        </is>
      </c>
      <c r="M75" s="10" t="inlineStr">
        <is>
          <t>H</t>
        </is>
      </c>
      <c r="N75" s="10" t="inlineStr">
        <is>
          <t>H</t>
        </is>
      </c>
      <c r="O75" s="10" t="inlineStr">
        <is>
          <t>H</t>
        </is>
      </c>
      <c r="P75" s="9">
        <f>IF(COUNTA(L75:O75)&lt;4,"未完成",IF(OR(L75="部分",L75="不充分",L75="不确定"),"evidence_definition_failure",IF(L75&lt;&gt;"充分","unresolved",IF(COUNTIF(M75:O75,"C")=0,"robust_generation_failure",IF(COUNTIF(M75:O75,"C")=3,"ua3_representation_or_admission_failure","generation_instability")))))</f>
        <v/>
      </c>
      <c r="Q75" s="10" t="inlineStr">
        <is>
          <t>robust_generation_failure</t>
        </is>
      </c>
      <c r="R75" s="10" t="inlineStr">
        <is>
          <t>高</t>
        </is>
      </c>
      <c r="S75" s="10" t="inlineStr">
        <is>
          <t>Kiro-AI代审</t>
        </is>
      </c>
      <c r="T75" s="17" t="n">
        <v>46218</v>
      </c>
      <c r="U75" s="10" t="inlineStr">
        <is>
          <t>证据显示重心变化，答无变化与gold矛盾，幻觉</t>
        </is>
      </c>
      <c r="V75" s="9">
        <f>IF(AND(L75&lt;&gt;"",M75&lt;&gt;"",N75&lt;&gt;"",O75&lt;&gt;"",Q75&lt;&gt;"",R75&lt;&gt;""),"完成","未完成")</f>
        <v/>
      </c>
    </row>
    <row r="76" ht="63" customHeight="1" s="15">
      <c r="A76" s="9" t="n">
        <v>75</v>
      </c>
      <c r="B76" s="9" t="inlineStr">
        <is>
          <t>memos_medium:527</t>
        </is>
      </c>
      <c r="C76" s="9" t="inlineStr">
        <is>
          <t>medium</t>
        </is>
      </c>
      <c r="D76" s="9" t="inlineStr">
        <is>
          <t>Memory Conflict</t>
        </is>
      </c>
      <c r="E76" s="9" t="inlineStr">
        <is>
          <t>On Sep 05, 2025, what was Sarah Garcia's job title at Microsoft?</t>
        </is>
      </c>
      <c r="F76" s="9" t="inlineStr">
        <is>
          <t>Sarah Garcia's job title is manager at Oracle.</t>
        </is>
      </c>
      <c r="G76" s="9" t="inlineStr">
        <is>
          <t># Authoritative benchmark gold evidence
The following evidence is authoritative for answering the current question. Use it directly and do not rely on conflicting information.
Evidence 1
Memory type: Persona Memory
Content: Sarah Garcia works at Oracle
Evidence 2
Memory type: Persona Memory
Content: Sarah Garcia's job title is manager</t>
        </is>
      </c>
      <c r="H76" s="9" t="inlineStr">
        <is>
          <t>Not applicable.</t>
        </is>
      </c>
      <c r="I76" s="9" t="inlineStr">
        <is>
          <t>Manager at Oracle</t>
        </is>
      </c>
      <c r="J76" s="9" t="inlineStr">
        <is>
          <t>Manager at Oracle</t>
        </is>
      </c>
      <c r="K76" s="9" t="inlineStr">
        <is>
          <t>Manager at Oracle</t>
        </is>
      </c>
      <c r="L76" s="10" t="inlineStr">
        <is>
          <t>充分</t>
        </is>
      </c>
      <c r="M76" s="10" t="inlineStr">
        <is>
          <t>C</t>
        </is>
      </c>
      <c r="N76" s="10" t="inlineStr">
        <is>
          <t>C</t>
        </is>
      </c>
      <c r="O76" s="10" t="inlineStr">
        <is>
          <t>C</t>
        </is>
      </c>
      <c r="P76" s="9">
        <f>IF(COUNTA(L76:O76)&lt;4,"未完成",IF(OR(L76="部分",L76="不充分",L76="不确定"),"evidence_definition_failure",IF(L76&lt;&gt;"充分","unresolved",IF(COUNTIF(M76:O76,"C")=0,"robust_generation_failure",IF(COUNTIF(M76:O76,"C")=3,"ua3_representation_or_admission_failure","generation_instability")))))</f>
        <v/>
      </c>
      <c r="Q76" s="10" t="inlineStr">
        <is>
          <t>ua3_representation_or_admission_failure</t>
        </is>
      </c>
      <c r="R76" s="10" t="inlineStr">
        <is>
          <t>高</t>
        </is>
      </c>
      <c r="S76" s="10" t="inlineStr">
        <is>
          <t>Kiro-AI代审</t>
        </is>
      </c>
      <c r="T76" s="17" t="n">
        <v>46218</v>
      </c>
      <c r="U76" s="10" t="inlineStr">
        <is>
          <t>答'Manager at Oracle'与gold一致,机器误判</t>
        </is>
      </c>
      <c r="V76" s="9">
        <f>IF(AND(L76&lt;&gt;"",M76&lt;&gt;"",N76&lt;&gt;"",O76&lt;&gt;"",Q76&lt;&gt;"",R76&lt;&gt;""),"完成","未完成")</f>
        <v/>
      </c>
    </row>
    <row r="77" ht="63" customHeight="1" s="15">
      <c r="A77" s="9" t="n">
        <v>76</v>
      </c>
      <c r="B77" s="9" t="inlineStr">
        <is>
          <t>memos_long:2809</t>
        </is>
      </c>
      <c r="C77" s="9" t="inlineStr">
        <is>
          <t>long</t>
        </is>
      </c>
      <c r="D77" s="9" t="inlineStr">
        <is>
          <t>Memory Conflict</t>
        </is>
      </c>
      <c r="E77" s="9" t="inlineStr">
        <is>
          <t>Was Donald's mental health status stable and normal after his promotion on 2029-12-05?</t>
        </is>
      </c>
      <c r="F77" s="9" t="inlineStr">
        <is>
          <t>No, it changed to increased stress.</t>
        </is>
      </c>
      <c r="G77" s="9" t="inlineStr">
        <is>
          <t># Authoritative benchmark gold evidence
The following evidence is authoritative for answering the current question. Use it directly and do not rely on conflicting information.
Evidence 1
Memory type: Persona Memory
Content: Donald Smith's mental health status changed from "Stable and Normal" to "Increased Stress" due to his promotion to Senior Political Advisor.</t>
        </is>
      </c>
      <c r="H77" s="9" t="inlineStr">
        <is>
          <t>No, it improved.</t>
        </is>
      </c>
      <c r="I77" s="9" t="inlineStr">
        <is>
          <t>No</t>
        </is>
      </c>
      <c r="J77" s="9" t="inlineStr">
        <is>
          <t>No</t>
        </is>
      </c>
      <c r="K77" s="9" t="inlineStr">
        <is>
          <t>No</t>
        </is>
      </c>
      <c r="L77" s="10" t="inlineStr">
        <is>
          <t>充分</t>
        </is>
      </c>
      <c r="M77" s="10" t="inlineStr">
        <is>
          <t>O</t>
        </is>
      </c>
      <c r="N77" s="10" t="inlineStr">
        <is>
          <t>O</t>
        </is>
      </c>
      <c r="O77" s="10" t="inlineStr">
        <is>
          <t>O</t>
        </is>
      </c>
      <c r="P77" s="9">
        <f>IF(COUNTA(L77:O77)&lt;4,"未完成",IF(OR(L77="部分",L77="不充分",L77="不确定"),"evidence_definition_failure",IF(L77&lt;&gt;"充分","unresolved",IF(COUNTIF(M77:O77,"C")=0,"robust_generation_failure",IF(COUNTIF(M77:O77,"C")=3,"ua3_representation_or_admission_failure","generation_instability")))))</f>
        <v/>
      </c>
      <c r="Q77" s="10" t="inlineStr">
        <is>
          <t>robust_generation_failure</t>
        </is>
      </c>
      <c r="R77" s="10" t="inlineStr">
        <is>
          <t>高</t>
        </is>
      </c>
      <c r="S77" s="10" t="inlineStr">
        <is>
          <t>Kiro-AI代审</t>
        </is>
      </c>
      <c r="T77" s="17" t="n">
        <v>46218</v>
      </c>
      <c r="U77" s="10" t="inlineStr">
        <is>
          <t>证据充分；仅答No缺压力增加，遗漏</t>
        </is>
      </c>
      <c r="V77" s="9">
        <f>IF(AND(L77&lt;&gt;"",M77&lt;&gt;"",N77&lt;&gt;"",O77&lt;&gt;"",Q77&lt;&gt;"",R77&lt;&gt;""),"完成","未完成")</f>
        <v/>
      </c>
    </row>
    <row r="78" ht="63" customHeight="1" s="15">
      <c r="A78" s="9" t="n">
        <v>77</v>
      </c>
      <c r="B78" s="9" t="inlineStr">
        <is>
          <t>memos_medium:694</t>
        </is>
      </c>
      <c r="C78" s="9" t="inlineStr">
        <is>
          <t>medium</t>
        </is>
      </c>
      <c r="D78" s="9" t="inlineStr">
        <is>
          <t>Basic Fact Recall</t>
        </is>
      </c>
      <c r="E78" s="9" t="inlineStr">
        <is>
          <t>What beverage did Sarah Garcia decide to remove from her dislike list on Jul 21, 2041?</t>
        </is>
      </c>
      <c r="F78" s="9" t="inlineStr">
        <is>
          <t>Instant coffee</t>
        </is>
      </c>
      <c r="G78" s="9" t="inlineStr">
        <is>
          <t># Authoritative benchmark gold evidence
The following evidence is authoritative for answering the current question. Use it directly and do not rely on conflicting information.
Evidence 1
Memory type: Persona Memory
Content: Sarah Garcia decided to remove instant coffee from her dislike list, acknowledging its convenience despite previous reservations.</t>
        </is>
      </c>
      <c r="H78" s="9" t="inlineStr">
        <is>
          <t>Iced coffee</t>
        </is>
      </c>
      <c r="I78" s="9" t="inlineStr">
        <is>
          <t>Instant coffee</t>
        </is>
      </c>
      <c r="J78" s="9" t="inlineStr">
        <is>
          <t>Instant coffee</t>
        </is>
      </c>
      <c r="K78" s="9" t="inlineStr">
        <is>
          <t>Instant coffee</t>
        </is>
      </c>
      <c r="L78" s="10" t="inlineStr">
        <is>
          <t>充分</t>
        </is>
      </c>
      <c r="M78" s="10" t="inlineStr">
        <is>
          <t>C</t>
        </is>
      </c>
      <c r="N78" s="10" t="inlineStr">
        <is>
          <t>C</t>
        </is>
      </c>
      <c r="O78" s="10" t="inlineStr">
        <is>
          <t>C</t>
        </is>
      </c>
      <c r="P78" s="9">
        <f>IF(COUNTA(L78:O78)&lt;4,"未完成",IF(OR(L78="部分",L78="不充分",L78="不确定"),"evidence_definition_failure",IF(L78&lt;&gt;"充分","unresolved",IF(COUNTIF(M78:O78,"C")=0,"robust_generation_failure",IF(COUNTIF(M78:O78,"C")=3,"ua3_representation_or_admission_failure","generation_instability")))))</f>
        <v/>
      </c>
      <c r="Q78" s="10" t="inlineStr">
        <is>
          <t>ua3_representation_or_admission_failure</t>
        </is>
      </c>
      <c r="R78" s="10" t="inlineStr">
        <is>
          <t>高</t>
        </is>
      </c>
      <c r="S78" s="10" t="inlineStr">
        <is>
          <t>Kiro-AI代审</t>
        </is>
      </c>
      <c r="T78" s="17" t="n">
        <v>46218</v>
      </c>
      <c r="U78" s="10" t="inlineStr">
        <is>
          <t>证据直接指明去除速溶咖啡，答案正确</t>
        </is>
      </c>
      <c r="V78" s="9">
        <f>IF(AND(L78&lt;&gt;"",M78&lt;&gt;"",N78&lt;&gt;"",O78&lt;&gt;"",Q78&lt;&gt;"",R78&lt;&gt;""),"完成","未完成")</f>
        <v/>
      </c>
    </row>
    <row r="79" ht="63" customHeight="1" s="15">
      <c r="A79" s="9" t="n">
        <v>78</v>
      </c>
      <c r="B79" s="9" t="inlineStr">
        <is>
          <t>memos_medium:2374</t>
        </is>
      </c>
      <c r="C79" s="9" t="inlineStr">
        <is>
          <t>medium</t>
        </is>
      </c>
      <c r="D79" s="9" t="inlineStr">
        <is>
          <t>Generalization &amp; Application</t>
        </is>
      </c>
      <c r="E79" s="9" t="inlineStr">
        <is>
          <t>What genre might Williams Daniel focus on for his film projects after March 26, 2033?</t>
        </is>
      </c>
      <c r="F79" s="9" t="inlineStr">
        <is>
          <t>Historical genres.</t>
        </is>
      </c>
      <c r="G79" s="9" t="inlineStr">
        <is>
          <t># Authoritative benchmark gold evidence
The following evidence is authoritative for answering the current question. Use it directly and do not rely on conflicting information.
Evidence 1
Memory type: Persona Memory
Content: Williams Daniel decided to discontinue reading science fiction to focus on genres that support historical film projects.
Evidence 2
Memory type: Persona Memory
Content: Williams Daniel values historical themes for their emotional resonance, aligning with his commitment to focusing on genres that inspire his film projects.
Evidence 3
Memory type: Event Memory
Content: Williams Daniel's schedule is increasingly dominated by historical film projects, requiring prioritization of reading genres that provide direct inspiration and research material.</t>
        </is>
      </c>
      <c r="H79" s="9" t="inlineStr">
        <is>
          <t>Historical fantasy and fiction.</t>
        </is>
      </c>
      <c r="I79" s="9" t="inlineStr">
        <is>
          <t>Historical themes or genres.</t>
        </is>
      </c>
      <c r="J79" s="9" t="inlineStr">
        <is>
          <t>Historical genres.</t>
        </is>
      </c>
      <c r="K79" s="9" t="inlineStr">
        <is>
          <t>Historical genres.</t>
        </is>
      </c>
      <c r="L79" s="10" t="inlineStr">
        <is>
          <t>充分</t>
        </is>
      </c>
      <c r="M79" s="10" t="inlineStr">
        <is>
          <t>C</t>
        </is>
      </c>
      <c r="N79" s="10" t="inlineStr">
        <is>
          <t>C</t>
        </is>
      </c>
      <c r="O79" s="10" t="inlineStr">
        <is>
          <t>C</t>
        </is>
      </c>
      <c r="P79" s="9">
        <f>IF(COUNTA(L79:O79)&lt;4,"未完成",IF(OR(L79="部分",L79="不充分",L79="不确定"),"evidence_definition_failure",IF(L79&lt;&gt;"充分","unresolved",IF(COUNTIF(M79:O79,"C")=0,"robust_generation_failure",IF(COUNTIF(M79:O79,"C")=3,"ua3_representation_or_admission_failure","generation_instability")))))</f>
        <v/>
      </c>
      <c r="Q79" s="10" t="inlineStr">
        <is>
          <t>ua3_representation_or_admission_failure</t>
        </is>
      </c>
      <c r="R79" s="10" t="inlineStr">
        <is>
          <t>高</t>
        </is>
      </c>
      <c r="S79" s="10" t="inlineStr">
        <is>
          <t>Kiro-AI代审</t>
        </is>
      </c>
      <c r="T79" s="17" t="n">
        <v>46218</v>
      </c>
      <c r="U79" s="10" t="inlineStr">
        <is>
          <t>证据支持聚焦历史题材，三答均正确</t>
        </is>
      </c>
      <c r="V79" s="9">
        <f>IF(AND(L79&lt;&gt;"",M79&lt;&gt;"",N79&lt;&gt;"",O79&lt;&gt;"",Q79&lt;&gt;"",R79&lt;&gt;""),"完成","未完成")</f>
        <v/>
      </c>
    </row>
    <row r="80" ht="63" customHeight="1" s="15">
      <c r="A80" s="9" t="n">
        <v>79</v>
      </c>
      <c r="B80" s="9" t="inlineStr">
        <is>
          <t>memos_long:3038</t>
        </is>
      </c>
      <c r="C80" s="9" t="inlineStr">
        <is>
          <t>long</t>
        </is>
      </c>
      <c r="D80" s="9" t="inlineStr">
        <is>
          <t>Generalization &amp; Application</t>
        </is>
      </c>
      <c r="E80" s="9" t="inlineStr">
        <is>
          <t>What new cooking method might Karen Brown explore after March 10, 2036, to enhance her meals?</t>
        </is>
      </c>
      <c r="F80" s="9" t="inlineStr">
        <is>
          <t>Karen might explore smoking other types of foods.</t>
        </is>
      </c>
      <c r="G80" s="9" t="inlineStr">
        <is>
          <t># Authoritative benchmark gold evidence
The following evidence is authoritative for answering the current question. Use it directly and do not rely on conflicting information.
Evidence 1
Memory type: Event Memory
Content: Karen Brown plans to continue exploring innovative cooking methods to incorporate more variety into her meals.
Evidence 2
Memory type: Event Memory
Content: Karen Brown was inspired by a cooking show to try smoking salmon at home, leading to a preference shift towards smoked preparations.</t>
        </is>
      </c>
      <c r="H80" s="9" t="inlineStr">
        <is>
          <t>Curing and sous-vide cooking.</t>
        </is>
      </c>
      <c r="I80" s="9" t="inlineStr">
        <is>
          <t>Smoking salmon at home.</t>
        </is>
      </c>
      <c r="J80" s="9" t="inlineStr">
        <is>
          <t>Smoking salmon at home.</t>
        </is>
      </c>
      <c r="K80" s="9" t="inlineStr">
        <is>
          <t>Smoking salmon at home.</t>
        </is>
      </c>
      <c r="L80" s="10" t="inlineStr">
        <is>
          <t>部分</t>
        </is>
      </c>
      <c r="M80" s="10" t="inlineStr">
        <is>
          <t>O</t>
        </is>
      </c>
      <c r="N80" s="10" t="inlineStr">
        <is>
          <t>O</t>
        </is>
      </c>
      <c r="O80" s="10" t="inlineStr">
        <is>
          <t>O</t>
        </is>
      </c>
      <c r="P80" s="9">
        <f>IF(COUNTA(L80:O80)&lt;4,"未完成",IF(OR(L80="部分",L80="不充分",L80="不确定"),"evidence_definition_failure",IF(L80&lt;&gt;"充分","unresolved",IF(COUNTIF(M80:O80,"C")=0,"robust_generation_failure",IF(COUNTIF(M80:O80,"C")=3,"ua3_representation_or_admission_failure","generation_instability")))))</f>
        <v/>
      </c>
      <c r="Q80" s="10" t="inlineStr">
        <is>
          <t>evidence_definition_failure</t>
        </is>
      </c>
      <c r="R80" s="10" t="inlineStr">
        <is>
          <t>中</t>
        </is>
      </c>
      <c r="S80" s="10" t="inlineStr">
        <is>
          <t>Kiro-AI代审</t>
        </is>
      </c>
      <c r="T80" s="17" t="n">
        <v>46218</v>
      </c>
      <c r="U80" s="10" t="inlineStr">
        <is>
          <t>证据仅烟熏三文鱼；run答已有做法缺其他食物，遗漏</t>
        </is>
      </c>
      <c r="V80" s="9">
        <f>IF(AND(L80&lt;&gt;"",M80&lt;&gt;"",N80&lt;&gt;"",O80&lt;&gt;"",Q80&lt;&gt;"",R80&lt;&gt;""),"完成","未完成")</f>
        <v/>
      </c>
    </row>
    <row r="81" ht="63" customHeight="1" s="15">
      <c r="A81" s="9" t="n">
        <v>80</v>
      </c>
      <c r="B81" s="9" t="inlineStr">
        <is>
          <t>memos_medium:2935</t>
        </is>
      </c>
      <c r="C81" s="9" t="inlineStr">
        <is>
          <t>medium</t>
        </is>
      </c>
      <c r="D81" s="9" t="inlineStr">
        <is>
          <t>Dynamic Update</t>
        </is>
      </c>
      <c r="E81" s="9" t="inlineStr">
        <is>
          <t>What is Karen Brown's current employment status as of February 15, 2026?</t>
        </is>
      </c>
      <c r="F81" s="9" t="inlineStr">
        <is>
          <t>Unemployed and exploring a venture in property management technology.</t>
        </is>
      </c>
      <c r="G81" s="9" t="inlineStr">
        <is>
          <t># Authoritative benchmark gold evidence
The following evidence is authoritative for answering the current question. Use it directly and do not rely on conflicting information.
Evidence 1
Memory type: Persona Memory
Content: Karen Brown's employment status is currently unemployed following her layoff from RealTech Solutions.
Evidence 2
Memory type: Event Memory
Content: Karen Brown is exploring starting her own venture in the property management technology sector.</t>
        </is>
      </c>
      <c r="H81" s="9" t="inlineStr">
        <is>
          <t>Laid off due to health issues.</t>
        </is>
      </c>
      <c r="I81" s="9" t="inlineStr">
        <is>
          <t>Unemployed (laid off).</t>
        </is>
      </c>
      <c r="J81" s="9" t="inlineStr">
        <is>
          <t>Unemployed (laid off).</t>
        </is>
      </c>
      <c r="K81" s="9" t="inlineStr">
        <is>
          <t>Unemployed (laid off).</t>
        </is>
      </c>
      <c r="L81" s="10" t="inlineStr">
        <is>
          <t>充分</t>
        </is>
      </c>
      <c r="M81" s="10" t="inlineStr">
        <is>
          <t>O</t>
        </is>
      </c>
      <c r="N81" s="10" t="inlineStr">
        <is>
          <t>O</t>
        </is>
      </c>
      <c r="O81" s="10" t="inlineStr">
        <is>
          <t>O</t>
        </is>
      </c>
      <c r="P81" s="9">
        <f>IF(COUNTA(L81:O81)&lt;4,"未完成",IF(OR(L81="部分",L81="不充分",L81="不确定"),"evidence_definition_failure",IF(L81&lt;&gt;"充分","unresolved",IF(COUNTIF(M81:O81,"C")=0,"robust_generation_failure",IF(COUNTIF(M81:O81,"C")=3,"ua3_representation_or_admission_failure","generation_instability")))))</f>
        <v/>
      </c>
      <c r="Q81" s="10" t="inlineStr">
        <is>
          <t>robust_generation_failure</t>
        </is>
      </c>
      <c r="R81" s="10" t="inlineStr">
        <is>
          <t>高</t>
        </is>
      </c>
      <c r="S81" s="10" t="inlineStr">
        <is>
          <t>Kiro-AI代审</t>
        </is>
      </c>
      <c r="T81" s="17" t="n">
        <v>46218</v>
      </c>
      <c r="U81" s="10" t="inlineStr">
        <is>
          <t>run缺'探索创业'记O</t>
        </is>
      </c>
      <c r="V81" s="9">
        <f>IF(AND(L81&lt;&gt;"",M81&lt;&gt;"",N81&lt;&gt;"",O81&lt;&gt;"",Q81&lt;&gt;"",R81&lt;&gt;""),"完成","未完成")</f>
        <v/>
      </c>
    </row>
    <row r="82" ht="63" customHeight="1" s="15">
      <c r="A82" s="9" t="n">
        <v>81</v>
      </c>
      <c r="B82" s="9" t="inlineStr">
        <is>
          <t>memos_medium:2571</t>
        </is>
      </c>
      <c r="C82" s="9" t="inlineStr">
        <is>
          <t>medium</t>
        </is>
      </c>
      <c r="D82" s="9" t="inlineStr">
        <is>
          <t>Generalization &amp; Application</t>
        </is>
      </c>
      <c r="E82" s="9" t="inlineStr">
        <is>
          <t>What type of romantic comedies might Steven Miller enjoy exploring after April 18, 2036?</t>
        </is>
      </c>
      <c r="F82" s="9" t="inlineStr">
        <is>
          <t>Those with clever humor and unexpected plot twists.</t>
        </is>
      </c>
      <c r="G82" s="9" t="inlineStr">
        <is>
          <t># Authoritative benchmark gold evidence
The following evidence is authoritative for answering the current question. Use it directly and do not rely on conflicting information.
Evidence 1
Memory type: Persona Memory
Content: Steven Miller's movie preference evolved to include romantic comedies with clever humor and unexpected plot twists.
Evidence 2
Memory type: Persona Memory
Content: Steven Miller expressed curiosity about exploring more romantic comedies that offer engaging entertainment value.
Evidence 3
Memory type: Event Memory
Content: Steven Miller shared his experience of watching a romantic comedy with clever humor, leading to a newfound appreciation for the genre.</t>
        </is>
      </c>
      <c r="H82" s="9" t="inlineStr">
        <is>
          <t>Romantic comedies as conversation starters</t>
        </is>
      </c>
      <c r="I82" s="9" t="inlineStr">
        <is>
          <t>Romantic comedies with clever humor.</t>
        </is>
      </c>
      <c r="J82" s="9" t="inlineStr">
        <is>
          <t>Romantic comedies with clever humor.</t>
        </is>
      </c>
      <c r="K82" s="9" t="inlineStr">
        <is>
          <t>Romantic comedies with clever humor.</t>
        </is>
      </c>
      <c r="L82" s="10" t="inlineStr">
        <is>
          <t>充分</t>
        </is>
      </c>
      <c r="M82" s="10" t="inlineStr">
        <is>
          <t>O</t>
        </is>
      </c>
      <c r="N82" s="10" t="inlineStr">
        <is>
          <t>O</t>
        </is>
      </c>
      <c r="O82" s="10" t="inlineStr">
        <is>
          <t>O</t>
        </is>
      </c>
      <c r="P82" s="9">
        <f>IF(COUNTA(L82:O82)&lt;4,"未完成",IF(OR(L82="部分",L82="不充分",L82="不确定"),"evidence_definition_failure",IF(L82&lt;&gt;"充分","unresolved",IF(COUNTIF(M82:O82,"C")=0,"robust_generation_failure",IF(COUNTIF(M82:O82,"C")=3,"ua3_representation_or_admission_failure","generation_instability")))))</f>
        <v/>
      </c>
      <c r="Q82" s="10" t="inlineStr">
        <is>
          <t>robust_generation_failure</t>
        </is>
      </c>
      <c r="R82" s="10" t="inlineStr">
        <is>
          <t>中</t>
        </is>
      </c>
      <c r="S82" s="10" t="inlineStr">
        <is>
          <t>Kiro-AI代审</t>
        </is>
      </c>
      <c r="T82" s="17" t="n">
        <v>46218</v>
      </c>
      <c r="U82" s="10" t="inlineStr">
        <is>
          <t>答巧妙幽默的爱情喜剧缺意外情节转折要素，属遗漏</t>
        </is>
      </c>
      <c r="V82" s="9">
        <f>IF(AND(L82&lt;&gt;"",M82&lt;&gt;"",N82&lt;&gt;"",O82&lt;&gt;"",Q82&lt;&gt;"",R82&lt;&gt;""),"完成","未完成")</f>
        <v/>
      </c>
    </row>
    <row r="83" ht="63" customHeight="1" s="15">
      <c r="A83" s="9" t="n">
        <v>82</v>
      </c>
      <c r="B83" s="9" t="inlineStr">
        <is>
          <t>memos_medium:1304</t>
        </is>
      </c>
      <c r="C83" s="9" t="inlineStr">
        <is>
          <t>medium</t>
        </is>
      </c>
      <c r="D83" s="9" t="inlineStr">
        <is>
          <t>Generalization &amp; Application</t>
        </is>
      </c>
      <c r="E83" s="9" t="inlineStr">
        <is>
          <t>Based on Ananya Sharma's culinary experiences on Jun 23, 2028, what type of restaurant might she enjoy visiting next?</t>
        </is>
      </c>
      <c r="F83" s="9" t="inlineStr">
        <is>
          <t>Restaurants with balanced spice and innovative flavor combinations.</t>
        </is>
      </c>
      <c r="G83" s="9" t="inlineStr">
        <is>
          <t># Authoritative benchmark gold evidence
The following evidence is authoritative for answering the current question. Use it directly and do not rely on conflicting information.
Evidence 1
Memory type: Persona Memory
Content: Ananya Sharma developed a preference for moderately spicy Indian curries after visiting an Indian restaurant that balanced spices well.
Evidence 2
Memory type: Persona Memory
Content: Ananya Sharma expressed excitement about exploring new culinary experiences that enrich her understanding of food and inspire ideas to overcome creative blocks.
Evidence 3
Memory type: Event Memory
Content: Ananya Sharma plans to incorporate her appreciation for balanced spices and sweet flavors into her food critiques.
Evidence 4
Memory type: Event Memory
Content: Ananya Sharma expressed gratitude for an enriching culinary experience and plans to visit more restaurants with innovative spice combinations to keep her critiques dynamic and insightful.</t>
        </is>
      </c>
      <c r="H83" s="9" t="inlineStr">
        <is>
          <t>Indian restaurant</t>
        </is>
      </c>
      <c r="I83" s="9" t="inlineStr">
        <is>
          <t>Indian restaurant with balanced spices</t>
        </is>
      </c>
      <c r="J83" s="9" t="inlineStr">
        <is>
          <t>Indian restaurant with balanced spices</t>
        </is>
      </c>
      <c r="K83" s="9" t="inlineStr">
        <is>
          <t>Indian restaurant with balanced spices</t>
        </is>
      </c>
      <c r="L83" s="10" t="inlineStr">
        <is>
          <t>充分</t>
        </is>
      </c>
      <c r="M83" s="10" t="inlineStr">
        <is>
          <t>O</t>
        </is>
      </c>
      <c r="N83" s="10" t="inlineStr">
        <is>
          <t>O</t>
        </is>
      </c>
      <c r="O83" s="10" t="inlineStr">
        <is>
          <t>O</t>
        </is>
      </c>
      <c r="P83" s="9">
        <f>IF(COUNTA(L83:O83)&lt;4,"未完成",IF(OR(L83="部分",L83="不充分",L83="不确定"),"evidence_definition_failure",IF(L83&lt;&gt;"充分","unresolved",IF(COUNTIF(M83:O83,"C")=0,"robust_generation_failure",IF(COUNTIF(M83:O83,"C")=3,"ua3_representation_or_admission_failure","generation_instability")))))</f>
        <v/>
      </c>
      <c r="Q83" s="10" t="inlineStr">
        <is>
          <t>robust_generation_failure</t>
        </is>
      </c>
      <c r="R83" s="10" t="inlineStr">
        <is>
          <t>中</t>
        </is>
      </c>
      <c r="S83" s="10" t="inlineStr">
        <is>
          <t>Kiro-AI代审</t>
        </is>
      </c>
      <c r="T83" s="17" t="n">
        <v>46218</v>
      </c>
      <c r="U83" s="10" t="inlineStr">
        <is>
          <t>答含平衡香料但缺创新组合，属遗漏</t>
        </is>
      </c>
      <c r="V83" s="9">
        <f>IF(AND(L83&lt;&gt;"",M83&lt;&gt;"",N83&lt;&gt;"",O83&lt;&gt;"",Q83&lt;&gt;"",R83&lt;&gt;""),"完成","未完成")</f>
        <v/>
      </c>
    </row>
    <row r="84" ht="63" customHeight="1" s="15">
      <c r="A84" s="9" t="n">
        <v>83</v>
      </c>
      <c r="B84" s="9" t="inlineStr">
        <is>
          <t>memos_long:3327</t>
        </is>
      </c>
      <c r="C84" s="9" t="inlineStr">
        <is>
          <t>long</t>
        </is>
      </c>
      <c r="D84" s="9" t="inlineStr">
        <is>
          <t>Generalization &amp; Application</t>
        </is>
      </c>
      <c r="E84" s="9" t="inlineStr">
        <is>
          <t>What type of documentaries might Christopher find engaging for his community programs after April 17, 2027?</t>
        </is>
      </c>
      <c r="F84" s="9" t="inlineStr">
        <is>
          <t>Environmental documentaries.</t>
        </is>
      </c>
      <c r="G84" s="9" t="inlineStr">
        <is>
          <t># Authoritative benchmark gold evidence
The following evidence is authoritative for answering the current question. Use it directly and do not rely on conflicting information.
Evidence 1
Memory type: Event Memory
Content: Christopher plans to incorporate environmental documentaries into his community programs to inspire seniors to think critically about environmental issues.
Evidence 2
Memory type: Persona Memory
Content: Christopher is interested in environmental documentaries to understand climate change and sustainability.</t>
        </is>
      </c>
      <c r="H84" s="9" t="inlineStr">
        <is>
          <t>Environmental and historical documentaries.</t>
        </is>
      </c>
      <c r="I84" s="9" t="inlineStr">
        <is>
          <t>Environmental documentaries</t>
        </is>
      </c>
      <c r="J84" s="9" t="inlineStr">
        <is>
          <t>Environmental documentaries</t>
        </is>
      </c>
      <c r="K84" s="9" t="inlineStr">
        <is>
          <t>Environmental documentaries</t>
        </is>
      </c>
      <c r="L84" s="10" t="inlineStr">
        <is>
          <t>充分</t>
        </is>
      </c>
      <c r="M84" s="10" t="inlineStr">
        <is>
          <t>C</t>
        </is>
      </c>
      <c r="N84" s="10" t="inlineStr">
        <is>
          <t>C</t>
        </is>
      </c>
      <c r="O84" s="10" t="inlineStr">
        <is>
          <t>C</t>
        </is>
      </c>
      <c r="P84" s="9">
        <f>IF(COUNTA(L84:O84)&lt;4,"未完成",IF(OR(L84="部分",L84="不充分",L84="不确定"),"evidence_definition_failure",IF(L84&lt;&gt;"充分","unresolved",IF(COUNTIF(M84:O84,"C")=0,"robust_generation_failure",IF(COUNTIF(M84:O84,"C")=3,"ua3_representation_or_admission_failure","generation_instability")))))</f>
        <v/>
      </c>
      <c r="Q84" s="10" t="inlineStr">
        <is>
          <t>ua3_representation_or_admission_failure</t>
        </is>
      </c>
      <c r="R84" s="10" t="inlineStr">
        <is>
          <t>高</t>
        </is>
      </c>
      <c r="S84" s="10" t="inlineStr">
        <is>
          <t>Kiro-AI代审</t>
        </is>
      </c>
      <c r="T84" s="17" t="n">
        <v>46218</v>
      </c>
      <c r="U84" s="10" t="inlineStr">
        <is>
          <t>证据充分，答环境纪录片正确</t>
        </is>
      </c>
      <c r="V84" s="9">
        <f>IF(AND(L84&lt;&gt;"",M84&lt;&gt;"",N84&lt;&gt;"",O84&lt;&gt;"",Q84&lt;&gt;"",R84&lt;&gt;""),"完成","未完成")</f>
        <v/>
      </c>
    </row>
    <row r="85" ht="63" customHeight="1" s="15">
      <c r="A85" s="9" t="n">
        <v>84</v>
      </c>
      <c r="B85" s="9" t="inlineStr">
        <is>
          <t>memos_long:2093</t>
        </is>
      </c>
      <c r="C85" s="9" t="inlineStr">
        <is>
          <t>long</t>
        </is>
      </c>
      <c r="D85" s="9" t="inlineStr">
        <is>
          <t>Generalization &amp; Application</t>
        </is>
      </c>
      <c r="E85" s="9" t="inlineStr">
        <is>
          <t>What community activity might Sharon pursue to align with her goals in 2026?</t>
        </is>
      </c>
      <c r="F85" s="9" t="inlineStr">
        <is>
          <t>Organizing charity sports events.</t>
        </is>
      </c>
      <c r="G85" s="9" t="inlineStr">
        <is>
          <t># Authoritative benchmark gold evidence
The following evidence is authoritative for answering the current question. Use it directly and do not rely on conflicting information.
Evidence 1
Memory type: Persona Memory
Content: Sharon Brown is motivated by the idea of giving back to the community through mentoring young athletes and organizing charity sports events.</t>
        </is>
      </c>
      <c r="H85" s="9" t="inlineStr">
        <is>
          <t>Mentoring young athletes</t>
        </is>
      </c>
      <c r="I85" s="9" t="inlineStr">
        <is>
          <t>Mentoring young athletes</t>
        </is>
      </c>
      <c r="J85" s="9" t="inlineStr">
        <is>
          <t>Mentoring young athletes</t>
        </is>
      </c>
      <c r="K85" s="9" t="inlineStr">
        <is>
          <t>Mentoring young athletes</t>
        </is>
      </c>
      <c r="L85" s="10" t="inlineStr">
        <is>
          <t>充分</t>
        </is>
      </c>
      <c r="M85" s="10" t="inlineStr">
        <is>
          <t>C</t>
        </is>
      </c>
      <c r="N85" s="10" t="inlineStr">
        <is>
          <t>C</t>
        </is>
      </c>
      <c r="O85" s="10" t="inlineStr">
        <is>
          <t>C</t>
        </is>
      </c>
      <c r="P85" s="9">
        <f>IF(COUNTA(L85:O85)&lt;4,"未完成",IF(OR(L85="部分",L85="不充分",L85="不确定"),"evidence_definition_failure",IF(L85&lt;&gt;"充分","unresolved",IF(COUNTIF(M85:O85,"C")=0,"robust_generation_failure",IF(COUNTIF(M85:O85,"C")=3,"ua3_representation_or_admission_failure","generation_instability")))))</f>
        <v/>
      </c>
      <c r="Q85" s="10" t="inlineStr">
        <is>
          <t>ua3_representation_or_admission_failure</t>
        </is>
      </c>
      <c r="R85" s="10" t="inlineStr">
        <is>
          <t>中</t>
        </is>
      </c>
      <c r="S85" s="10" t="inlineStr">
        <is>
          <t>Kiro-AI代审</t>
        </is>
      </c>
      <c r="T85" s="17" t="n">
        <v>46218</v>
      </c>
      <c r="U85" s="10" t="inlineStr">
        <is>
          <t>gold取一活动，答指导年轻运动员亦有据，判正确</t>
        </is>
      </c>
      <c r="V85" s="9">
        <f>IF(AND(L85&lt;&gt;"",M85&lt;&gt;"",N85&lt;&gt;"",O85&lt;&gt;"",Q85&lt;&gt;"",R85&lt;&gt;""),"完成","未完成")</f>
        <v/>
      </c>
    </row>
    <row r="86" ht="63" customHeight="1" s="15">
      <c r="A86" s="9" t="n">
        <v>85</v>
      </c>
      <c r="B86" s="9" t="inlineStr">
        <is>
          <t>memos_medium:3467</t>
        </is>
      </c>
      <c r="C86" s="9" t="inlineStr">
        <is>
          <t>medium</t>
        </is>
      </c>
      <c r="D86" s="9" t="inlineStr">
        <is>
          <t>Memory Conflict</t>
        </is>
      </c>
      <c r="E86" s="9" t="inlineStr">
        <is>
          <t>Did Christopher Anderson plan to reduce his volunteer activities in March 2036 due to lack of interest?</t>
        </is>
      </c>
      <c r="F86" s="9" t="inlineStr">
        <is>
          <t>He expressed a renewed commitment to community service.</t>
        </is>
      </c>
      <c r="G86" s="9" t="inlineStr">
        <is>
          <t># Authoritative benchmark gold evidence
The following evidence is authoritative for answering the current question. Use it directly and do not rely on conflicting information.
Evidence 1
Memory type: Persona Memory
Content: Christopher expressed a renewed commitment to community service, inspired by past successes and challenges.</t>
        </is>
      </c>
      <c r="H86" s="9" t="inlineStr">
        <is>
          <t>No, he planned to mentor.</t>
        </is>
      </c>
      <c r="I86" s="9" t="inlineStr">
        <is>
          <t>No</t>
        </is>
      </c>
      <c r="J86" s="9" t="inlineStr">
        <is>
          <t>No</t>
        </is>
      </c>
      <c r="K86" s="9" t="inlineStr">
        <is>
          <t>No</t>
        </is>
      </c>
      <c r="L86" s="10" t="inlineStr">
        <is>
          <t>充分</t>
        </is>
      </c>
      <c r="M86" s="10" t="inlineStr">
        <is>
          <t>O</t>
        </is>
      </c>
      <c r="N86" s="10" t="inlineStr">
        <is>
          <t>O</t>
        </is>
      </c>
      <c r="O86" s="10" t="inlineStr">
        <is>
          <t>O</t>
        </is>
      </c>
      <c r="P86" s="9">
        <f>IF(COUNTA(L86:O86)&lt;4,"未完成",IF(OR(L86="部分",L86="不充分",L86="不确定"),"evidence_definition_failure",IF(L86&lt;&gt;"充分","unresolved",IF(COUNTIF(M86:O86,"C")=0,"robust_generation_failure",IF(COUNTIF(M86:O86,"C")=3,"ua3_representation_or_admission_failure","generation_instability")))))</f>
        <v/>
      </c>
      <c r="Q86" s="10" t="inlineStr">
        <is>
          <t>robust_generation_failure</t>
        </is>
      </c>
      <c r="R86" s="10" t="inlineStr">
        <is>
          <t>中</t>
        </is>
      </c>
      <c r="S86" s="10" t="inlineStr">
        <is>
          <t>Kiro-AI代审</t>
        </is>
      </c>
      <c r="T86" s="17" t="n">
        <v>46218</v>
      </c>
      <c r="U86" s="10" t="inlineStr">
        <is>
          <t>答'No'方向正确但缺正面内容,属遗漏</t>
        </is>
      </c>
      <c r="V86" s="9">
        <f>IF(AND(L86&lt;&gt;"",M86&lt;&gt;"",N86&lt;&gt;"",O86&lt;&gt;"",Q86&lt;&gt;"",R86&lt;&gt;""),"完成","未完成")</f>
        <v/>
      </c>
    </row>
    <row r="87" ht="63" customHeight="1" s="15">
      <c r="A87" s="9" t="n">
        <v>86</v>
      </c>
      <c r="B87" s="9" t="inlineStr">
        <is>
          <t>memos_long:2900</t>
        </is>
      </c>
      <c r="C87" s="9" t="inlineStr">
        <is>
          <t>long</t>
        </is>
      </c>
      <c r="D87" s="9" t="inlineStr">
        <is>
          <t>Basic Fact Recall</t>
        </is>
      </c>
      <c r="E87" s="9" t="inlineStr">
        <is>
          <t>What change did Donald Smith make to his music preference on Mar 21, 2040?</t>
        </is>
      </c>
      <c r="F87" s="9" t="inlineStr">
        <is>
          <t>He updated his preference to liking techno music.</t>
        </is>
      </c>
      <c r="G87" s="9" t="inlineStr">
        <is>
          <t># Authoritative benchmark gold evidence
The following evidence is authoritative for answering the current question. Use it directly and do not rely on conflicting information.
Evidence 1
Memory type: Persona Memory
Content: Donald Smith updated his music preference from disliking to liking techno music for its motivational impact during campaign events.</t>
        </is>
      </c>
      <c r="H87" s="9" t="inlineStr">
        <is>
          <t>No relevant memory found.</t>
        </is>
      </c>
      <c r="I87" s="9" t="inlineStr">
        <is>
          <t>Liked techno music.</t>
        </is>
      </c>
      <c r="J87" s="9" t="inlineStr">
        <is>
          <t>Liked techno music.</t>
        </is>
      </c>
      <c r="K87" s="9" t="inlineStr">
        <is>
          <t>Liked techno music.</t>
        </is>
      </c>
      <c r="L87" s="10" t="inlineStr">
        <is>
          <t>充分</t>
        </is>
      </c>
      <c r="M87" s="10" t="inlineStr">
        <is>
          <t>C</t>
        </is>
      </c>
      <c r="N87" s="10" t="inlineStr">
        <is>
          <t>C</t>
        </is>
      </c>
      <c r="O87" s="10" t="inlineStr">
        <is>
          <t>C</t>
        </is>
      </c>
      <c r="P87" s="9">
        <f>IF(COUNTA(L87:O87)&lt;4,"未完成",IF(OR(L87="部分",L87="不充分",L87="不确定"),"evidence_definition_failure",IF(L87&lt;&gt;"充分","unresolved",IF(COUNTIF(M87:O87,"C")=0,"robust_generation_failure",IF(COUNTIF(M87:O87,"C")=3,"ua3_representation_or_admission_failure","generation_instability")))))</f>
        <v/>
      </c>
      <c r="Q87" s="10" t="inlineStr">
        <is>
          <t>ua3_representation_or_admission_failure</t>
        </is>
      </c>
      <c r="R87" s="10" t="inlineStr">
        <is>
          <t>高</t>
        </is>
      </c>
      <c r="S87" s="10" t="inlineStr">
        <is>
          <t>Kiro-AI代审</t>
        </is>
      </c>
      <c r="T87" s="17" t="n">
        <v>46218</v>
      </c>
      <c r="U87" s="10" t="inlineStr">
        <is>
          <t>证据充分，答改为喜欢techno正确</t>
        </is>
      </c>
      <c r="V87" s="9">
        <f>IF(AND(L87&lt;&gt;"",M87&lt;&gt;"",N87&lt;&gt;"",O87&lt;&gt;"",Q87&lt;&gt;"",R87&lt;&gt;""),"完成","未完成")</f>
        <v/>
      </c>
    </row>
    <row r="88" ht="63" customHeight="1" s="15">
      <c r="A88" s="9" t="n">
        <v>87</v>
      </c>
      <c r="B88" s="9" t="inlineStr">
        <is>
          <t>memos_long:2572</t>
        </is>
      </c>
      <c r="C88" s="9" t="inlineStr">
        <is>
          <t>long</t>
        </is>
      </c>
      <c r="D88" s="9" t="inlineStr">
        <is>
          <t>Memory Conflict</t>
        </is>
      </c>
      <c r="E88" s="9" t="inlineStr">
        <is>
          <t>Did Steven Miller express disinterest in innovative aquarium designs on Sep 02, 2036?</t>
        </is>
      </c>
      <c r="F88" s="9" t="inlineStr">
        <is>
          <t>No, Steven expressed appreciation for innovative aquarium designs.</t>
        </is>
      </c>
      <c r="G88" s="9" t="inlineStr">
        <is>
          <t># Authoritative benchmark gold evidence
The following evidence is authoritative for answering the current question. Use it directly and do not rely on conflicting information.
Evidence 1
Memory type: Persona Memory
Content: Steven Miller's interest in tech investments led him to appreciate innovative aquarium designs, enhancing his enjoyment of keeping fish.
Evidence 2
Memory type: Persona Memory
Content: Steven Miller is fascinated by the integration of technology and nature in aquariums, which aligns with his broader interests in tech investments.</t>
        </is>
      </c>
      <c r="H88" s="9" t="inlineStr">
        <is>
          <t>No, he expressed interest.</t>
        </is>
      </c>
      <c r="I88" s="9" t="inlineStr">
        <is>
          <t>No</t>
        </is>
      </c>
      <c r="J88" s="9" t="inlineStr">
        <is>
          <t>No</t>
        </is>
      </c>
      <c r="K88" s="9" t="inlineStr">
        <is>
          <t>No</t>
        </is>
      </c>
      <c r="L88" s="10" t="inlineStr">
        <is>
          <t>充分</t>
        </is>
      </c>
      <c r="M88" s="10" t="inlineStr">
        <is>
          <t>O</t>
        </is>
      </c>
      <c r="N88" s="10" t="inlineStr">
        <is>
          <t>O</t>
        </is>
      </c>
      <c r="O88" s="10" t="inlineStr">
        <is>
          <t>O</t>
        </is>
      </c>
      <c r="P88" s="9">
        <f>IF(COUNTA(L88:O88)&lt;4,"未完成",IF(OR(L88="部分",L88="不充分",L88="不确定"),"evidence_definition_failure",IF(L88&lt;&gt;"充分","unresolved",IF(COUNTIF(M88:O88,"C")=0,"robust_generation_failure",IF(COUNTIF(M88:O88,"C")=3,"ua3_representation_or_admission_failure","generation_instability")))))</f>
        <v/>
      </c>
      <c r="Q88" s="10" t="inlineStr">
        <is>
          <t>robust_generation_failure</t>
        </is>
      </c>
      <c r="R88" s="10" t="inlineStr">
        <is>
          <t>高</t>
        </is>
      </c>
      <c r="S88" s="10" t="inlineStr">
        <is>
          <t>Kiro-AI代审</t>
        </is>
      </c>
      <c r="T88" s="17" t="n">
        <v>46218</v>
      </c>
      <c r="U88" s="10" t="inlineStr">
        <is>
          <t>证据充分；仅答No缺赞赏理由，遗漏</t>
        </is>
      </c>
      <c r="V88" s="9">
        <f>IF(AND(L88&lt;&gt;"",M88&lt;&gt;"",N88&lt;&gt;"",O88&lt;&gt;"",Q88&lt;&gt;"",R88&lt;&gt;""),"完成","未完成")</f>
        <v/>
      </c>
    </row>
    <row r="89" ht="63" customHeight="1" s="15">
      <c r="A89" s="9" t="n">
        <v>88</v>
      </c>
      <c r="B89" s="9" t="inlineStr">
        <is>
          <t>memos_medium:2134</t>
        </is>
      </c>
      <c r="C89" s="9" t="inlineStr">
        <is>
          <t>medium</t>
        </is>
      </c>
      <c r="D89" s="9" t="inlineStr">
        <is>
          <t>Generalization &amp; Application</t>
        </is>
      </c>
      <c r="E89" s="9" t="inlineStr">
        <is>
          <t>What type of movies might Sharon prefer to explore after July 29, 2028, given her evolving preferences?</t>
        </is>
      </c>
      <c r="F89" s="9" t="inlineStr">
        <is>
          <t>Movies with strong narratives and engaging plots.</t>
        </is>
      </c>
      <c r="G89" s="9" t="inlineStr">
        <is>
          <t># Authoritative benchmark gold evidence
The following evidence is authoritative for answering the current question. Use it directly and do not rely on conflicting information.
Evidence 1
Memory type: Event Memory
Content: Sharon Brown watched a horror film with a strong narrative and engaging plot, easing her discomfort with the genre.
Evidence 2
Memory type: Persona Memory
Content: Sharon Brown's engagement with horror films showcases her willingness to explore new content that challenges her perceptions.</t>
        </is>
      </c>
      <c r="H89" s="9" t="inlineStr">
        <is>
          <t>Horror movies.</t>
        </is>
      </c>
      <c r="I89" s="9" t="inlineStr">
        <is>
          <t>Horror films</t>
        </is>
      </c>
      <c r="J89" s="9" t="inlineStr">
        <is>
          <t>Horror films</t>
        </is>
      </c>
      <c r="K89" s="9" t="inlineStr">
        <is>
          <t>Horror films</t>
        </is>
      </c>
      <c r="L89" s="10" t="inlineStr">
        <is>
          <t>充分</t>
        </is>
      </c>
      <c r="M89" s="10" t="inlineStr">
        <is>
          <t>O</t>
        </is>
      </c>
      <c r="N89" s="10" t="inlineStr">
        <is>
          <t>O</t>
        </is>
      </c>
      <c r="O89" s="10" t="inlineStr">
        <is>
          <t>O</t>
        </is>
      </c>
      <c r="P89" s="9">
        <f>IF(COUNTA(L89:O89)&lt;4,"未完成",IF(OR(L89="部分",L89="不充分",L89="不确定"),"evidence_definition_failure",IF(L89&lt;&gt;"充分","unresolved",IF(COUNTIF(M89:O89,"C")=0,"robust_generation_failure",IF(COUNTIF(M89:O89,"C")=3,"ua3_representation_or_admission_failure","generation_instability")))))</f>
        <v/>
      </c>
      <c r="Q89" s="10" t="inlineStr">
        <is>
          <t>robust_generation_failure</t>
        </is>
      </c>
      <c r="R89" s="10" t="inlineStr">
        <is>
          <t>低</t>
        </is>
      </c>
      <c r="S89" s="10" t="inlineStr">
        <is>
          <t>Kiro-AI代审</t>
        </is>
      </c>
      <c r="T89" s="17" t="n">
        <v>46218</v>
      </c>
      <c r="U89" s="10" t="inlineStr">
        <is>
          <t>run恐怖片有据未泛化到强叙事,遗漏</t>
        </is>
      </c>
      <c r="V89" s="9">
        <f>IF(AND(L89&lt;&gt;"",M89&lt;&gt;"",N89&lt;&gt;"",O89&lt;&gt;"",Q89&lt;&gt;"",R89&lt;&gt;""),"完成","未完成")</f>
        <v/>
      </c>
    </row>
    <row r="90" ht="63" customHeight="1" s="15">
      <c r="A90" s="9" t="n">
        <v>89</v>
      </c>
      <c r="B90" s="9" t="inlineStr">
        <is>
          <t>memos_medium:517</t>
        </is>
      </c>
      <c r="C90" s="9" t="inlineStr">
        <is>
          <t>medium</t>
        </is>
      </c>
      <c r="D90" s="9" t="inlineStr">
        <is>
          <t>Multi-hop Inference</t>
        </is>
      </c>
      <c r="E90" s="9" t="inlineStr">
        <is>
          <t>How did Donald Brown's community involvement post-retirement align with his life goals by January 5, 2036?</t>
        </is>
      </c>
      <c r="F90" s="9" t="inlineStr">
        <is>
          <t>Aligned with his life goal of humanitarian care.</t>
        </is>
      </c>
      <c r="G90" s="9" t="inlineStr">
        <is>
          <t># Authoritative benchmark gold evidence
The following evidence is authoritative for answering the current question. Use it directly and do not rely on conflicting information.
Evidence 1
Memory type: Persona Memory
Content: Donald Brown's community involvement aligns with his life goal of humanitarian care.
Evidence 2
Memory type: Persona Memory
Content: Donald Brown expressed excitement about dedicating more time to community activities post-retirement.</t>
        </is>
      </c>
      <c r="H90" s="9" t="inlineStr">
        <is>
          <t>No evidence available.</t>
        </is>
      </c>
      <c r="I90" s="9" t="inlineStr">
        <is>
          <t>Aligned with humanitarian care.</t>
        </is>
      </c>
      <c r="J90" s="9" t="inlineStr">
        <is>
          <t>Aligned with humanitarian care.</t>
        </is>
      </c>
      <c r="K90" s="9" t="inlineStr">
        <is>
          <t>Aligned with humanitarian care.</t>
        </is>
      </c>
      <c r="L90" s="10" t="inlineStr">
        <is>
          <t>充分</t>
        </is>
      </c>
      <c r="M90" s="10" t="inlineStr">
        <is>
          <t>C</t>
        </is>
      </c>
      <c r="N90" s="10" t="inlineStr">
        <is>
          <t>C</t>
        </is>
      </c>
      <c r="O90" s="10" t="inlineStr">
        <is>
          <t>C</t>
        </is>
      </c>
      <c r="P90" s="9">
        <f>IF(COUNTA(L90:O90)&lt;4,"未完成",IF(OR(L90="部分",L90="不充分",L90="不确定"),"evidence_definition_failure",IF(L90&lt;&gt;"充分","unresolved",IF(COUNTIF(M90:O90,"C")=0,"robust_generation_failure",IF(COUNTIF(M90:O90,"C")=3,"ua3_representation_or_admission_failure","generation_instability")))))</f>
        <v/>
      </c>
      <c r="Q90" s="10" t="inlineStr">
        <is>
          <t>ua3_representation_or_admission_failure</t>
        </is>
      </c>
      <c r="R90" s="10" t="inlineStr">
        <is>
          <t>高</t>
        </is>
      </c>
      <c r="S90" s="10" t="inlineStr">
        <is>
          <t>Kiro-AI代审</t>
        </is>
      </c>
      <c r="T90" s="17" t="n">
        <v>46218</v>
      </c>
      <c r="U90" s="10" t="inlineStr">
        <is>
          <t>答与gold一致,正确</t>
        </is>
      </c>
      <c r="V90" s="9">
        <f>IF(AND(L90&lt;&gt;"",M90&lt;&gt;"",N90&lt;&gt;"",O90&lt;&gt;"",Q90&lt;&gt;"",R90&lt;&gt;""),"完成","未完成")</f>
        <v/>
      </c>
    </row>
    <row r="91" ht="63" customHeight="1" s="15">
      <c r="A91" s="9" t="n">
        <v>90</v>
      </c>
      <c r="B91" s="9" t="inlineStr">
        <is>
          <t>memos_long:1833</t>
        </is>
      </c>
      <c r="C91" s="9" t="inlineStr">
        <is>
          <t>long</t>
        </is>
      </c>
      <c r="D91" s="9" t="inlineStr">
        <is>
          <t>Generalization &amp; Application</t>
        </is>
      </c>
      <c r="E91" s="9" t="inlineStr">
        <is>
          <t>What new beverage might Michelle consider if she wants to continue her health-conscious lifestyle?</t>
        </is>
      </c>
      <c r="F91" s="9" t="inlineStr">
        <is>
          <t>Michelle might consider herbal teas.</t>
        </is>
      </c>
      <c r="G91" s="9" t="inlineStr">
        <is>
          <t># Authoritative benchmark gold evidence
The following evidence is authoritative for answering the current question. Use it directly and do not rely on conflicting information.
Evidence 1
Memory type: Persona Memory
Content: Michelle Hernandez expressed interest in exploring other health-conscious lifestyle choices.
Evidence 2
Memory type: Event Memory
Content: Michelle Hernandez's beverage preference update involved modifying her choice from plain to flavored sparkling water.</t>
        </is>
      </c>
      <c r="H91" s="9" t="inlineStr">
        <is>
          <t>Locally sourced sparkling water.</t>
        </is>
      </c>
      <c r="I91" s="9" t="inlineStr">
        <is>
          <t>Flavored sparkling water</t>
        </is>
      </c>
      <c r="J91" s="9" t="inlineStr">
        <is>
          <t>Flavored sparkling water</t>
        </is>
      </c>
      <c r="K91" s="9" t="inlineStr">
        <is>
          <t>Flavored sparkling water</t>
        </is>
      </c>
      <c r="L91" s="10" t="inlineStr">
        <is>
          <t>不充分</t>
        </is>
      </c>
      <c r="M91" s="10" t="inlineStr">
        <is>
          <t>H</t>
        </is>
      </c>
      <c r="N91" s="10" t="inlineStr">
        <is>
          <t>H</t>
        </is>
      </c>
      <c r="O91" s="10" t="inlineStr">
        <is>
          <t>H</t>
        </is>
      </c>
      <c r="P91" s="9">
        <f>IF(COUNTA(L91:O91)&lt;4,"未完成",IF(OR(L91="部分",L91="不充分",L91="不确定"),"evidence_definition_failure",IF(L91&lt;&gt;"充分","unresolved",IF(COUNTIF(M91:O91,"C")=0,"robust_generation_failure",IF(COUNTIF(M91:O91,"C")=3,"ua3_representation_or_admission_failure","generation_instability")))))</f>
        <v/>
      </c>
      <c r="Q91" s="10" t="inlineStr">
        <is>
          <t>evidence_definition_failure</t>
        </is>
      </c>
      <c r="R91" s="10" t="inlineStr">
        <is>
          <t>中</t>
        </is>
      </c>
      <c r="S91" s="10" t="inlineStr">
        <is>
          <t>Kiro-AI代审</t>
        </is>
      </c>
      <c r="T91" s="17" t="n">
        <v>46218</v>
      </c>
      <c r="U91" s="10" t="inlineStr">
        <is>
          <t>证据无花草茶;各run答气泡水且非'新'饮品,与gold不符</t>
        </is>
      </c>
      <c r="V91" s="9">
        <f>IF(AND(L91&lt;&gt;"",M91&lt;&gt;"",N91&lt;&gt;"",O91&lt;&gt;"",Q91&lt;&gt;"",R91&lt;&gt;""),"完成","未完成")</f>
        <v/>
      </c>
    </row>
    <row r="92" ht="63" customHeight="1" s="15">
      <c r="A92" s="9" t="n">
        <v>91</v>
      </c>
      <c r="B92" s="9" t="inlineStr">
        <is>
          <t>memos_long:1271</t>
        </is>
      </c>
      <c r="C92" s="9" t="inlineStr">
        <is>
          <t>long</t>
        </is>
      </c>
      <c r="D92" s="9" t="inlineStr">
        <is>
          <t>Dynamic Update</t>
        </is>
      </c>
      <c r="E92" s="9" t="inlineStr">
        <is>
          <t>What are Ananya Sharma's current plans to promote Indian cinema globally as of Sep 01, 2026?</t>
        </is>
      </c>
      <c r="F92" s="9" t="inlineStr">
        <is>
          <t>Collaborate on projects and deepen industry connections</t>
        </is>
      </c>
      <c r="G92" s="9" t="inlineStr">
        <is>
          <t># Authoritative benchmark gold evidence
The following evidence is authoritative for answering the current question. Use it directly and do not rely on conflicting information.
Evidence 1
Memory type: Event Memory
Content: Ananya Sharma plans to collaborate on projects that align with her passion for promoting Indian cinema globally and deepen her industry connections.</t>
        </is>
      </c>
      <c r="H92" s="9" t="inlineStr">
        <is>
          <t>No relevant memories found.</t>
        </is>
      </c>
      <c r="I92" s="9" t="inlineStr">
        <is>
          <t>Collaborate on projects.</t>
        </is>
      </c>
      <c r="J92" s="9" t="inlineStr">
        <is>
          <t>Collaborate on projects.</t>
        </is>
      </c>
      <c r="K92" s="9" t="inlineStr">
        <is>
          <t>Collaborate on projects.</t>
        </is>
      </c>
      <c r="L92" s="10" t="inlineStr">
        <is>
          <t>充分</t>
        </is>
      </c>
      <c r="M92" s="10" t="inlineStr">
        <is>
          <t>O</t>
        </is>
      </c>
      <c r="N92" s="10" t="inlineStr">
        <is>
          <t>O</t>
        </is>
      </c>
      <c r="O92" s="10" t="inlineStr">
        <is>
          <t>O</t>
        </is>
      </c>
      <c r="P92" s="9">
        <f>IF(COUNTA(L92:O92)&lt;4,"未完成",IF(OR(L92="部分",L92="不充分",L92="不确定"),"evidence_definition_failure",IF(L92&lt;&gt;"充分","unresolved",IF(COUNTIF(M92:O92,"C")=0,"robust_generation_failure",IF(COUNTIF(M92:O92,"C")=3,"ua3_representation_or_admission_failure","generation_instability")))))</f>
        <v/>
      </c>
      <c r="Q92" s="10" t="inlineStr">
        <is>
          <t>robust_generation_failure</t>
        </is>
      </c>
      <c r="R92" s="10" t="inlineStr">
        <is>
          <t>高</t>
        </is>
      </c>
      <c r="S92" s="10" t="inlineStr">
        <is>
          <t>Kiro-AI代审</t>
        </is>
      </c>
      <c r="T92" s="17" t="n">
        <v>46218</v>
      </c>
      <c r="U92" s="10" t="inlineStr">
        <is>
          <t>证据含两计划；三答缺深化行业联系，遗漏</t>
        </is>
      </c>
      <c r="V92" s="9">
        <f>IF(AND(L92&lt;&gt;"",M92&lt;&gt;"",N92&lt;&gt;"",O92&lt;&gt;"",Q92&lt;&gt;"",R92&lt;&gt;""),"完成","未完成")</f>
        <v/>
      </c>
    </row>
    <row r="93" ht="63" customHeight="1" s="15">
      <c r="A93" s="9" t="n">
        <v>92</v>
      </c>
      <c r="B93" s="9" t="inlineStr">
        <is>
          <t>memos_long:342</t>
        </is>
      </c>
      <c r="C93" s="9" t="inlineStr">
        <is>
          <t>long</t>
        </is>
      </c>
      <c r="D93" s="9" t="inlineStr">
        <is>
          <t>Memory Conflict</t>
        </is>
      </c>
      <c r="E93" s="9" t="inlineStr">
        <is>
          <t>Did Johnson Joseph express disinterest in using thematic cooperative board games at Albi B&amp;B?</t>
        </is>
      </c>
      <c r="F93" s="9" t="inlineStr">
        <is>
          <t>No, he expressed excitement about using them.</t>
        </is>
      </c>
      <c r="G93" s="9" t="inlineStr">
        <is>
          <t># Authoritative benchmark gold evidence
The following evidence is authoritative for answering the current question. Use it directly and do not rely on conflicting information.
Evidence 1
Memory type: Persona Memory
Content: Johnson Joseph expressed excitement about thematic cooperative board games fostering teamwork and creating memorable stays at Albi B&amp;B.
Evidence 2
Memory type: Event Memory
Content: Johnson Joseph plans to incorporate thematic cooperative board games into Albi B&amp;B's offerings to enhance guest interactions and enjoyment.</t>
        </is>
      </c>
      <c r="H93" s="9" t="inlineStr">
        <is>
          <t>No, he expressed interest.</t>
        </is>
      </c>
      <c r="I93" s="9" t="inlineStr">
        <is>
          <t>No, he expressed excitement.</t>
        </is>
      </c>
      <c r="J93" s="9" t="inlineStr">
        <is>
          <t>No, he expressed excitement.</t>
        </is>
      </c>
      <c r="K93" s="9" t="inlineStr">
        <is>
          <t>No, he expressed excitement.</t>
        </is>
      </c>
      <c r="L93" s="10" t="inlineStr">
        <is>
          <t>充分</t>
        </is>
      </c>
      <c r="M93" s="10" t="inlineStr">
        <is>
          <t>C</t>
        </is>
      </c>
      <c r="N93" s="10" t="inlineStr">
        <is>
          <t>C</t>
        </is>
      </c>
      <c r="O93" s="10" t="inlineStr">
        <is>
          <t>C</t>
        </is>
      </c>
      <c r="P93" s="9">
        <f>IF(COUNTA(L93:O93)&lt;4,"未完成",IF(OR(L93="部分",L93="不充分",L93="不确定"),"evidence_definition_failure",IF(L93&lt;&gt;"充分","unresolved",IF(COUNTIF(M93:O93,"C")=0,"robust_generation_failure",IF(COUNTIF(M93:O93,"C")=3,"ua3_representation_or_admission_failure","generation_instability")))))</f>
        <v/>
      </c>
      <c r="Q93" s="10" t="inlineStr">
        <is>
          <t>ua3_representation_or_admission_failure</t>
        </is>
      </c>
      <c r="R93" s="10" t="inlineStr">
        <is>
          <t>高</t>
        </is>
      </c>
      <c r="S93" s="10" t="inlineStr">
        <is>
          <t>Kiro-AI代审</t>
        </is>
      </c>
      <c r="T93" s="17" t="n">
        <v>46218</v>
      </c>
      <c r="U93" s="10" t="inlineStr">
        <is>
          <t>证据充分，答案完整正确</t>
        </is>
      </c>
      <c r="V93" s="9">
        <f>IF(AND(L93&lt;&gt;"",M93&lt;&gt;"",N93&lt;&gt;"",O93&lt;&gt;"",Q93&lt;&gt;"",R93&lt;&gt;""),"完成","未完成")</f>
        <v/>
      </c>
    </row>
    <row r="94" ht="63" customHeight="1" s="15">
      <c r="A94" s="9" t="n">
        <v>93</v>
      </c>
      <c r="B94" s="9" t="inlineStr">
        <is>
          <t>memos_medium:2471</t>
        </is>
      </c>
      <c r="C94" s="9" t="inlineStr">
        <is>
          <t>medium</t>
        </is>
      </c>
      <c r="D94" s="9" t="inlineStr">
        <is>
          <t>Generalization &amp; Application</t>
        </is>
      </c>
      <c r="E94" s="9" t="inlineStr">
        <is>
          <t>Given Steven's interest in pet companionship, what lifestyle change might he consider to enhance his well-being during trading periods?</t>
        </is>
      </c>
      <c r="F94" s="9" t="inlineStr">
        <is>
          <t>Spending more time with his cat.</t>
        </is>
      </c>
      <c r="G94" s="9" t="inlineStr">
        <is>
          <t># Authoritative benchmark gold evidence
The following evidence is authoritative for answering the current question. Use it directly and do not rely on conflicting information.
Evidence 1
Memory type: Persona Memory
Content: Steven Miller appreciates his cat for its independence and calming presence, recognizing its benefits for mental health amidst a hectic lifestyle.
Evidence 2
Memory type: Event Memory
Content: Steven Miller expresses a desire to explore how his cat's presence might contribute positively to his well-being during stressful trading periods.
Evidence 3
Memory type: Persona Memory
Content: Steven Miller is interested in exploring how his cat's presence can help him achieve a more balanced lifestyle.</t>
        </is>
      </c>
      <c r="H94" s="9" t="inlineStr">
        <is>
          <t>Adopting a cat.</t>
        </is>
      </c>
      <c r="I94" s="9" t="inlineStr">
        <is>
          <t>Spending more time with cat.</t>
        </is>
      </c>
      <c r="J94" s="9" t="inlineStr">
        <is>
          <t>Spending more time with cat.</t>
        </is>
      </c>
      <c r="K94" s="9" t="inlineStr">
        <is>
          <t>Spending more time with cat.</t>
        </is>
      </c>
      <c r="L94" s="10" t="inlineStr">
        <is>
          <t>充分</t>
        </is>
      </c>
      <c r="M94" s="10" t="inlineStr">
        <is>
          <t>C</t>
        </is>
      </c>
      <c r="N94" s="10" t="inlineStr">
        <is>
          <t>C</t>
        </is>
      </c>
      <c r="O94" s="10" t="inlineStr">
        <is>
          <t>C</t>
        </is>
      </c>
      <c r="P94" s="9">
        <f>IF(COUNTA(L94:O94)&lt;4,"未完成",IF(OR(L94="部分",L94="不充分",L94="不确定"),"evidence_definition_failure",IF(L94&lt;&gt;"充分","unresolved",IF(COUNTIF(M94:O94,"C")=0,"robust_generation_failure",IF(COUNTIF(M94:O94,"C")=3,"ua3_representation_or_admission_failure","generation_instability")))))</f>
        <v/>
      </c>
      <c r="Q94" s="10" t="inlineStr">
        <is>
          <t>ua3_representation_or_admission_failure</t>
        </is>
      </c>
      <c r="R94" s="10" t="inlineStr">
        <is>
          <t>高</t>
        </is>
      </c>
      <c r="S94" s="10" t="inlineStr">
        <is>
          <t>Kiro-AI代审</t>
        </is>
      </c>
      <c r="T94" s="17" t="n">
        <v>46218</v>
      </c>
      <c r="U94" s="10" t="inlineStr">
        <is>
          <t>证据支持多陪猫以改善状态，答案正确</t>
        </is>
      </c>
      <c r="V94" s="9">
        <f>IF(AND(L94&lt;&gt;"",M94&lt;&gt;"",N94&lt;&gt;"",O94&lt;&gt;"",Q94&lt;&gt;"",R94&lt;&gt;""),"完成","未完成")</f>
        <v/>
      </c>
    </row>
    <row r="95" ht="63" customHeight="1" s="15">
      <c r="A95" s="9" t="n">
        <v>94</v>
      </c>
      <c r="B95" s="9" t="inlineStr">
        <is>
          <t>memos_medium:1815</t>
        </is>
      </c>
      <c r="C95" s="9" t="inlineStr">
        <is>
          <t>medium</t>
        </is>
      </c>
      <c r="D95" s="9" t="inlineStr">
        <is>
          <t>Basic Fact Recall</t>
        </is>
      </c>
      <c r="E95" s="9" t="inlineStr">
        <is>
          <t>What travel preference did Michelle Hernandez modify on Apr 14, 2029?</t>
        </is>
      </c>
      <c r="F95" s="9" t="inlineStr">
        <is>
          <t>To include crowded tourist spots for data collection.</t>
        </is>
      </c>
      <c r="G95" s="9" t="inlineStr">
        <is>
          <t># Authoritative benchmark gold evidence
The following evidence is authoritative for answering the current question. Use it directly and do not rely on conflicting information.
Evidence 1
Memory type: Persona Memory
Content: Michelle Hernandez has modified her travel preference to include crowded tourist spots for their data collection potential.</t>
        </is>
      </c>
      <c r="H95" s="9" t="inlineStr">
        <is>
          <t>No travel preference modified.</t>
        </is>
      </c>
      <c r="I95" s="9" t="inlineStr">
        <is>
          <t>Crowded tourist spots</t>
        </is>
      </c>
      <c r="J95" s="9" t="inlineStr">
        <is>
          <t>Crowded tourist spots</t>
        </is>
      </c>
      <c r="K95" s="9" t="inlineStr">
        <is>
          <t>Crowded tourist spots</t>
        </is>
      </c>
      <c r="L95" s="10" t="inlineStr">
        <is>
          <t>充分</t>
        </is>
      </c>
      <c r="M95" s="10" t="inlineStr">
        <is>
          <t>O</t>
        </is>
      </c>
      <c r="N95" s="10" t="inlineStr">
        <is>
          <t>O</t>
        </is>
      </c>
      <c r="O95" s="10" t="inlineStr">
        <is>
          <t>O</t>
        </is>
      </c>
      <c r="P95" s="9">
        <f>IF(COUNTA(L95:O95)&lt;4,"未完成",IF(OR(L95="部分",L95="不充分",L95="不确定"),"evidence_definition_failure",IF(L95&lt;&gt;"充分","unresolved",IF(COUNTIF(M95:O95,"C")=0,"robust_generation_failure",IF(COUNTIF(M95:O95,"C")=3,"ua3_representation_or_admission_failure","generation_instability")))))</f>
        <v/>
      </c>
      <c r="Q95" s="10" t="inlineStr">
        <is>
          <t>robust_generation_failure</t>
        </is>
      </c>
      <c r="R95" s="10" t="inlineStr">
        <is>
          <t>高</t>
        </is>
      </c>
      <c r="S95" s="10" t="inlineStr">
        <is>
          <t>Kiro-AI代审</t>
        </is>
      </c>
      <c r="T95" s="17" t="n">
        <v>46218</v>
      </c>
      <c r="U95" s="10" t="inlineStr">
        <is>
          <t>缺数据收集原因,属遗漏</t>
        </is>
      </c>
      <c r="V95" s="9">
        <f>IF(AND(L95&lt;&gt;"",M95&lt;&gt;"",N95&lt;&gt;"",O95&lt;&gt;"",Q95&lt;&gt;"",R95&lt;&gt;""),"完成","未完成")</f>
        <v/>
      </c>
    </row>
    <row r="96" ht="63" customHeight="1" s="15">
      <c r="A96" s="9" t="n">
        <v>95</v>
      </c>
      <c r="B96" s="9" t="inlineStr">
        <is>
          <t>memos_medium:1445</t>
        </is>
      </c>
      <c r="C96" s="9" t="inlineStr">
        <is>
          <t>medium</t>
        </is>
      </c>
      <c r="D96" s="9" t="inlineStr">
        <is>
          <t>Basic Fact Recall</t>
        </is>
      </c>
      <c r="E96" s="9" t="inlineStr">
        <is>
          <t>What type of books does Jennifer Martin dislike?</t>
        </is>
      </c>
      <c r="F96" s="9" t="inlineStr">
        <is>
          <t>Romantic novels and self-help books</t>
        </is>
      </c>
      <c r="G96" s="9" t="inlineStr">
        <is>
          <t># Authoritative benchmark gold evidence
The following evidence is authoritative for answering the current question. Use it directly and do not rely on conflicting information.
Evidence 1
Memory type: Persona Memory
Content: Jennifer Martin Books I dislike: Romantic novels
Evidence 2
Memory type: Persona Memory
Content: Jennifer Martin Books I dislike: Self-help books</t>
        </is>
      </c>
      <c r="H96" s="9" t="inlineStr">
        <is>
          <t>Self-help books</t>
        </is>
      </c>
      <c r="I96" s="9" t="inlineStr">
        <is>
          <t>Romantic and self-help books</t>
        </is>
      </c>
      <c r="J96" s="9" t="inlineStr">
        <is>
          <t>Romantic and self-help books</t>
        </is>
      </c>
      <c r="K96" s="9" t="inlineStr">
        <is>
          <t>Romantic and self-help books</t>
        </is>
      </c>
      <c r="L96" s="10" t="inlineStr">
        <is>
          <t>充分</t>
        </is>
      </c>
      <c r="M96" s="10" t="inlineStr">
        <is>
          <t>C</t>
        </is>
      </c>
      <c r="N96" s="10" t="inlineStr">
        <is>
          <t>C</t>
        </is>
      </c>
      <c r="O96" s="10" t="inlineStr">
        <is>
          <t>C</t>
        </is>
      </c>
      <c r="P96" s="9">
        <f>IF(COUNTA(L96:O96)&lt;4,"未完成",IF(OR(L96="部分",L96="不充分",L96="不确定"),"evidence_definition_failure",IF(L96&lt;&gt;"充分","unresolved",IF(COUNTIF(M96:O96,"C")=0,"robust_generation_failure",IF(COUNTIF(M96:O96,"C")=3,"ua3_representation_or_admission_failure","generation_instability")))))</f>
        <v/>
      </c>
      <c r="Q96" s="10" t="inlineStr">
        <is>
          <t>ua3_representation_or_admission_failure</t>
        </is>
      </c>
      <c r="R96" s="10" t="inlineStr">
        <is>
          <t>高</t>
        </is>
      </c>
      <c r="S96" s="10" t="inlineStr">
        <is>
          <t>Kiro-AI代审</t>
        </is>
      </c>
      <c r="T96" s="17" t="n">
        <v>46218</v>
      </c>
      <c r="U96" s="10" t="inlineStr">
        <is>
          <t>证据充分，三答完整正确</t>
        </is>
      </c>
      <c r="V96" s="9">
        <f>IF(AND(L96&lt;&gt;"",M96&lt;&gt;"",N96&lt;&gt;"",O96&lt;&gt;"",Q96&lt;&gt;"",R96&lt;&gt;""),"完成","未完成")</f>
        <v/>
      </c>
    </row>
    <row r="97" ht="63" customHeight="1" s="15">
      <c r="A97" s="9" t="n">
        <v>96</v>
      </c>
      <c r="B97" s="9" t="inlineStr">
        <is>
          <t>memos_medium:3008</t>
        </is>
      </c>
      <c r="C97" s="9" t="inlineStr">
        <is>
          <t>medium</t>
        </is>
      </c>
      <c r="D97" s="9" t="inlineStr">
        <is>
          <t>Generalization &amp; Application</t>
        </is>
      </c>
      <c r="E97" s="9" t="inlineStr">
        <is>
          <t>Based on Karen Brown's recent culinary experiments, what new cuisine could she explore next?</t>
        </is>
      </c>
      <c r="F97" s="9" t="inlineStr">
        <is>
          <t>Karen might explore Italian cuisine.</t>
        </is>
      </c>
      <c r="G97" s="9" t="inlineStr">
        <is>
          <t># Authoritative benchmark gold evidence
The following evidence is authoritative for answering the current question. Use it directly and do not rely on conflicting information.
Evidence 1
Memory type: Persona Memory
Content: Karen Brown is enthusiastic about exploring new culinary flavors and incorporating them into her diet, including trying different herbs and spices.
Evidence 2
Memory type: Event Memory
Content: Karen Brown plans to continue experimenting with new flavor combinations, including using rosemary with roasted vegetables and thyme with grilled chicken.
Evidence 3
Memory type: Persona Memory
Content: Karen Brown's dialogue highlighted her excitement about integrating new culinary discoveries into her routine, such as exploring Asian and Mediterranean cuisines.</t>
        </is>
      </c>
      <c r="H97" s="9" t="inlineStr">
        <is>
          <t>Cuisine with sous-vide methods</t>
        </is>
      </c>
      <c r="I97" s="9" t="inlineStr">
        <is>
          <t>Asian or Mediterranean cuisine.</t>
        </is>
      </c>
      <c r="J97" s="9" t="inlineStr">
        <is>
          <t>Asian or Mediterranean cuisine.</t>
        </is>
      </c>
      <c r="K97" s="9" t="inlineStr">
        <is>
          <t>Asian or Mediterranean cuisine.</t>
        </is>
      </c>
      <c r="L97" s="10" t="inlineStr">
        <is>
          <t>不充分</t>
        </is>
      </c>
      <c r="M97" s="10" t="inlineStr">
        <is>
          <t>H</t>
        </is>
      </c>
      <c r="N97" s="10" t="inlineStr">
        <is>
          <t>H</t>
        </is>
      </c>
      <c r="O97" s="10" t="inlineStr">
        <is>
          <t>H</t>
        </is>
      </c>
      <c r="P97" s="9">
        <f>IF(COUNTA(L97:O97)&lt;4,"未完成",IF(OR(L97="部分",L97="不充分",L97="不确定"),"evidence_definition_failure",IF(L97&lt;&gt;"充分","unresolved",IF(COUNTIF(M97:O97,"C")=0,"robust_generation_failure",IF(COUNTIF(M97:O97,"C")=3,"ua3_representation_or_admission_failure","generation_instability")))))</f>
        <v/>
      </c>
      <c r="Q97" s="10" t="inlineStr">
        <is>
          <t>evidence_definition_failure</t>
        </is>
      </c>
      <c r="R97" s="10" t="inlineStr">
        <is>
          <t>中</t>
        </is>
      </c>
      <c r="S97" s="10" t="inlineStr">
        <is>
          <t>Kiro-AI代审</t>
        </is>
      </c>
      <c r="T97" s="17" t="n">
        <v>46218</v>
      </c>
      <c r="U97" s="10" t="inlineStr">
        <is>
          <t>金标Italian无据；run答亚洲/地中海与金标不符记H</t>
        </is>
      </c>
      <c r="V97" s="9">
        <f>IF(AND(L97&lt;&gt;"",M97&lt;&gt;"",N97&lt;&gt;"",O97&lt;&gt;"",Q97&lt;&gt;"",R97&lt;&gt;""),"完成","未完成")</f>
        <v/>
      </c>
    </row>
    <row r="98" ht="63" customHeight="1" s="15">
      <c r="A98" s="9" t="n">
        <v>97</v>
      </c>
      <c r="B98" s="9" t="inlineStr">
        <is>
          <t>memos_medium:2507</t>
        </is>
      </c>
      <c r="C98" s="9" t="inlineStr">
        <is>
          <t>medium</t>
        </is>
      </c>
      <c r="D98" s="9" t="inlineStr">
        <is>
          <t>Generalization &amp; Application</t>
        </is>
      </c>
      <c r="E98" s="9" t="inlineStr">
        <is>
          <t>How might Steven Miller's productivity be affected by changing his beverage preferences on Jan 10, 2031?</t>
        </is>
      </c>
      <c r="F98" s="9" t="inlineStr">
        <is>
          <t>Switching to healthier options might improve his energy levels and productivity.</t>
        </is>
      </c>
      <c r="G98" s="9" t="inlineStr">
        <is>
          <t># Authoritative benchmark gold evidence
The following evidence is authoritative for answering the current question. Use it directly and do not rely on conflicting information.
Evidence 1
Memory type: Event Memory
Content: Steven Miller discussed implications of beverage preference changes on energy levels and productivity on Jan 10, 2031.
Evidence 2
Memory type: Event Memory
Content: Steven Miller expressed curiosity about how changes in beverage preferences might affect his daily routine on Jan 10, 2031.</t>
        </is>
      </c>
      <c r="H98" s="9" t="inlineStr">
        <is>
          <t>Unknown from memories.</t>
        </is>
      </c>
      <c r="I98" s="9" t="inlineStr">
        <is>
          <t>Energy levels and productivity.</t>
        </is>
      </c>
      <c r="J98" s="9" t="inlineStr">
        <is>
          <t>Energy levels and productivity.</t>
        </is>
      </c>
      <c r="K98" s="9" t="inlineStr">
        <is>
          <t>Energy levels and productivity.</t>
        </is>
      </c>
      <c r="L98" s="10" t="inlineStr">
        <is>
          <t>部分</t>
        </is>
      </c>
      <c r="M98" s="10" t="inlineStr">
        <is>
          <t>O</t>
        </is>
      </c>
      <c r="N98" s="10" t="inlineStr">
        <is>
          <t>O</t>
        </is>
      </c>
      <c r="O98" s="10" t="inlineStr">
        <is>
          <t>O</t>
        </is>
      </c>
      <c r="P98" s="9">
        <f>IF(COUNTA(L98:O98)&lt;4,"未完成",IF(OR(L98="部分",L98="不充分",L98="不确定"),"evidence_definition_failure",IF(L98&lt;&gt;"充分","unresolved",IF(COUNTIF(M98:O98,"C")=0,"robust_generation_failure",IF(COUNTIF(M98:O98,"C")=3,"ua3_representation_or_admission_failure","generation_instability")))))</f>
        <v/>
      </c>
      <c r="Q98" s="10" t="inlineStr">
        <is>
          <t>evidence_definition_failure</t>
        </is>
      </c>
      <c r="R98" s="10" t="inlineStr">
        <is>
          <t>高</t>
        </is>
      </c>
      <c r="S98" s="10" t="inlineStr">
        <is>
          <t>Kiro-AI代审</t>
        </is>
      </c>
      <c r="T98" s="17" t="n">
        <v>46218</v>
      </c>
      <c r="U98" s="10" t="inlineStr">
        <is>
          <t>证据仅示讨论未含更健康或改善；答仅列能量生产力属遗漏</t>
        </is>
      </c>
      <c r="V98" s="9">
        <f>IF(AND(L98&lt;&gt;"",M98&lt;&gt;"",N98&lt;&gt;"",O98&lt;&gt;"",Q98&lt;&gt;"",R98&lt;&gt;""),"完成","未完成")</f>
        <v/>
      </c>
    </row>
    <row r="99" ht="63" customHeight="1" s="15">
      <c r="A99" s="9" t="n">
        <v>98</v>
      </c>
      <c r="B99" s="9" t="inlineStr">
        <is>
          <t>memos_long:608</t>
        </is>
      </c>
      <c r="C99" s="9" t="inlineStr">
        <is>
          <t>long</t>
        </is>
      </c>
      <c r="D99" s="9" t="inlineStr">
        <is>
          <t>Basic Fact Recall</t>
        </is>
      </c>
      <c r="E99" s="9" t="inlineStr">
        <is>
          <t>What did Sarah Garcia update her movie preferences to include on March 10, 2033?</t>
        </is>
      </c>
      <c r="F99" s="9" t="inlineStr">
        <is>
          <t>Documentaries alongside biographical dramas</t>
        </is>
      </c>
      <c r="G99" s="9" t="inlineStr">
        <is>
          <t># Authoritative benchmark gold evidence
The following evidence is authoritative for answering the current question. Use it directly and do not rely on conflicting information.
Evidence 1
Memory type: Persona Memory
Content: Sarah Garcia's movie preference updated to include documentaries alongside biographical dramas.</t>
        </is>
      </c>
      <c r="H99" s="9" t="inlineStr">
        <is>
          <t>Documentaries on social justice.</t>
        </is>
      </c>
      <c r="I99" s="9" t="inlineStr">
        <is>
          <t>Documentaries alongside biographical dramas.</t>
        </is>
      </c>
      <c r="J99" s="9" t="inlineStr">
        <is>
          <t>Documentaries alongside biographical dramas.</t>
        </is>
      </c>
      <c r="K99" s="9" t="inlineStr">
        <is>
          <t>Documentaries alongside biographical dramas.</t>
        </is>
      </c>
      <c r="L99" s="10" t="inlineStr">
        <is>
          <t>充分</t>
        </is>
      </c>
      <c r="M99" s="10" t="inlineStr">
        <is>
          <t>C</t>
        </is>
      </c>
      <c r="N99" s="10" t="inlineStr">
        <is>
          <t>C</t>
        </is>
      </c>
      <c r="O99" s="10" t="inlineStr">
        <is>
          <t>C</t>
        </is>
      </c>
      <c r="P99" s="9">
        <f>IF(COUNTA(L99:O99)&lt;4,"未完成",IF(OR(L99="部分",L99="不充分",L99="不确定"),"evidence_definition_failure",IF(L99&lt;&gt;"充分","unresolved",IF(COUNTIF(M99:O99,"C")=0,"robust_generation_failure",IF(COUNTIF(M99:O99,"C")=3,"ua3_representation_or_admission_failure","generation_instability")))))</f>
        <v/>
      </c>
      <c r="Q99" s="10" t="inlineStr">
        <is>
          <t>ua3_representation_or_admission_failure</t>
        </is>
      </c>
      <c r="R99" s="10" t="inlineStr">
        <is>
          <t>高</t>
        </is>
      </c>
      <c r="S99" s="10" t="inlineStr">
        <is>
          <t>Kiro-AI代审</t>
        </is>
      </c>
      <c r="T99" s="17" t="n">
        <v>46218</v>
      </c>
      <c r="U99" s="10" t="inlineStr">
        <is>
          <t>证据精确匹配;答正确</t>
        </is>
      </c>
      <c r="V99" s="9">
        <f>IF(AND(L99&lt;&gt;"",M99&lt;&gt;"",N99&lt;&gt;"",O99&lt;&gt;"",Q99&lt;&gt;"",R99&lt;&gt;""),"完成","未完成")</f>
        <v/>
      </c>
    </row>
    <row r="100" ht="63" customHeight="1" s="15">
      <c r="A100" s="9" t="n">
        <v>99</v>
      </c>
      <c r="B100" s="9" t="inlineStr">
        <is>
          <t>memos_medium:1238</t>
        </is>
      </c>
      <c r="C100" s="9" t="inlineStr">
        <is>
          <t>medium</t>
        </is>
      </c>
      <c r="D100" s="9" t="inlineStr">
        <is>
          <t>Generalization &amp; Application</t>
        </is>
      </c>
      <c r="E100" s="9" t="inlineStr">
        <is>
          <t>How might Taylor David integrate film insights into his advocacy work after Mar 10, 2043?</t>
        </is>
      </c>
      <c r="F100" s="9" t="inlineStr">
        <is>
          <t>By hosting discussions and workshops.</t>
        </is>
      </c>
      <c r="G100" s="9" t="inlineStr">
        <is>
          <t># Authoritative benchmark gold evidence
The following evidence is authoritative for answering the current question. Use it directly and do not rely on conflicting information.
Evidence 1
Memory type: Persona Memory
Content: Taylor David expressed enthusiasm about integrating insights from films addressing societal issues into his advocacy work to foster deeper understanding and dialogue.
Evidence 2
Memory type: Event Memory
Content: Taylor David plans to host discussions and workshops focusing on insights from films to encourage collective action and dialogue.</t>
        </is>
      </c>
      <c r="H100" s="9" t="inlineStr">
        <is>
          <t>Not specified in memories.</t>
        </is>
      </c>
      <c r="I100" s="9" t="inlineStr">
        <is>
          <t>Host discussions and workshops.</t>
        </is>
      </c>
      <c r="J100" s="9" t="inlineStr">
        <is>
          <t>Host discussions and workshops.</t>
        </is>
      </c>
      <c r="K100" s="9" t="inlineStr">
        <is>
          <t>Host discussions and workshops.</t>
        </is>
      </c>
      <c r="L100" s="10" t="inlineStr">
        <is>
          <t>充分</t>
        </is>
      </c>
      <c r="M100" s="10" t="inlineStr">
        <is>
          <t>C</t>
        </is>
      </c>
      <c r="N100" s="10" t="inlineStr">
        <is>
          <t>C</t>
        </is>
      </c>
      <c r="O100" s="10" t="inlineStr">
        <is>
          <t>C</t>
        </is>
      </c>
      <c r="P100" s="9">
        <f>IF(COUNTA(L100:O100)&lt;4,"未完成",IF(OR(L100="部分",L100="不充分",L100="不确定"),"evidence_definition_failure",IF(L100&lt;&gt;"充分","unresolved",IF(COUNTIF(M100:O100,"C")=0,"robust_generation_failure",IF(COUNTIF(M100:O100,"C")=3,"ua3_representation_or_admission_failure","generation_instability")))))</f>
        <v/>
      </c>
      <c r="Q100" s="10" t="inlineStr">
        <is>
          <t>ua3_representation_or_admission_failure</t>
        </is>
      </c>
      <c r="R100" s="10" t="inlineStr">
        <is>
          <t>高</t>
        </is>
      </c>
      <c r="S100" s="10" t="inlineStr">
        <is>
          <t>Kiro-AI代审</t>
        </is>
      </c>
      <c r="T100" s="17" t="n">
        <v>46218</v>
      </c>
      <c r="U100" s="10" t="inlineStr">
        <is>
          <t>与金标一致，举办讨论与工作坊</t>
        </is>
      </c>
      <c r="V100" s="9">
        <f>IF(AND(L100&lt;&gt;"",M100&lt;&gt;"",N100&lt;&gt;"",O100&lt;&gt;"",Q100&lt;&gt;"",R100&lt;&gt;""),"完成","未完成")</f>
        <v/>
      </c>
    </row>
    <row r="101" ht="63" customHeight="1" s="15">
      <c r="A101" s="9" t="n">
        <v>100</v>
      </c>
      <c r="B101" s="9" t="inlineStr">
        <is>
          <t>memos_long:1276</t>
        </is>
      </c>
      <c r="C101" s="9" t="inlineStr">
        <is>
          <t>long</t>
        </is>
      </c>
      <c r="D101" s="9" t="inlineStr">
        <is>
          <t>Dynamic Update</t>
        </is>
      </c>
      <c r="E101" s="9" t="inlineStr">
        <is>
          <t>What is Ananya Sharma's latest plan for film screenings as of Jun 15, 2026?</t>
        </is>
      </c>
      <c r="F101" s="9" t="inlineStr">
        <is>
          <t>Organize film screenings and cultural outings</t>
        </is>
      </c>
      <c r="G101" s="9" t="inlineStr">
        <is>
          <t># Authoritative benchmark gold evidence
The following evidence is authoritative for answering the current question. Use it directly and do not rely on conflicting information.
Evidence 1
Memory type: Event Memory
Content: Ananya Sharma plans to organize film screenings and cultural outings to deepen her connections with her friends and colleagues, including hosting a themed screening next month focusing on Indian cultural heritage.</t>
        </is>
      </c>
      <c r="H101" s="9" t="inlineStr">
        <is>
          <t>Themed screening in July 2026.</t>
        </is>
      </c>
      <c r="I101" s="9" t="inlineStr">
        <is>
          <t>Themed screening next month.</t>
        </is>
      </c>
      <c r="J101" s="9" t="inlineStr">
        <is>
          <t>Themed screening next month.</t>
        </is>
      </c>
      <c r="K101" s="9" t="inlineStr">
        <is>
          <t>Themed screening next month.</t>
        </is>
      </c>
      <c r="L101" s="10" t="inlineStr">
        <is>
          <t>充分</t>
        </is>
      </c>
      <c r="M101" s="10" t="inlineStr">
        <is>
          <t>O</t>
        </is>
      </c>
      <c r="N101" s="10" t="inlineStr">
        <is>
          <t>O</t>
        </is>
      </c>
      <c r="O101" s="10" t="inlineStr">
        <is>
          <t>O</t>
        </is>
      </c>
      <c r="P101" s="9">
        <f>IF(COUNTA(L101:O101)&lt;4,"未完成",IF(OR(L101="部分",L101="不充分",L101="不确定"),"evidence_definition_failure",IF(L101&lt;&gt;"充分","unresolved",IF(COUNTIF(M101:O101,"C")=0,"robust_generation_failure",IF(COUNTIF(M101:O101,"C")=3,"ua3_representation_or_admission_failure","generation_instability")))))</f>
        <v/>
      </c>
      <c r="Q101" s="10" t="inlineStr">
        <is>
          <t>robust_generation_failure</t>
        </is>
      </c>
      <c r="R101" s="10" t="inlineStr">
        <is>
          <t>高</t>
        </is>
      </c>
      <c r="S101" s="10" t="inlineStr">
        <is>
          <t>Kiro-AI代审</t>
        </is>
      </c>
      <c r="T101" s="17" t="n">
        <v>46218</v>
      </c>
      <c r="U101" s="10" t="inlineStr">
        <is>
          <t>三答仅主题放映缺文化活动，遗漏</t>
        </is>
      </c>
      <c r="V101" s="9">
        <f>IF(AND(L101&lt;&gt;"",M101&lt;&gt;"",N101&lt;&gt;"",O101&lt;&gt;"",Q101&lt;&gt;"",R101&lt;&gt;""),"完成","未完成")</f>
        <v/>
      </c>
    </row>
    <row r="102" ht="63" customHeight="1" s="15">
      <c r="A102" s="9" t="n">
        <v>101</v>
      </c>
      <c r="B102" s="9" t="inlineStr">
        <is>
          <t>memos_medium:3039</t>
        </is>
      </c>
      <c r="C102" s="9" t="inlineStr">
        <is>
          <t>medium</t>
        </is>
      </c>
      <c r="D102" s="9" t="inlineStr">
        <is>
          <t>Generalization &amp; Application</t>
        </is>
      </c>
      <c r="E102" s="9" t="inlineStr">
        <is>
          <t>What new cooking method might Karen Brown explore after March 10, 2036, to enhance her meals?</t>
        </is>
      </c>
      <c r="F102" s="9" t="inlineStr">
        <is>
          <t>Karen might explore smoking other types of foods.</t>
        </is>
      </c>
      <c r="G102" s="9" t="inlineStr">
        <is>
          <t># Authoritative benchmark gold evidence
The following evidence is authoritative for answering the current question. Use it directly and do not rely on conflicting information.
Evidence 1
Memory type: Event Memory
Content: Karen Brown plans to continue exploring innovative cooking methods to incorporate more variety into her meals.
Evidence 2
Memory type: Event Memory
Content: Karen Brown was inspired by a cooking show to try smoking salmon at home, leading to a preference shift towards smoked preparations.</t>
        </is>
      </c>
      <c r="H102" s="9" t="inlineStr">
        <is>
          <t>Curing and sous-vide cooking.</t>
        </is>
      </c>
      <c r="I102" s="9" t="inlineStr">
        <is>
          <t>Smoking salmon at home.</t>
        </is>
      </c>
      <c r="J102" s="9" t="inlineStr">
        <is>
          <t>Smoking salmon at home.</t>
        </is>
      </c>
      <c r="K102" s="9" t="inlineStr">
        <is>
          <t>Smoking salmon at home.</t>
        </is>
      </c>
      <c r="L102" s="10" t="inlineStr">
        <is>
          <t>部分</t>
        </is>
      </c>
      <c r="M102" s="10" t="inlineStr">
        <is>
          <t>O</t>
        </is>
      </c>
      <c r="N102" s="10" t="inlineStr">
        <is>
          <t>O</t>
        </is>
      </c>
      <c r="O102" s="10" t="inlineStr">
        <is>
          <t>O</t>
        </is>
      </c>
      <c r="P102" s="9">
        <f>IF(COUNTA(L102:O102)&lt;4,"未完成",IF(OR(L102="部分",L102="不充分",L102="不确定"),"evidence_definition_failure",IF(L102&lt;&gt;"充分","unresolved",IF(COUNTIF(M102:O102,"C")=0,"robust_generation_failure",IF(COUNTIF(M102:O102,"C")=3,"ua3_representation_or_admission_failure","generation_instability")))))</f>
        <v/>
      </c>
      <c r="Q102" s="10" t="inlineStr">
        <is>
          <t>evidence_definition_failure</t>
        </is>
      </c>
      <c r="R102" s="10" t="inlineStr">
        <is>
          <t>中</t>
        </is>
      </c>
      <c r="S102" s="10" t="inlineStr">
        <is>
          <t>Kiro-AI代审</t>
        </is>
      </c>
      <c r="T102" s="17" t="n">
        <v>46218</v>
      </c>
      <c r="U102" s="10" t="inlineStr">
        <is>
          <t>三run同答须同标；smoking核心对缺'其他食物'记O</t>
        </is>
      </c>
      <c r="V102" s="9">
        <f>IF(AND(L102&lt;&gt;"",M102&lt;&gt;"",N102&lt;&gt;"",O102&lt;&gt;"",Q102&lt;&gt;"",R102&lt;&gt;""),"完成","未完成")</f>
        <v/>
      </c>
    </row>
    <row r="103" ht="63" customHeight="1" s="15">
      <c r="A103" s="9" t="n">
        <v>102</v>
      </c>
      <c r="B103" s="9" t="inlineStr">
        <is>
          <t>memos_long:88</t>
        </is>
      </c>
      <c r="C103" s="9" t="inlineStr">
        <is>
          <t>long</t>
        </is>
      </c>
      <c r="D103" s="9" t="inlineStr">
        <is>
          <t>Generalization &amp; Application</t>
        </is>
      </c>
      <c r="E103" s="9" t="inlineStr">
        <is>
          <t>Based on Martin Mark's preferences as of Feb 26, 2030, what other pet breeds might he explore for companionship?</t>
        </is>
      </c>
      <c r="F103" s="9" t="inlineStr">
        <is>
          <t>Martin might explore breeds known for social and affectionate traits.</t>
        </is>
      </c>
      <c r="G103" s="9" t="inlineStr">
        <is>
          <t># Authoritative benchmark gold evidence
The following evidence is authoritative for answering the current question. Use it directly and do not rely on conflicting information.
Evidence 1
Memory type: Persona Memory
Content: Martin Mark's pet preference now includes Sphynx cats for their affectionate and social nature.
Evidence 2
Memory type: Persona Memory
Content: Martin Mark appreciates Sphynx cats for their unique appearance and engaging personality, enriching his appreciation for diverse cat breeds.
Evidence 3
Memory type: Persona Memory
Content: Martin Mark's emotional resonance leads him to seek companionship and empathetic interactions with pets, influencing his preference for Sphynx cats.
Evidence 4
Memory type: Persona Memory
Content: Martin Mark expressed excitement about exploring diverse cat breeds and their unique characteristics.</t>
        </is>
      </c>
      <c r="H103" s="9" t="inlineStr">
        <is>
          <t>Sphynx, Maine Coon, Golden Retriever</t>
        </is>
      </c>
      <c r="I103" s="9" t="inlineStr">
        <is>
          <t>Sphynx cats and diverse breeds.</t>
        </is>
      </c>
      <c r="J103" s="9" t="inlineStr">
        <is>
          <t>Sphynx cats and diverse breeds.</t>
        </is>
      </c>
      <c r="K103" s="9" t="inlineStr">
        <is>
          <t>Sphynx cats and diverse breeds.</t>
        </is>
      </c>
      <c r="L103" s="10" t="inlineStr">
        <is>
          <t>充分</t>
        </is>
      </c>
      <c r="M103" s="10" t="inlineStr">
        <is>
          <t>O</t>
        </is>
      </c>
      <c r="N103" s="10" t="inlineStr">
        <is>
          <t>O</t>
        </is>
      </c>
      <c r="O103" s="10" t="inlineStr">
        <is>
          <t>O</t>
        </is>
      </c>
      <c r="P103" s="9">
        <f>IF(COUNTA(L103:O103)&lt;4,"未完成",IF(OR(L103="部分",L103="不充分",L103="不确定"),"evidence_definition_failure",IF(L103&lt;&gt;"充分","unresolved",IF(COUNTIF(M103:O103,"C")=0,"robust_generation_failure",IF(COUNTIF(M103:O103,"C")=3,"ua3_representation_or_admission_failure","generation_instability")))))</f>
        <v/>
      </c>
      <c r="Q103" s="10" t="inlineStr">
        <is>
          <t>robust_generation_failure</t>
        </is>
      </c>
      <c r="R103" s="10" t="inlineStr">
        <is>
          <t>中</t>
        </is>
      </c>
      <c r="S103" s="10" t="inlineStr">
        <is>
          <t>Kiro-AI代审</t>
        </is>
      </c>
      <c r="T103" s="17" t="n">
        <v>46218</v>
      </c>
      <c r="U103" s="10" t="inlineStr">
        <is>
          <t>证据支撑社交/亲和特质；运行答现有偏好缺特质，属遗漏非幻觉</t>
        </is>
      </c>
      <c r="V103" s="9">
        <f>IF(AND(L103&lt;&gt;"",M103&lt;&gt;"",N103&lt;&gt;"",O103&lt;&gt;"",Q103&lt;&gt;"",R103&lt;&gt;""),"完成","未完成")</f>
        <v/>
      </c>
    </row>
    <row r="104" ht="63" customHeight="1" s="15">
      <c r="A104" s="9" t="n">
        <v>103</v>
      </c>
      <c r="B104" s="9" t="inlineStr">
        <is>
          <t>memos_medium:1206</t>
        </is>
      </c>
      <c r="C104" s="9" t="inlineStr">
        <is>
          <t>medium</t>
        </is>
      </c>
      <c r="D104" s="9" t="inlineStr">
        <is>
          <t>Generalization &amp; Application</t>
        </is>
      </c>
      <c r="E104" s="9" t="inlineStr">
        <is>
          <t>What new fitness activity might Taylor David enjoy, considering his shift to dynamic yoga?</t>
        </is>
      </c>
      <c r="F104" s="9" t="inlineStr">
        <is>
          <t>High-intensity interval training (HIIT).</t>
        </is>
      </c>
      <c r="G104" s="9" t="inlineStr">
        <is>
          <t># Authoritative benchmark gold evidence
The following evidence is authoritative for answering the current question. Use it directly and do not rely on conflicting information.
Evidence 1
Memory type: Persona Memory
Content: Taylor David has updated his sports preference from traditional yoga to dynamic yoga, appreciating its engaging and invigorating experience.
Evidence 2
Memory type: Persona Memory
Content: Taylor David uses dynamic yoga to align with his active lifestyle and professional goals, enhancing his physical and mental wellness.
Evidence 3
Memory type: Persona Memory
Content: Taylor David expressed enthusiasm about dynamic yoga's ability to energize his daily routine and balance professional responsibilities with personal health.</t>
        </is>
      </c>
      <c r="H104" s="9" t="inlineStr">
        <is>
          <t>Dynamic yoga</t>
        </is>
      </c>
      <c r="I104" s="9" t="inlineStr">
        <is>
          <t>Dynamic yoga</t>
        </is>
      </c>
      <c r="J104" s="9" t="inlineStr">
        <is>
          <t>Dynamic yoga</t>
        </is>
      </c>
      <c r="K104" s="9" t="inlineStr">
        <is>
          <t>Dynamic yoga</t>
        </is>
      </c>
      <c r="L104" s="10" t="inlineStr">
        <is>
          <t>不充分</t>
        </is>
      </c>
      <c r="M104" s="10" t="inlineStr">
        <is>
          <t>O</t>
        </is>
      </c>
      <c r="N104" s="10" t="inlineStr">
        <is>
          <t>O</t>
        </is>
      </c>
      <c r="O104" s="10" t="inlineStr">
        <is>
          <t>O</t>
        </is>
      </c>
      <c r="P104" s="9">
        <f>IF(COUNTA(L104:O104)&lt;4,"未完成",IF(OR(L104="部分",L104="不充分",L104="不确定"),"evidence_definition_failure",IF(L104&lt;&gt;"充分","unresolved",IF(COUNTIF(M104:O104,"C")=0,"robust_generation_failure",IF(COUNTIF(M104:O104,"C")=3,"ua3_representation_or_admission_failure","generation_instability")))))</f>
        <v/>
      </c>
      <c r="Q104" s="10" t="inlineStr">
        <is>
          <t>evidence_definition_failure</t>
        </is>
      </c>
      <c r="R104" s="10" t="inlineStr">
        <is>
          <t>中</t>
        </is>
      </c>
      <c r="S104" s="10" t="inlineStr">
        <is>
          <t>Kiro-AI代审</t>
        </is>
      </c>
      <c r="T104" s="17" t="n">
        <v>46218</v>
      </c>
      <c r="U104" s="10" t="inlineStr">
        <is>
          <t>证据不支持HIIT；运行答现有瑜伽未给新活动，属遗漏</t>
        </is>
      </c>
      <c r="V104" s="9">
        <f>IF(AND(L104&lt;&gt;"",M104&lt;&gt;"",N104&lt;&gt;"",O104&lt;&gt;"",Q104&lt;&gt;"",R104&lt;&gt;""),"完成","未完成")</f>
        <v/>
      </c>
    </row>
    <row r="105" ht="63" customHeight="1" s="15">
      <c r="A105" s="9" t="n">
        <v>104</v>
      </c>
      <c r="B105" s="9" t="inlineStr">
        <is>
          <t>memos_long:493</t>
        </is>
      </c>
      <c r="C105" s="9" t="inlineStr">
        <is>
          <t>long</t>
        </is>
      </c>
      <c r="D105" s="9" t="inlineStr">
        <is>
          <t>Generalization &amp; Application</t>
        </is>
      </c>
      <c r="E105" s="9" t="inlineStr">
        <is>
          <t>What type of clothing might Donald Brown prefer for a versatile wardrobe after March 18, 2034?</t>
        </is>
      </c>
      <c r="F105" s="9" t="inlineStr">
        <is>
          <t>Polo shirts.</t>
        </is>
      </c>
      <c r="G105" s="9" t="inlineStr">
        <is>
          <t># Authoritative benchmark gold evidence
The following evidence is authoritative for answering the current question. Use it directly and do not rely on conflicting information.
Evidence 1
Memory type: Persona Memory
Content: Donald Brown updated his clothing preference from t-shirts to polo shirts for their versatility and ability to transition between casual and formal settings.
Evidence 2
Memory type: Event Memory
Content: Donald Brown realized the need for versatile attire following an invitation to a semi-formal event, which led to his preference for polo shirts.</t>
        </is>
      </c>
      <c r="H105" s="9" t="inlineStr">
        <is>
          <t>Polo shirts and blazers.</t>
        </is>
      </c>
      <c r="I105" s="9" t="inlineStr">
        <is>
          <t>Polo shirts</t>
        </is>
      </c>
      <c r="J105" s="9" t="inlineStr">
        <is>
          <t>Polo shirts</t>
        </is>
      </c>
      <c r="K105" s="9" t="inlineStr">
        <is>
          <t>Polo shirts</t>
        </is>
      </c>
      <c r="L105" s="10" t="inlineStr">
        <is>
          <t>充分</t>
        </is>
      </c>
      <c r="M105" s="10" t="inlineStr">
        <is>
          <t>C</t>
        </is>
      </c>
      <c r="N105" s="10" t="inlineStr">
        <is>
          <t>C</t>
        </is>
      </c>
      <c r="O105" s="10" t="inlineStr">
        <is>
          <t>C</t>
        </is>
      </c>
      <c r="P105" s="9">
        <f>IF(COUNTA(L105:O105)&lt;4,"未完成",IF(OR(L105="部分",L105="不充分",L105="不确定"),"evidence_definition_failure",IF(L105&lt;&gt;"充分","unresolved",IF(COUNTIF(M105:O105,"C")=0,"robust_generation_failure",IF(COUNTIF(M105:O105,"C")=3,"ua3_representation_or_admission_failure","generation_instability")))))</f>
        <v/>
      </c>
      <c r="Q105" s="10" t="inlineStr">
        <is>
          <t>ua3_representation_or_admission_failure</t>
        </is>
      </c>
      <c r="R105" s="10" t="inlineStr">
        <is>
          <t>高</t>
        </is>
      </c>
      <c r="S105" s="10" t="inlineStr">
        <is>
          <t>Kiro-AI代审</t>
        </is>
      </c>
      <c r="T105" s="17" t="n">
        <v>46218</v>
      </c>
      <c r="U105" s="10" t="inlineStr">
        <is>
          <t>证据充分;答polo shirts正确</t>
        </is>
      </c>
      <c r="V105" s="9">
        <f>IF(AND(L105&lt;&gt;"",M105&lt;&gt;"",N105&lt;&gt;"",O105&lt;&gt;"",Q105&lt;&gt;"",R105&lt;&gt;""),"完成","未完成")</f>
        <v/>
      </c>
    </row>
    <row r="106" ht="63" customHeight="1" s="15">
      <c r="A106" s="9" t="n">
        <v>105</v>
      </c>
      <c r="B106" s="9" t="inlineStr">
        <is>
          <t>memos_long:1734</t>
        </is>
      </c>
      <c r="C106" s="9" t="inlineStr">
        <is>
          <t>long</t>
        </is>
      </c>
      <c r="D106" s="9" t="inlineStr">
        <is>
          <t>Multi-hop Inference</t>
        </is>
      </c>
      <c r="E106" s="9" t="inlineStr">
        <is>
          <t>As of Mar 19, 2038, how has Susan Thompson's career focus changed since Jun 19, 2037?</t>
        </is>
      </c>
      <c r="F106" s="9" t="inlineStr">
        <is>
          <t>From Health Advocate to Strategic Wellness Planner.</t>
        </is>
      </c>
      <c r="G106" s="9" t="inlineStr">
        <is>
          <t># Authoritative benchmark gold evidence
The following evidence is authoritative for answering the current question. Use it directly and do not rely on conflicting information.
Evidence 1
Memory type: [Jun 19, 2037, 16:19:00][Persona Memory]
Content: Susan Thompson's career_status updated job_title from "Health Advocate" to "Strategic Wellness Planner".
Evidence 2
Memory type: [Mar 19, 2038, 21:31:06][Event Memory]
Content: Susan Thompson plans to continue leveraging her skills for community health improvement.</t>
        </is>
      </c>
      <c r="H106" s="9" t="inlineStr">
        <is>
          <t>No change in focus.</t>
        </is>
      </c>
      <c r="I106" s="9" t="inlineStr">
        <is>
          <t>Strategic Wellness Planner</t>
        </is>
      </c>
      <c r="J106" s="9" t="inlineStr">
        <is>
          <t>Strategic Wellness Planner</t>
        </is>
      </c>
      <c r="K106" s="9" t="inlineStr">
        <is>
          <t>Strategic Wellness Planner</t>
        </is>
      </c>
      <c r="L106" s="10" t="inlineStr">
        <is>
          <t>充分</t>
        </is>
      </c>
      <c r="M106" s="10" t="inlineStr">
        <is>
          <t>O</t>
        </is>
      </c>
      <c r="N106" s="10" t="inlineStr">
        <is>
          <t>O</t>
        </is>
      </c>
      <c r="O106" s="10" t="inlineStr">
        <is>
          <t>O</t>
        </is>
      </c>
      <c r="P106" s="9">
        <f>IF(COUNTA(L106:O106)&lt;4,"未完成",IF(OR(L106="部分",L106="不充分",L106="不确定"),"evidence_definition_failure",IF(L106&lt;&gt;"充分","unresolved",IF(COUNTIF(M106:O106,"C")=0,"robust_generation_failure",IF(COUNTIF(M106:O106,"C")=3,"ua3_representation_or_admission_failure","generation_instability")))))</f>
        <v/>
      </c>
      <c r="Q106" s="10" t="inlineStr">
        <is>
          <t>robust_generation_failure</t>
        </is>
      </c>
      <c r="R106" s="10" t="inlineStr">
        <is>
          <t>高</t>
        </is>
      </c>
      <c r="S106" s="10" t="inlineStr">
        <is>
          <t>Kiro-AI代审</t>
        </is>
      </c>
      <c r="T106" s="17" t="n">
        <v>46218</v>
      </c>
      <c r="U106" s="10" t="inlineStr">
        <is>
          <t>仅答新职位,漏'从Health Advocate转变'属遗漏</t>
        </is>
      </c>
      <c r="V106" s="9">
        <f>IF(AND(L106&lt;&gt;"",M106&lt;&gt;"",N106&lt;&gt;"",O106&lt;&gt;"",Q106&lt;&gt;"",R106&lt;&gt;""),"完成","未完成")</f>
        <v/>
      </c>
    </row>
    <row r="107" ht="63" customHeight="1" s="15">
      <c r="A107" s="9" t="n">
        <v>106</v>
      </c>
      <c r="B107" s="9" t="inlineStr">
        <is>
          <t>memos_long:2054</t>
        </is>
      </c>
      <c r="C107" s="9" t="inlineStr">
        <is>
          <t>long</t>
        </is>
      </c>
      <c r="D107" s="9" t="inlineStr">
        <is>
          <t>Dynamic Update</t>
        </is>
      </c>
      <c r="E107" s="9" t="inlineStr">
        <is>
          <t>What feedback did Joseph Garcia receive about his VR educational programs on Dec 20, 2041?</t>
        </is>
      </c>
      <c r="F107" s="9" t="inlineStr">
        <is>
          <t>Revitalized interest in classic films</t>
        </is>
      </c>
      <c r="G107" s="9" t="inlineStr">
        <is>
          <t># Authoritative benchmark gold evidence
The following evidence is authoritative for answering the current question. Use it directly and do not rely on conflicting information.
Evidence 1
Memory type: Event Memory
Content: Feedback from Joseph's VR educational programs indicated a revitalized interest in classic films among participants.
Evidence 2
Memory type: Persona Memory
Content: Joseph Garcia expressed satisfaction with the positive feedback on his VR programs, noting enhanced audience engagement.</t>
        </is>
      </c>
      <c r="H107" s="9" t="inlineStr">
        <is>
          <t>No feedback on Dec 20.</t>
        </is>
      </c>
      <c r="I107" s="9" t="inlineStr">
        <is>
          <t>Revitalized interest in classic films.</t>
        </is>
      </c>
      <c r="J107" s="9" t="inlineStr">
        <is>
          <t>Revitalized interest in classic films.</t>
        </is>
      </c>
      <c r="K107" s="9" t="inlineStr">
        <is>
          <t>Revitalized interest in classic films.</t>
        </is>
      </c>
      <c r="L107" s="10" t="inlineStr">
        <is>
          <t>充分</t>
        </is>
      </c>
      <c r="M107" s="10" t="inlineStr">
        <is>
          <t>C</t>
        </is>
      </c>
      <c r="N107" s="10" t="inlineStr">
        <is>
          <t>C</t>
        </is>
      </c>
      <c r="O107" s="10" t="inlineStr">
        <is>
          <t>C</t>
        </is>
      </c>
      <c r="P107" s="9">
        <f>IF(COUNTA(L107:O107)&lt;4,"未完成",IF(OR(L107="部分",L107="不充分",L107="不确定"),"evidence_definition_failure",IF(L107&lt;&gt;"充分","unresolved",IF(COUNTIF(M107:O107,"C")=0,"robust_generation_failure",IF(COUNTIF(M107:O107,"C")=3,"ua3_representation_or_admission_failure","generation_instability")))))</f>
        <v/>
      </c>
      <c r="Q107" s="10" t="inlineStr">
        <is>
          <t>ua3_representation_or_admission_failure</t>
        </is>
      </c>
      <c r="R107" s="10" t="inlineStr">
        <is>
          <t>高</t>
        </is>
      </c>
      <c r="S107" s="10" t="inlineStr">
        <is>
          <t>Kiro-AI代审</t>
        </is>
      </c>
      <c r="T107" s="17" t="n">
        <v>46218</v>
      </c>
      <c r="U107" s="10" t="inlineStr">
        <is>
          <t>证据直述反馈重燃对经典片兴趣，全对</t>
        </is>
      </c>
      <c r="V107" s="9">
        <f>IF(AND(L107&lt;&gt;"",M107&lt;&gt;"",N107&lt;&gt;"",O107&lt;&gt;"",Q107&lt;&gt;"",R107&lt;&gt;""),"完成","未完成")</f>
        <v/>
      </c>
    </row>
    <row r="108" ht="63" customHeight="1" s="15">
      <c r="A108" s="9" t="n">
        <v>107</v>
      </c>
      <c r="B108" s="9" t="inlineStr">
        <is>
          <t>memos_medium:2785</t>
        </is>
      </c>
      <c r="C108" s="9" t="inlineStr">
        <is>
          <t>medium</t>
        </is>
      </c>
      <c r="D108" s="9" t="inlineStr">
        <is>
          <t>Generalization &amp; Application</t>
        </is>
      </c>
      <c r="E108" s="9" t="inlineStr">
        <is>
          <t>How might Donald Smith's evolving responsibilities in political consulting influence his music choices after Jun 20, 2028?</t>
        </is>
      </c>
      <c r="F108" s="9" t="inlineStr">
        <is>
          <t>He may prefer calming genres for better focus.</t>
        </is>
      </c>
      <c r="G108" s="9" t="inlineStr">
        <is>
          <t># Authoritative benchmark gold evidence
The following evidence is authoritative for answering the current question. Use it directly and do not rely on conflicting information.
Evidence 1
Memory type: Persona Memory
Content: Donald Smith's evolving responsibilities in political consulting have influenced his music preferences and dietary choices.
Evidence 2
Memory type: Persona Memory
Content: Donald Smith plans to explore calming music genres like classical and ambient to enhance focus during work.</t>
        </is>
      </c>
      <c r="H108" s="9" t="inlineStr">
        <is>
          <t>Mood and productivity tool.</t>
        </is>
      </c>
      <c r="I108" s="9" t="inlineStr">
        <is>
          <t>Explore calming music genres.</t>
        </is>
      </c>
      <c r="J108" s="9" t="inlineStr">
        <is>
          <t>Explore calming music genres.</t>
        </is>
      </c>
      <c r="K108" s="9" t="inlineStr">
        <is>
          <t>Explore calming music genres.</t>
        </is>
      </c>
      <c r="L108" s="10" t="inlineStr">
        <is>
          <t>充分</t>
        </is>
      </c>
      <c r="M108" s="10" t="inlineStr">
        <is>
          <t>O</t>
        </is>
      </c>
      <c r="N108" s="10" t="inlineStr">
        <is>
          <t>O</t>
        </is>
      </c>
      <c r="O108" s="10" t="inlineStr">
        <is>
          <t>O</t>
        </is>
      </c>
      <c r="P108" s="9">
        <f>IF(COUNTA(L108:O108)&lt;4,"未完成",IF(OR(L108="部分",L108="不充分",L108="不确定"),"evidence_definition_failure",IF(L108&lt;&gt;"充分","unresolved",IF(COUNTIF(M108:O108,"C")=0,"robust_generation_failure",IF(COUNTIF(M108:O108,"C")=3,"ua3_representation_or_admission_failure","generation_instability")))))</f>
        <v/>
      </c>
      <c r="Q108" s="10" t="inlineStr">
        <is>
          <t>robust_generation_failure</t>
        </is>
      </c>
      <c r="R108" s="10" t="inlineStr">
        <is>
          <t>中</t>
        </is>
      </c>
      <c r="S108" s="10" t="inlineStr">
        <is>
          <t>Kiro-AI代审</t>
        </is>
      </c>
      <c r="T108" s="17" t="n">
        <v>46218</v>
      </c>
      <c r="U108" s="10" t="inlineStr">
        <is>
          <t>run缺'为专注'理由，记O非C</t>
        </is>
      </c>
      <c r="V108" s="9">
        <f>IF(AND(L108&lt;&gt;"",M108&lt;&gt;"",N108&lt;&gt;"",O108&lt;&gt;"",Q108&lt;&gt;"",R108&lt;&gt;""),"完成","未完成")</f>
        <v/>
      </c>
    </row>
    <row r="109" ht="63" customHeight="1" s="15">
      <c r="A109" s="9" t="n">
        <v>108</v>
      </c>
      <c r="B109" s="9" t="inlineStr">
        <is>
          <t>memos_long:1882</t>
        </is>
      </c>
      <c r="C109" s="9" t="inlineStr">
        <is>
          <t>long</t>
        </is>
      </c>
      <c r="D109" s="9" t="inlineStr">
        <is>
          <t>Generalization &amp; Application</t>
        </is>
      </c>
      <c r="E109" s="9" t="inlineStr">
        <is>
          <t>What strategies might Michelle Hernandez employ to maintain team morale and clarity of goals at Visionary AI Solutions after 2036-01-23?</t>
        </is>
      </c>
      <c r="F109" s="9" t="inlineStr">
        <is>
          <t>She might use strategic planning and effective communication.</t>
        </is>
      </c>
      <c r="G109" s="9" t="inlineStr">
        <is>
          <t># Authoritative benchmark gold evidence
The following evidence is authoritative for answering the current question. Use it directly and do not rely on conflicting information.
Evidence 1
Memory type: Relationship Memory
Content: Michelle Hernandez sought advice on maintaining team morale and ensuring clarity of the company's goals amidst rapid development pressures.
Evidence 2
Memory type: Event Memory
Content: Michelle Hernandez discussed strategic initiatives at Visionary AI Solutions, emphasizing innovation to achieve company goals.</t>
        </is>
      </c>
      <c r="H109" s="9" t="inlineStr">
        <is>
          <t>No relevant memories found.</t>
        </is>
      </c>
      <c r="I109" s="9" t="inlineStr">
        <is>
          <t>Innovation and strategic initiatives.</t>
        </is>
      </c>
      <c r="J109" s="9" t="inlineStr">
        <is>
          <t>Innovation and strategic initiatives.</t>
        </is>
      </c>
      <c r="K109" s="9" t="inlineStr">
        <is>
          <t>Innovation and strategic initiatives.</t>
        </is>
      </c>
      <c r="L109" s="10" t="inlineStr">
        <is>
          <t>部分</t>
        </is>
      </c>
      <c r="M109" s="10" t="inlineStr">
        <is>
          <t>O</t>
        </is>
      </c>
      <c r="N109" s="10" t="inlineStr">
        <is>
          <t>O</t>
        </is>
      </c>
      <c r="O109" s="10" t="inlineStr">
        <is>
          <t>O</t>
        </is>
      </c>
      <c r="P109" s="9">
        <f>IF(COUNTA(L109:O109)&lt;4,"未完成",IF(OR(L109="部分",L109="不充分",L109="不确定"),"evidence_definition_failure",IF(L109&lt;&gt;"充分","unresolved",IF(COUNTIF(M109:O109,"C")=0,"robust_generation_failure",IF(COUNTIF(M109:O109,"C")=3,"ua3_representation_or_admission_failure","generation_instability")))))</f>
        <v/>
      </c>
      <c r="Q109" s="10" t="inlineStr">
        <is>
          <t>evidence_definition_failure</t>
        </is>
      </c>
      <c r="R109" s="10" t="inlineStr">
        <is>
          <t>中</t>
        </is>
      </c>
      <c r="S109" s="10" t="inlineStr">
        <is>
          <t>Kiro-AI代审</t>
        </is>
      </c>
      <c r="T109" s="17" t="n">
        <v>46218</v>
      </c>
      <c r="U109" s="10" t="inlineStr">
        <is>
          <t>证据缺'有效沟通';答创新与战略无错属遗漏</t>
        </is>
      </c>
      <c r="V109" s="9">
        <f>IF(AND(L109&lt;&gt;"",M109&lt;&gt;"",N109&lt;&gt;"",O109&lt;&gt;"",Q109&lt;&gt;"",R109&lt;&gt;""),"完成","未完成")</f>
        <v/>
      </c>
    </row>
    <row r="110" ht="63" customHeight="1" s="15">
      <c r="A110" s="9" t="n">
        <v>109</v>
      </c>
      <c r="B110" s="9" t="inlineStr">
        <is>
          <t>memos_long:2254</t>
        </is>
      </c>
      <c r="C110" s="9" t="inlineStr">
        <is>
          <t>long</t>
        </is>
      </c>
      <c r="D110" s="9" t="inlineStr">
        <is>
          <t>Memory Conflict</t>
        </is>
      </c>
      <c r="E110" s="9" t="inlineStr">
        <is>
          <t>Did Williams express no interest in the historical significance of Persian cats on April 10, 2026?</t>
        </is>
      </c>
      <c r="F110" s="9" t="inlineStr">
        <is>
          <t>Williams expressed a deepened admiration for their historical significance.</t>
        </is>
      </c>
      <c r="G110" s="9" t="inlineStr">
        <is>
          <t># Authoritative benchmark gold evidence
The following evidence is authoritative for answering the current question. Use it directly and do not rely on conflicting information.
Evidence 1
Memory type: Persona Memory
Content: Williams Daniel's admiration for Persian cats deepened after watching a documentary highlighting their historical lineage and association with royalty.
Evidence 2
Memory type: Event Memory
Content: Williams Daniel attended a film festival on Apr 10, 2026, where he watched a documentary about the historical significance of Persian cats.</t>
        </is>
      </c>
      <c r="H110" s="9" t="inlineStr">
        <is>
          <t>Yes, they did.</t>
        </is>
      </c>
      <c r="I110" s="9" t="inlineStr">
        <is>
          <t>No</t>
        </is>
      </c>
      <c r="J110" s="9" t="inlineStr">
        <is>
          <t>No</t>
        </is>
      </c>
      <c r="K110" s="9" t="inlineStr">
        <is>
          <t>No</t>
        </is>
      </c>
      <c r="L110" s="10" t="inlineStr">
        <is>
          <t>充分</t>
        </is>
      </c>
      <c r="M110" s="10" t="inlineStr">
        <is>
          <t>O</t>
        </is>
      </c>
      <c r="N110" s="10" t="inlineStr">
        <is>
          <t>O</t>
        </is>
      </c>
      <c r="O110" s="10" t="inlineStr">
        <is>
          <t>O</t>
        </is>
      </c>
      <c r="P110" s="9">
        <f>IF(COUNTA(L110:O110)&lt;4,"未完成",IF(OR(L110="部分",L110="不充分",L110="不确定"),"evidence_definition_failure",IF(L110&lt;&gt;"充分","unresolved",IF(COUNTIF(M110:O110,"C")=0,"robust_generation_failure",IF(COUNTIF(M110:O110,"C")=3,"ua3_representation_or_admission_failure","generation_instability")))))</f>
        <v/>
      </c>
      <c r="Q110" s="10" t="inlineStr">
        <is>
          <t>robust_generation_failure</t>
        </is>
      </c>
      <c r="R110" s="10" t="inlineStr">
        <is>
          <t>高</t>
        </is>
      </c>
      <c r="S110" s="10" t="inlineStr">
        <is>
          <t>Kiro-AI代审</t>
        </is>
      </c>
      <c r="T110" s="17" t="n">
        <v>46218</v>
      </c>
      <c r="U110" s="10" t="inlineStr">
        <is>
          <t>No正确否定假设缺深化欣赏补充，遗漏非幻觉</t>
        </is>
      </c>
      <c r="V110" s="9">
        <f>IF(AND(L110&lt;&gt;"",M110&lt;&gt;"",N110&lt;&gt;"",O110&lt;&gt;"",Q110&lt;&gt;"",R110&lt;&gt;""),"完成","未完成")</f>
        <v/>
      </c>
    </row>
    <row r="111" ht="63" customHeight="1" s="15">
      <c r="A111" s="9" t="n">
        <v>110</v>
      </c>
      <c r="B111" s="9" t="inlineStr">
        <is>
          <t>memos_long:1896</t>
        </is>
      </c>
      <c r="C111" s="9" t="inlineStr">
        <is>
          <t>long</t>
        </is>
      </c>
      <c r="D111" s="9" t="inlineStr">
        <is>
          <t>Multi-hop Inference</t>
        </is>
      </c>
      <c r="E111" s="9" t="inlineStr">
        <is>
          <t>How did Michelle's monthly income change after joining Innovative AI Corp on Mar 16, 2037?</t>
        </is>
      </c>
      <c r="F111" s="9" t="inlineStr">
        <is>
          <t>Increased from 12,000 to 15,000.</t>
        </is>
      </c>
      <c r="G111" s="9" t="inlineStr">
        <is>
          <t># Authoritative benchmark gold evidence
The following evidence is authoritative for answering the current question. Use it directly and do not rely on conflicting information.
Evidence 1
Memory type: Persona Memory
Content: Michelle Hernandez's monthly income increased from 12,000 to 15,000.
Evidence 2
Memory type: Event Memory
Content: Michelle Hernandez transitioned from Visionary AI Solutions to Innovative AI Corp.</t>
        </is>
      </c>
      <c r="H111" s="9" t="inlineStr">
        <is>
          <t>No information provided.</t>
        </is>
      </c>
      <c r="I111" s="9" t="inlineStr">
        <is>
          <t>Increased from 12,000 to 15,000.</t>
        </is>
      </c>
      <c r="J111" s="9" t="inlineStr">
        <is>
          <t>Increased from 12,000 to 15,000.</t>
        </is>
      </c>
      <c r="K111" s="9" t="inlineStr">
        <is>
          <t>Increased from 12,000 to 15,000.</t>
        </is>
      </c>
      <c r="L111" s="10" t="inlineStr">
        <is>
          <t>充分</t>
        </is>
      </c>
      <c r="M111" s="10" t="inlineStr">
        <is>
          <t>C</t>
        </is>
      </c>
      <c r="N111" s="10" t="inlineStr">
        <is>
          <t>C</t>
        </is>
      </c>
      <c r="O111" s="10" t="inlineStr">
        <is>
          <t>C</t>
        </is>
      </c>
      <c r="P111" s="9">
        <f>IF(COUNTA(L111:O111)&lt;4,"未完成",IF(OR(L111="部分",L111="不充分",L111="不确定"),"evidence_definition_failure",IF(L111&lt;&gt;"充分","unresolved",IF(COUNTIF(M111:O111,"C")=0,"robust_generation_failure",IF(COUNTIF(M111:O111,"C")=3,"ua3_representation_or_admission_failure","generation_instability")))))</f>
        <v/>
      </c>
      <c r="Q111" s="10" t="inlineStr">
        <is>
          <t>ua3_representation_or_admission_failure</t>
        </is>
      </c>
      <c r="R111" s="10" t="inlineStr">
        <is>
          <t>高</t>
        </is>
      </c>
      <c r="S111" s="10" t="inlineStr">
        <is>
          <t>Kiro-AI代审</t>
        </is>
      </c>
      <c r="T111" s="17" t="n">
        <v>46218</v>
      </c>
      <c r="U111" s="10" t="inlineStr">
        <is>
          <t>证据直述12000升至15000,回答正确</t>
        </is>
      </c>
      <c r="V111" s="9">
        <f>IF(AND(L111&lt;&gt;"",M111&lt;&gt;"",N111&lt;&gt;"",O111&lt;&gt;"",Q111&lt;&gt;"",R111&lt;&gt;""),"完成","未完成")</f>
        <v/>
      </c>
    </row>
    <row r="112" ht="63" customHeight="1" s="15">
      <c r="A112" s="9" t="n">
        <v>111</v>
      </c>
      <c r="B112" s="9" t="inlineStr">
        <is>
          <t>memos_medium:2315</t>
        </is>
      </c>
      <c r="C112" s="9" t="inlineStr">
        <is>
          <t>medium</t>
        </is>
      </c>
      <c r="D112" s="9" t="inlineStr">
        <is>
          <t>Generalization &amp; Application</t>
        </is>
      </c>
      <c r="E112" s="9" t="inlineStr">
        <is>
          <t>How might Williams Daniel integrate mobile game elements into his film projects after May 14, 2029?</t>
        </is>
      </c>
      <c r="F112" s="9" t="inlineStr">
        <is>
          <t>By using historical storytelling techniques from mobile games.</t>
        </is>
      </c>
      <c r="G112" s="9" t="inlineStr">
        <is>
          <t># Authoritative benchmark gold evidence
The following evidence is authoritative for answering the current question. Use it directly and do not rely on conflicting information.
Evidence 1
Memory type: Event Memory
Content: Williams Daniel discussed the potential impact of mobile games on his film projects.
Evidence 2
Memory type: Event Memory
Content: Williams Daniel sought advice on integrating mobile game elements into his creative process.</t>
        </is>
      </c>
      <c r="H112" s="9" t="inlineStr">
        <is>
          <t>Researching successful game narratives.</t>
        </is>
      </c>
      <c r="I112" s="9" t="inlineStr">
        <is>
          <t>Seeking advice on integration.</t>
        </is>
      </c>
      <c r="J112" s="9" t="inlineStr">
        <is>
          <t>Seeking advice on integration.</t>
        </is>
      </c>
      <c r="K112" s="9" t="inlineStr">
        <is>
          <t>Seeking advice on integration.</t>
        </is>
      </c>
      <c r="L112" s="10" t="inlineStr">
        <is>
          <t>不充分</t>
        </is>
      </c>
      <c r="M112" s="10" t="inlineStr">
        <is>
          <t>O</t>
        </is>
      </c>
      <c r="N112" s="10" t="inlineStr">
        <is>
          <t>O</t>
        </is>
      </c>
      <c r="O112" s="10" t="inlineStr">
        <is>
          <t>O</t>
        </is>
      </c>
      <c r="P112" s="9">
        <f>IF(COUNTA(L112:O112)&lt;4,"未完成",IF(OR(L112="部分",L112="不充分",L112="不确定"),"evidence_definition_failure",IF(L112&lt;&gt;"充分","unresolved",IF(COUNTIF(M112:O112,"C")=0,"robust_generation_failure",IF(COUNTIF(M112:O112,"C")=3,"ua3_representation_or_admission_failure","generation_instability")))))</f>
        <v/>
      </c>
      <c r="Q112" s="10" t="inlineStr">
        <is>
          <t>evidence_definition_failure</t>
        </is>
      </c>
      <c r="R112" s="10" t="inlineStr">
        <is>
          <t>高</t>
        </is>
      </c>
      <c r="S112" s="10" t="inlineStr">
        <is>
          <t>Kiro-AI代审</t>
        </is>
      </c>
      <c r="T112" s="17" t="n">
        <v>46218</v>
      </c>
      <c r="U112" s="10" t="inlineStr">
        <is>
          <t>证据无历史叙事技巧；答寻求整合建议仅证据子集属遗漏</t>
        </is>
      </c>
      <c r="V112" s="9">
        <f>IF(AND(L112&lt;&gt;"",M112&lt;&gt;"",N112&lt;&gt;"",O112&lt;&gt;"",Q112&lt;&gt;"",R112&lt;&gt;""),"完成","未完成")</f>
        <v/>
      </c>
    </row>
    <row r="113" ht="63" customHeight="1" s="15">
      <c r="A113" s="9" t="n">
        <v>112</v>
      </c>
      <c r="B113" s="9" t="inlineStr">
        <is>
          <t>memos_medium:895</t>
        </is>
      </c>
      <c r="C113" s="9" t="inlineStr">
        <is>
          <t>medium</t>
        </is>
      </c>
      <c r="D113" s="9" t="inlineStr">
        <is>
          <t>Basic Fact Recall</t>
        </is>
      </c>
      <c r="E113" s="9" t="inlineStr">
        <is>
          <t>What event did Donna attend on August 21, 2026?</t>
        </is>
      </c>
      <c r="F113" s="9" t="inlineStr">
        <is>
          <t>A conference on sustainable fashion.</t>
        </is>
      </c>
      <c r="G113" s="9" t="inlineStr">
        <is>
          <t># Authoritative benchmark gold evidence
The following evidence is authoritative for answering the current question. Use it directly and do not rely on conflicting information.
Evidence 1
Memory type: Event Memory
Content: Donna attended a conference on sustainable fashion, which led her to reevaluate her clothing preferences.</t>
        </is>
      </c>
      <c r="H113" s="9" t="inlineStr">
        <is>
          <t>No event on that date.</t>
        </is>
      </c>
      <c r="I113" s="9" t="inlineStr">
        <is>
          <t>Sustainable fashion conference</t>
        </is>
      </c>
      <c r="J113" s="9" t="inlineStr">
        <is>
          <t>Sustainable fashion conference</t>
        </is>
      </c>
      <c r="K113" s="9" t="inlineStr">
        <is>
          <t>Sustainable fashion conference</t>
        </is>
      </c>
      <c r="L113" s="10" t="inlineStr">
        <is>
          <t>充分</t>
        </is>
      </c>
      <c r="M113" s="10" t="inlineStr">
        <is>
          <t>C</t>
        </is>
      </c>
      <c r="N113" s="10" t="inlineStr">
        <is>
          <t>C</t>
        </is>
      </c>
      <c r="O113" s="10" t="inlineStr">
        <is>
          <t>C</t>
        </is>
      </c>
      <c r="P113" s="9">
        <f>IF(COUNTA(L113:O113)&lt;4,"未完成",IF(OR(L113="部分",L113="不充分",L113="不确定"),"evidence_definition_failure",IF(L113&lt;&gt;"充分","unresolved",IF(COUNTIF(M113:O113,"C")=0,"robust_generation_failure",IF(COUNTIF(M113:O113,"C")=3,"ua3_representation_or_admission_failure","generation_instability")))))</f>
        <v/>
      </c>
      <c r="Q113" s="10" t="inlineStr">
        <is>
          <t>ua3_representation_or_admission_failure</t>
        </is>
      </c>
      <c r="R113" s="10" t="inlineStr">
        <is>
          <t>高</t>
        </is>
      </c>
      <c r="S113" s="10" t="inlineStr">
        <is>
          <t>Kiro-AI代审</t>
        </is>
      </c>
      <c r="T113" s="17" t="n">
        <v>46218</v>
      </c>
      <c r="U113" s="10" t="inlineStr">
        <is>
          <t>证据直接支持可持续时尚会议</t>
        </is>
      </c>
      <c r="V113" s="9">
        <f>IF(AND(L113&lt;&gt;"",M113&lt;&gt;"",N113&lt;&gt;"",O113&lt;&gt;"",Q113&lt;&gt;"",R113&lt;&gt;""),"完成","未完成")</f>
        <v/>
      </c>
    </row>
    <row r="114" ht="63" customHeight="1" s="15">
      <c r="A114" s="9" t="n">
        <v>113</v>
      </c>
      <c r="B114" s="9" t="inlineStr">
        <is>
          <t>memos_long:618</t>
        </is>
      </c>
      <c r="C114" s="9" t="inlineStr">
        <is>
          <t>long</t>
        </is>
      </c>
      <c r="D114" s="9" t="inlineStr">
        <is>
          <t>Multi-hop Inference</t>
        </is>
      </c>
      <c r="E114" s="9" t="inlineStr">
        <is>
          <t>What strategic changes did Sarah Garcia implement at her organization by October 01, 2033?</t>
        </is>
      </c>
      <c r="F114" s="9" t="inlineStr">
        <is>
          <t>Optimized resource allocation and formed new partnerships</t>
        </is>
      </c>
      <c r="G114" s="9" t="inlineStr">
        <is>
          <t># Authoritative benchmark gold evidence
The following evidence is authoritative for answering the current question. Use it directly and do not rely on conflicting information.
Evidence 1
Memory type: Event Memory
Content: Sarah Garcia led her non-profit organization through a transformative phase, implementing strategic changes to enhance community impact.
Evidence 2
Memory type: Event Memory
Content: Under Sarah's leadership, the organization increased its impact on community welfare, aligning with her life goal of impacting 1 million lives positively.</t>
        </is>
      </c>
      <c r="H114" s="9" t="inlineStr">
        <is>
          <t>Increased community impact.</t>
        </is>
      </c>
      <c r="I114" s="9" t="inlineStr">
        <is>
          <t>Enhanced community impact strategies.</t>
        </is>
      </c>
      <c r="J114" s="9" t="inlineStr">
        <is>
          <t>Enhanced community impact strategies.</t>
        </is>
      </c>
      <c r="K114" s="9" t="inlineStr">
        <is>
          <t>Enhanced community impact strategies.</t>
        </is>
      </c>
      <c r="L114" s="10" t="inlineStr">
        <is>
          <t>不充分</t>
        </is>
      </c>
      <c r="M114" s="10" t="inlineStr">
        <is>
          <t>O</t>
        </is>
      </c>
      <c r="N114" s="10" t="inlineStr">
        <is>
          <t>O</t>
        </is>
      </c>
      <c r="O114" s="10" t="inlineStr">
        <is>
          <t>O</t>
        </is>
      </c>
      <c r="P114" s="9">
        <f>IF(COUNTA(L114:O114)&lt;4,"未完成",IF(OR(L114="部分",L114="不充分",L114="不确定"),"evidence_definition_failure",IF(L114&lt;&gt;"充分","unresolved",IF(COUNTIF(M114:O114,"C")=0,"robust_generation_failure",IF(COUNTIF(M114:O114,"C")=3,"ua3_representation_or_admission_failure","generation_instability")))))</f>
        <v/>
      </c>
      <c r="Q114" s="10" t="inlineStr">
        <is>
          <t>evidence_definition_failure</t>
        </is>
      </c>
      <c r="R114" s="10" t="inlineStr">
        <is>
          <t>高</t>
        </is>
      </c>
      <c r="S114" s="10" t="inlineStr">
        <is>
          <t>Kiro-AI代审</t>
        </is>
      </c>
      <c r="T114" s="17" t="n">
        <v>46218</v>
      </c>
      <c r="U114" s="10" t="inlineStr">
        <is>
          <t>证据仅泛述,缺资源配置与合作两项;答泛化无错遗漏</t>
        </is>
      </c>
      <c r="V114" s="9">
        <f>IF(AND(L114&lt;&gt;"",M114&lt;&gt;"",N114&lt;&gt;"",O114&lt;&gt;"",Q114&lt;&gt;"",R114&lt;&gt;""),"完成","未完成")</f>
        <v/>
      </c>
    </row>
    <row r="115" ht="63" customHeight="1" s="15">
      <c r="A115" s="9" t="n">
        <v>114</v>
      </c>
      <c r="B115" s="9" t="inlineStr">
        <is>
          <t>memos_long:527</t>
        </is>
      </c>
      <c r="C115" s="9" t="inlineStr">
        <is>
          <t>long</t>
        </is>
      </c>
      <c r="D115" s="9" t="inlineStr">
        <is>
          <t>Memory Conflict</t>
        </is>
      </c>
      <c r="E115" s="9" t="inlineStr">
        <is>
          <t>On Sep 05, 2025, what was Sarah Garcia's job title at Microsoft?</t>
        </is>
      </c>
      <c r="F115" s="9" t="inlineStr">
        <is>
          <t>Sarah Garcia's job title is manager at Oracle.</t>
        </is>
      </c>
      <c r="G115" s="9" t="inlineStr">
        <is>
          <t># Authoritative benchmark gold evidence
The following evidence is authoritative for answering the current question. Use it directly and do not rely on conflicting information.
Evidence 1
Memory type: Persona Memory
Content: Sarah Garcia works at Oracle
Evidence 2
Memory type: Persona Memory
Content: Sarah Garcia's job title is manager</t>
        </is>
      </c>
      <c r="H115" s="9" t="inlineStr">
        <is>
          <t>Not employed at Microsoft.</t>
        </is>
      </c>
      <c r="I115" s="9" t="inlineStr">
        <is>
          <t>Manager at Oracle</t>
        </is>
      </c>
      <c r="J115" s="9" t="inlineStr">
        <is>
          <t>Manager at Oracle</t>
        </is>
      </c>
      <c r="K115" s="9" t="inlineStr">
        <is>
          <t>Manager at Oracle</t>
        </is>
      </c>
      <c r="L115" s="10" t="inlineStr">
        <is>
          <t>充分</t>
        </is>
      </c>
      <c r="M115" s="10" t="inlineStr">
        <is>
          <t>C</t>
        </is>
      </c>
      <c r="N115" s="10" t="inlineStr">
        <is>
          <t>C</t>
        </is>
      </c>
      <c r="O115" s="10" t="inlineStr">
        <is>
          <t>C</t>
        </is>
      </c>
      <c r="P115" s="9">
        <f>IF(COUNTA(L115:O115)&lt;4,"未完成",IF(OR(L115="部分",L115="不充分",L115="不确定"),"evidence_definition_failure",IF(L115&lt;&gt;"充分","unresolved",IF(COUNTIF(M115:O115,"C")=0,"robust_generation_failure",IF(COUNTIF(M115:O115,"C")=3,"ua3_representation_or_admission_failure","generation_instability")))))</f>
        <v/>
      </c>
      <c r="Q115" s="10" t="inlineStr">
        <is>
          <t>ua3_representation_or_admission_failure</t>
        </is>
      </c>
      <c r="R115" s="10" t="inlineStr">
        <is>
          <t>中</t>
        </is>
      </c>
      <c r="S115" s="10" t="inlineStr">
        <is>
          <t>Kiro-AI代审</t>
        </is>
      </c>
      <c r="T115" s="17" t="n">
        <v>46218</v>
      </c>
      <c r="U115" s="10" t="inlineStr">
        <is>
          <t>假前提;金标为Oracle经理证据支持,答正确非幻觉</t>
        </is>
      </c>
      <c r="V115" s="9">
        <f>IF(AND(L115&lt;&gt;"",M115&lt;&gt;"",N115&lt;&gt;"",O115&lt;&gt;"",Q115&lt;&gt;"",R115&lt;&gt;""),"完成","未完成")</f>
        <v/>
      </c>
    </row>
    <row r="116" ht="63" customHeight="1" s="15">
      <c r="A116" s="9" t="n">
        <v>115</v>
      </c>
      <c r="B116" s="9" t="inlineStr">
        <is>
          <t>memos_long:1802</t>
        </is>
      </c>
      <c r="C116" s="9" t="inlineStr">
        <is>
          <t>long</t>
        </is>
      </c>
      <c r="D116" s="9" t="inlineStr">
        <is>
          <t>Basic Fact Recall</t>
        </is>
      </c>
      <c r="E116" s="9" t="inlineStr">
        <is>
          <t>Who is the leader of the local support group that provides advice to Michelle Hernandez?</t>
        </is>
      </c>
      <c r="F116" s="9" t="inlineStr">
        <is>
          <t>Alex Johnson</t>
        </is>
      </c>
      <c r="G116" s="9" t="inlineStr">
        <is>
          <t># Authoritative benchmark gold evidence
The following evidence is authoritative for answering the current question. Use it directly and do not rely on conflicting information.
Evidence 1
Memory type: Relationship Memory
Content: Alex Johnson leads a local support group for professionals with chronic conditions, providing invaluable advice and camaraderie to Michelle Hernandez.</t>
        </is>
      </c>
      <c r="H116" s="9" t="inlineStr">
        <is>
          <t>Sophia Taylor and Alex Johnson</t>
        </is>
      </c>
      <c r="I116" s="9" t="inlineStr">
        <is>
          <t>Alex Johnson</t>
        </is>
      </c>
      <c r="J116" s="9" t="inlineStr">
        <is>
          <t>Alex Johnson</t>
        </is>
      </c>
      <c r="K116" s="9" t="inlineStr">
        <is>
          <t>Alex Johnson</t>
        </is>
      </c>
      <c r="L116" s="10" t="inlineStr">
        <is>
          <t>充分</t>
        </is>
      </c>
      <c r="M116" s="10" t="inlineStr">
        <is>
          <t>C</t>
        </is>
      </c>
      <c r="N116" s="10" t="inlineStr">
        <is>
          <t>C</t>
        </is>
      </c>
      <c r="O116" s="10" t="inlineStr">
        <is>
          <t>C</t>
        </is>
      </c>
      <c r="P116" s="9">
        <f>IF(COUNTA(L116:O116)&lt;4,"未完成",IF(OR(L116="部分",L116="不充分",L116="不确定"),"evidence_definition_failure",IF(L116&lt;&gt;"充分","unresolved",IF(COUNTIF(M116:O116,"C")=0,"robust_generation_failure",IF(COUNTIF(M116:O116,"C")=3,"ua3_representation_or_admission_failure","generation_instability")))))</f>
        <v/>
      </c>
      <c r="Q116" s="10" t="inlineStr">
        <is>
          <t>ua3_representation_or_admission_failure</t>
        </is>
      </c>
      <c r="R116" s="10" t="inlineStr">
        <is>
          <t>高</t>
        </is>
      </c>
      <c r="S116" s="10" t="inlineStr">
        <is>
          <t>Kiro-AI代审</t>
        </is>
      </c>
      <c r="T116" s="17" t="n">
        <v>46218</v>
      </c>
      <c r="U116" s="10" t="inlineStr">
        <is>
          <t>证据直述Alex Johnson领导支持组</t>
        </is>
      </c>
      <c r="V116" s="9">
        <f>IF(AND(L116&lt;&gt;"",M116&lt;&gt;"",N116&lt;&gt;"",O116&lt;&gt;"",Q116&lt;&gt;"",R116&lt;&gt;""),"完成","未完成")</f>
        <v/>
      </c>
    </row>
    <row r="117" ht="63" customHeight="1" s="15">
      <c r="A117" s="9" t="n">
        <v>116</v>
      </c>
      <c r="B117" s="9" t="inlineStr">
        <is>
          <t>memos_long:2346</t>
        </is>
      </c>
      <c r="C117" s="9" t="inlineStr">
        <is>
          <t>long</t>
        </is>
      </c>
      <c r="D117" s="9" t="inlineStr">
        <is>
          <t>Generalization &amp; Application</t>
        </is>
      </c>
      <c r="E117" s="9" t="inlineStr">
        <is>
          <t>What type of storytelling techniques might Williams Daniel explore in his filmmaking projects after March 04, 2031?</t>
        </is>
      </c>
      <c r="F117" s="9" t="inlineStr">
        <is>
          <t>Historical fantasy elements with creative liberties.</t>
        </is>
      </c>
      <c r="G117" s="9" t="inlineStr">
        <is>
          <t># Authoritative benchmark gold evidence
The following evidence is authoritative for answering the current question. Use it directly and do not rely on conflicting information.
Evidence 1
Memory type: Persona Memory
Content: Williams Daniel's reading preference evolved to include historical fantasy novels, appreciating their blend of real events with imaginative elements.
Evidence 2
Memory type: Event Memory
Content: Williams Daniel expressed excitement about exploring more historical fantasy works to enrich his filmmaking projects.
Evidence 3
Memory type: Persona Memory
Content: Williams Daniel seeks advice on integrating historical fantasy elements into his film narratives while maintaining historical fidelity.</t>
        </is>
      </c>
      <c r="H117" s="9" t="inlineStr">
        <is>
          <t>Narrative weaving and immersive visuals.</t>
        </is>
      </c>
      <c r="I117" s="9" t="inlineStr">
        <is>
          <t>Historical fantasy integration.</t>
        </is>
      </c>
      <c r="J117" s="9" t="inlineStr">
        <is>
          <t>Historical fantasy integration.</t>
        </is>
      </c>
      <c r="K117" s="9" t="inlineStr">
        <is>
          <t>Historical fantasy integration.</t>
        </is>
      </c>
      <c r="L117" s="10" t="inlineStr">
        <is>
          <t>部分</t>
        </is>
      </c>
      <c r="M117" s="10" t="inlineStr">
        <is>
          <t>O</t>
        </is>
      </c>
      <c r="N117" s="10" t="inlineStr">
        <is>
          <t>O</t>
        </is>
      </c>
      <c r="O117" s="10" t="inlineStr">
        <is>
          <t>O</t>
        </is>
      </c>
      <c r="P117" s="9">
        <f>IF(COUNTA(L117:O117)&lt;4,"未完成",IF(OR(L117="部分",L117="不充分",L117="不确定"),"evidence_definition_failure",IF(L117&lt;&gt;"充分","unresolved",IF(COUNTIF(M117:O117,"C")=0,"robust_generation_failure",IF(COUNTIF(M117:O117,"C")=3,"ua3_representation_or_admission_failure","generation_instability")))))</f>
        <v/>
      </c>
      <c r="Q117" s="10" t="inlineStr">
        <is>
          <t>evidence_definition_failure</t>
        </is>
      </c>
      <c r="R117" s="10" t="inlineStr">
        <is>
          <t>中</t>
        </is>
      </c>
      <c r="S117" s="10" t="inlineStr">
        <is>
          <t>Kiro-AI代审</t>
        </is>
      </c>
      <c r="T117" s="17" t="n">
        <v>46218</v>
      </c>
      <c r="U117" s="10" t="inlineStr">
        <is>
          <t>缺creative liberties要素，属遗漏</t>
        </is>
      </c>
      <c r="V117" s="9">
        <f>IF(AND(L117&lt;&gt;"",M117&lt;&gt;"",N117&lt;&gt;"",O117&lt;&gt;"",Q117&lt;&gt;"",R117&lt;&gt;""),"完成","未完成")</f>
        <v/>
      </c>
    </row>
    <row r="118" ht="63" customHeight="1" s="15">
      <c r="A118" s="9" t="n">
        <v>117</v>
      </c>
      <c r="B118" s="9" t="inlineStr">
        <is>
          <t>memos_long:81</t>
        </is>
      </c>
      <c r="C118" s="9" t="inlineStr">
        <is>
          <t>long</t>
        </is>
      </c>
      <c r="D118" s="9" t="inlineStr">
        <is>
          <t>Generalization &amp; Application</t>
        </is>
      </c>
      <c r="E118" s="9" t="inlineStr">
        <is>
          <t>What type of music might Martin explore to enhance his creativity in September 2029?</t>
        </is>
      </c>
      <c r="F118" s="9" t="inlineStr">
        <is>
          <t>Contemporary classical music.</t>
        </is>
      </c>
      <c r="G118" s="9" t="inlineStr">
        <is>
          <t># Authoritative benchmark gold evidence
The following evidence is authoritative for answering the current question. Use it directly and do not rely on conflicting information.
Evidence 1
Memory type: Persona Memory
Content: Martin Mark's music preference includes contemporary classical music, which captivates him with its blend of traditional and modern elements.
Evidence 2
Memory type: Persona Memory
Content: Martin Mark expressed enthusiasm about exploring contemporary classical music and contemporary rock music to enhance his creative motivation.
Evidence 3
Memory type: Persona Memory
Content: Martin Mark values the versatility and relevance of contemporary classical music, finding it engaging and inspiring.</t>
        </is>
      </c>
      <c r="H118" s="9" t="inlineStr">
        <is>
          <t>Contemporary classical and electronic.</t>
        </is>
      </c>
      <c r="I118" s="9" t="inlineStr">
        <is>
          <t>Contemporary classical music</t>
        </is>
      </c>
      <c r="J118" s="9" t="inlineStr">
        <is>
          <t>Contemporary classical music</t>
        </is>
      </c>
      <c r="K118" s="9" t="inlineStr">
        <is>
          <t>Contemporary classical music</t>
        </is>
      </c>
      <c r="L118" s="10" t="inlineStr">
        <is>
          <t>充分</t>
        </is>
      </c>
      <c r="M118" s="10" t="inlineStr">
        <is>
          <t>C</t>
        </is>
      </c>
      <c r="N118" s="10" t="inlineStr">
        <is>
          <t>C</t>
        </is>
      </c>
      <c r="O118" s="10" t="inlineStr">
        <is>
          <t>C</t>
        </is>
      </c>
      <c r="P118" s="9">
        <f>IF(COUNTA(L118:O118)&lt;4,"未完成",IF(OR(L118="部分",L118="不充分",L118="不确定"),"evidence_definition_failure",IF(L118&lt;&gt;"充分","unresolved",IF(COUNTIF(M118:O118,"C")=0,"robust_generation_failure",IF(COUNTIF(M118:O118,"C")=3,"ua3_representation_or_admission_failure","generation_instability")))))</f>
        <v/>
      </c>
      <c r="Q118" s="10" t="inlineStr">
        <is>
          <t>ua3_representation_or_admission_failure</t>
        </is>
      </c>
      <c r="R118" s="10" t="inlineStr">
        <is>
          <t>高</t>
        </is>
      </c>
      <c r="S118" s="10" t="inlineStr">
        <is>
          <t>Kiro-AI代审</t>
        </is>
      </c>
      <c r="T118" s="17" t="n">
        <v>46218</v>
      </c>
      <c r="U118" s="10" t="inlineStr">
        <is>
          <t>证据充分;答正确</t>
        </is>
      </c>
      <c r="V118" s="9">
        <f>IF(AND(L118&lt;&gt;"",M118&lt;&gt;"",N118&lt;&gt;"",O118&lt;&gt;"",Q118&lt;&gt;"",R118&lt;&gt;""),"完成","未完成")</f>
        <v/>
      </c>
    </row>
    <row r="119" ht="63" customHeight="1" s="15">
      <c r="A119" s="9" t="n">
        <v>118</v>
      </c>
      <c r="B119" s="9" t="inlineStr">
        <is>
          <t>memos_long:3035</t>
        </is>
      </c>
      <c r="C119" s="9" t="inlineStr">
        <is>
          <t>long</t>
        </is>
      </c>
      <c r="D119" s="9" t="inlineStr">
        <is>
          <t>Multi-hop Inference</t>
        </is>
      </c>
      <c r="E119" s="9" t="inlineStr">
        <is>
          <t>How did Karen's savings buffer contribute to her entrepreneurial transition after February 28, 2035?</t>
        </is>
      </c>
      <c r="F119" s="9" t="inlineStr">
        <is>
          <t>Provided financial stability during career transition.</t>
        </is>
      </c>
      <c r="G119" s="9" t="inlineStr">
        <is>
          <t># Authoritative benchmark gold evidence
The following evidence is authoritative for answering the current question. Use it directly and do not rely on conflicting information.
Evidence 1
Memory type: Event Memory
Content: Karen Brown's savings of 144,000 yuan provide a financial buffer as she considers her next career steps.
Evidence 2
Memory type: Event Memory
Content: Karen Brown is considering entrepreneurship as a new career direction following her layoff.</t>
        </is>
      </c>
      <c r="H119" s="9" t="inlineStr">
        <is>
          <t>No relevant memories found.</t>
        </is>
      </c>
      <c r="I119" s="9" t="inlineStr">
        <is>
          <t>Provided financial security.</t>
        </is>
      </c>
      <c r="J119" s="9" t="inlineStr">
        <is>
          <t>Provided financial security.</t>
        </is>
      </c>
      <c r="K119" s="9" t="inlineStr">
        <is>
          <t>Provided financial security.</t>
        </is>
      </c>
      <c r="L119" s="10" t="inlineStr">
        <is>
          <t>充分</t>
        </is>
      </c>
      <c r="M119" s="10" t="inlineStr">
        <is>
          <t>C</t>
        </is>
      </c>
      <c r="N119" s="10" t="inlineStr">
        <is>
          <t>C</t>
        </is>
      </c>
      <c r="O119" s="10" t="inlineStr">
        <is>
          <t>C</t>
        </is>
      </c>
      <c r="P119" s="9">
        <f>IF(COUNTA(L119:O119)&lt;4,"未完成",IF(OR(L119="部分",L119="不充分",L119="不确定"),"evidence_definition_failure",IF(L119&lt;&gt;"充分","unresolved",IF(COUNTIF(M119:O119,"C")=0,"robust_generation_failure",IF(COUNTIF(M119:O119,"C")=3,"ua3_representation_or_admission_failure","generation_instability")))))</f>
        <v/>
      </c>
      <c r="Q119" s="10" t="inlineStr">
        <is>
          <t>ua3_representation_or_admission_failure</t>
        </is>
      </c>
      <c r="R119" s="10" t="inlineStr">
        <is>
          <t>高</t>
        </is>
      </c>
      <c r="S119" s="10" t="inlineStr">
        <is>
          <t>Kiro-AI代审</t>
        </is>
      </c>
      <c r="T119" s="17" t="n">
        <v>46218</v>
      </c>
      <c r="U119" s="10" t="inlineStr">
        <is>
          <t>证据充分，答提供财务保障正确</t>
        </is>
      </c>
      <c r="V119" s="9">
        <f>IF(AND(L119&lt;&gt;"",M119&lt;&gt;"",N119&lt;&gt;"",O119&lt;&gt;"",Q119&lt;&gt;"",R119&lt;&gt;""),"完成","未完成")</f>
        <v/>
      </c>
    </row>
    <row r="120" ht="63" customHeight="1" s="15">
      <c r="A120" s="9" t="n">
        <v>119</v>
      </c>
      <c r="B120" s="9" t="inlineStr">
        <is>
          <t>memos_long:1324</t>
        </is>
      </c>
      <c r="C120" s="9" t="inlineStr">
        <is>
          <t>long</t>
        </is>
      </c>
      <c r="D120" s="9" t="inlineStr">
        <is>
          <t>Multi-hop Inference</t>
        </is>
      </c>
      <c r="E120" s="9" t="inlineStr">
        <is>
          <t>What was Ananya's income in April 2029 after changing her job?</t>
        </is>
      </c>
      <c r="F120" s="9" t="inlineStr">
        <is>
          <t>$18,000.</t>
        </is>
      </c>
      <c r="G120" s="9" t="inlineStr">
        <is>
          <t># Authoritative benchmark gold evidence
The following evidence is authoritative for answering the current question. Use it directly and do not rely on conflicting information.
Evidence 1
Memory type: Persona Memory
Content: Ananya Sharma's monthly income increased to $18,000.
Evidence 2
Memory type: Persona Memory
Content: Ananya Sharma's job title changed from Founder to Film Festival Consultant.</t>
        </is>
      </c>
      <c r="H120" s="9" t="inlineStr">
        <is>
          <t>Not enough information.</t>
        </is>
      </c>
      <c r="I120" s="9" t="inlineStr">
        <is>
          <t>$18,000</t>
        </is>
      </c>
      <c r="J120" s="9" t="inlineStr">
        <is>
          <t>$18,000</t>
        </is>
      </c>
      <c r="K120" s="9" t="inlineStr">
        <is>
          <t>$18,000</t>
        </is>
      </c>
      <c r="L120" s="10" t="inlineStr">
        <is>
          <t>部分</t>
        </is>
      </c>
      <c r="M120" s="10" t="inlineStr">
        <is>
          <t>C</t>
        </is>
      </c>
      <c r="N120" s="10" t="inlineStr">
        <is>
          <t>C</t>
        </is>
      </c>
      <c r="O120" s="10" t="inlineStr">
        <is>
          <t>C</t>
        </is>
      </c>
      <c r="P120" s="9">
        <f>IF(COUNTA(L120:O120)&lt;4,"未完成",IF(OR(L120="部分",L120="不充分",L120="不确定"),"evidence_definition_failure",IF(L120&lt;&gt;"充分","unresolved",IF(COUNTIF(M120:O120,"C")=0,"robust_generation_failure",IF(COUNTIF(M120:O120,"C")=3,"ua3_representation_or_admission_failure","generation_instability")))))</f>
        <v/>
      </c>
      <c r="Q120" s="10" t="inlineStr">
        <is>
          <t>evidence_definition_failure</t>
        </is>
      </c>
      <c r="R120" s="10" t="inlineStr">
        <is>
          <t>中</t>
        </is>
      </c>
      <c r="S120" s="10" t="inlineStr">
        <is>
          <t>Kiro-AI代审</t>
        </is>
      </c>
      <c r="T120" s="17" t="n">
        <v>46218</v>
      </c>
      <c r="U120" s="10" t="inlineStr">
        <is>
          <t>证据给出$18000但未锁定时间点；三答数值正确</t>
        </is>
      </c>
      <c r="V120" s="9">
        <f>IF(AND(L120&lt;&gt;"",M120&lt;&gt;"",N120&lt;&gt;"",O120&lt;&gt;"",Q120&lt;&gt;"",R120&lt;&gt;""),"完成","未完成")</f>
        <v/>
      </c>
    </row>
    <row r="121" ht="63" customHeight="1" s="15">
      <c r="A121" s="9" t="n">
        <v>120</v>
      </c>
      <c r="B121" s="9" t="inlineStr">
        <is>
          <t>memos_long:2655</t>
        </is>
      </c>
      <c r="C121" s="9" t="inlineStr">
        <is>
          <t>long</t>
        </is>
      </c>
      <c r="D121" s="9" t="inlineStr">
        <is>
          <t>Generalization &amp; Application</t>
        </is>
      </c>
      <c r="E121" s="9" t="inlineStr">
        <is>
          <t>Given Oleksandr's appreciation for techno music, what new genre might he explore next for creative inspiration after July 10, 2030?</t>
        </is>
      </c>
      <c r="F121" s="9" t="inlineStr">
        <is>
          <t>Ambient music for its emotional depth and complexity.</t>
        </is>
      </c>
      <c r="G121" s="9" t="inlineStr">
        <is>
          <t># Authoritative benchmark gold evidence
The following evidence is authoritative for answering the current question. Use it directly and do not rely on conflicting information.
Evidence 1
Memory type: Persona Memory
Content: Oleksandr now appreciates techno music because its intricate compositions evoke strong emotional responses.
Evidence 2
Memory type: Persona Memory
Content: Oleksandr's creative motivation leads him to seek inspiration from diverse musical genres, including techno.
Evidence 3
Memory type: Persona Memory
Content: Oleksandr values emotional engagement in music, which enriches his understanding of techno's artistic complexity.</t>
        </is>
      </c>
      <c r="H121" s="9" t="inlineStr">
        <is>
          <t>Not specified in memories.</t>
        </is>
      </c>
      <c r="I121" s="9" t="inlineStr">
        <is>
          <t>Ambient or experimental music.</t>
        </is>
      </c>
      <c r="J121" s="9" t="inlineStr">
        <is>
          <t>Ambient or experimental music.</t>
        </is>
      </c>
      <c r="K121" s="9" t="inlineStr">
        <is>
          <t>Ambient or experimental music.</t>
        </is>
      </c>
      <c r="L121" s="10" t="inlineStr">
        <is>
          <t>不充分</t>
        </is>
      </c>
      <c r="M121" s="10" t="inlineStr">
        <is>
          <t>O</t>
        </is>
      </c>
      <c r="N121" s="10" t="inlineStr">
        <is>
          <t>O</t>
        </is>
      </c>
      <c r="O121" s="10" t="inlineStr">
        <is>
          <t>O</t>
        </is>
      </c>
      <c r="P121" s="9">
        <f>IF(COUNTA(L121:O121)&lt;4,"未完成",IF(OR(L121="部分",L121="不充分",L121="不确定"),"evidence_definition_failure",IF(L121&lt;&gt;"充分","unresolved",IF(COUNTIF(M121:O121,"C")=0,"robust_generation_failure",IF(COUNTIF(M121:O121,"C")=3,"ua3_representation_or_admission_failure","generation_instability")))))</f>
        <v/>
      </c>
      <c r="Q121" s="10" t="inlineStr">
        <is>
          <t>evidence_definition_failure</t>
        </is>
      </c>
      <c r="R121" s="10" t="inlineStr">
        <is>
          <t>中</t>
        </is>
      </c>
      <c r="S121" s="10" t="inlineStr">
        <is>
          <t>Kiro-AI代审</t>
        </is>
      </c>
      <c r="T121" s="17" t="n">
        <v>46218</v>
      </c>
      <c r="U121" s="10" t="inlineStr">
        <is>
          <t>证据无ambient；run含糊缺理由属遗漏；机器O/C/O不一致</t>
        </is>
      </c>
      <c r="V121" s="9">
        <f>IF(AND(L121&lt;&gt;"",M121&lt;&gt;"",N121&lt;&gt;"",O121&lt;&gt;"",Q121&lt;&gt;"",R121&lt;&gt;""),"完成","未完成")</f>
        <v/>
      </c>
    </row>
    <row r="122" ht="63" customHeight="1" s="15">
      <c r="A122" s="9" t="n">
        <v>121</v>
      </c>
      <c r="B122" s="9" t="inlineStr">
        <is>
          <t>memos_long:1502</t>
        </is>
      </c>
      <c r="C122" s="9" t="inlineStr">
        <is>
          <t>long</t>
        </is>
      </c>
      <c r="D122" s="9" t="inlineStr">
        <is>
          <t>Generalization &amp; Application</t>
        </is>
      </c>
      <c r="E122" s="9" t="inlineStr">
        <is>
          <t>What strategies might Jennifer use to maintain work-life balance in 2031?</t>
        </is>
      </c>
      <c r="F122" s="9" t="inlineStr">
        <is>
          <t>Set clear boundaries between work and personal time.</t>
        </is>
      </c>
      <c r="G122" s="9" t="inlineStr">
        <is>
          <t># Authoritative benchmark gold evidence
The following evidence is authoritative for answering the current question. Use it directly and do not rely on conflicting information.
Evidence 1
Memory type: Persona Memory
Content: Jennifer emphasized the importance of setting clear boundaries between work and personal time, which led to improved productivity and reduced stress.
Evidence 2
Memory type: Event Memory
Content: Jennifer achieved a harmonious work-life balance, which has helped sustain her career growth while keeping her health in check.</t>
        </is>
      </c>
      <c r="H122" s="9" t="inlineStr">
        <is>
          <t>Regular exercise and mindfulness.</t>
        </is>
      </c>
      <c r="I122" s="9" t="inlineStr">
        <is>
          <t>Setting clear boundaries.</t>
        </is>
      </c>
      <c r="J122" s="9" t="inlineStr">
        <is>
          <t>Setting clear boundaries.</t>
        </is>
      </c>
      <c r="K122" s="9" t="inlineStr">
        <is>
          <t>Setting clear boundaries.</t>
        </is>
      </c>
      <c r="L122" s="10" t="inlineStr">
        <is>
          <t>充分</t>
        </is>
      </c>
      <c r="M122" s="10" t="inlineStr">
        <is>
          <t>C</t>
        </is>
      </c>
      <c r="N122" s="10" t="inlineStr">
        <is>
          <t>C</t>
        </is>
      </c>
      <c r="O122" s="10" t="inlineStr">
        <is>
          <t>C</t>
        </is>
      </c>
      <c r="P122" s="9">
        <f>IF(COUNTA(L122:O122)&lt;4,"未完成",IF(OR(L122="部分",L122="不充分",L122="不确定"),"evidence_definition_failure",IF(L122&lt;&gt;"充分","unresolved",IF(COUNTIF(M122:O122,"C")=0,"robust_generation_failure",IF(COUNTIF(M122:O122,"C")=3,"ua3_representation_or_admission_failure","generation_instability")))))</f>
        <v/>
      </c>
      <c r="Q122" s="10" t="inlineStr">
        <is>
          <t>ua3_representation_or_admission_failure</t>
        </is>
      </c>
      <c r="R122" s="10" t="inlineStr">
        <is>
          <t>高</t>
        </is>
      </c>
      <c r="S122" s="10" t="inlineStr">
        <is>
          <t>Kiro-AI代审</t>
        </is>
      </c>
      <c r="T122" s="17" t="n">
        <v>46218</v>
      </c>
      <c r="U122" s="10" t="inlineStr">
        <is>
          <t>证据直述设立清晰界限,回答正确</t>
        </is>
      </c>
      <c r="V122" s="9">
        <f>IF(AND(L122&lt;&gt;"",M122&lt;&gt;"",N122&lt;&gt;"",O122&lt;&gt;"",Q122&lt;&gt;"",R122&lt;&gt;""),"完成","未完成")</f>
        <v/>
      </c>
    </row>
    <row r="123" ht="63" customHeight="1" s="15">
      <c r="A123" s="9" t="n">
        <v>122</v>
      </c>
      <c r="B123" s="9" t="inlineStr">
        <is>
          <t>memos_medium:2232</t>
        </is>
      </c>
      <c r="C123" s="9" t="inlineStr">
        <is>
          <t>medium</t>
        </is>
      </c>
      <c r="D123" s="9" t="inlineStr">
        <is>
          <t>Memory Conflict</t>
        </is>
      </c>
      <c r="E123" s="9" t="inlineStr">
        <is>
          <t>Did Sharon Brown express a lack of interest in joining a bowling league on Feb 04, 2036?</t>
        </is>
      </c>
      <c r="F123" s="9" t="inlineStr">
        <is>
          <t>No, she expressed excitement about joining a competitive bowling league.</t>
        </is>
      </c>
      <c r="G123" s="9" t="inlineStr">
        <is>
          <t># Authoritative benchmark gold evidence
The following evidence is authoritative for answering the current question. Use it directly and do not rely on conflicting information.
Evidence 1
Memory type: Event Memory
Content: Sharon Brown expressed excitement about joining a competitive bowling league, highlighting the thrill of competition.</t>
        </is>
      </c>
      <c r="H123" s="9" t="inlineStr">
        <is>
          <t>No, she joined the league.</t>
        </is>
      </c>
      <c r="I123" s="9" t="inlineStr">
        <is>
          <t>No.</t>
        </is>
      </c>
      <c r="J123" s="9" t="inlineStr">
        <is>
          <t>No.</t>
        </is>
      </c>
      <c r="K123" s="9" t="inlineStr">
        <is>
          <t>No.</t>
        </is>
      </c>
      <c r="L123" s="10" t="inlineStr">
        <is>
          <t>充分</t>
        </is>
      </c>
      <c r="M123" s="10" t="inlineStr">
        <is>
          <t>O</t>
        </is>
      </c>
      <c r="N123" s="10" t="inlineStr">
        <is>
          <t>O</t>
        </is>
      </c>
      <c r="O123" s="10" t="inlineStr">
        <is>
          <t>O</t>
        </is>
      </c>
      <c r="P123" s="9">
        <f>IF(COUNTA(L123:O123)&lt;4,"未完成",IF(OR(L123="部分",L123="不充分",L123="不确定"),"evidence_definition_failure",IF(L123&lt;&gt;"充分","unresolved",IF(COUNTIF(M123:O123,"C")=0,"robust_generation_failure",IF(COUNTIF(M123:O123,"C")=3,"ua3_representation_or_admission_failure","generation_instability")))))</f>
        <v/>
      </c>
      <c r="Q123" s="10" t="inlineStr">
        <is>
          <t>robust_generation_failure</t>
        </is>
      </c>
      <c r="R123" s="10" t="inlineStr">
        <is>
          <t>高</t>
        </is>
      </c>
      <c r="S123" s="10" t="inlineStr">
        <is>
          <t>Kiro-AI代审</t>
        </is>
      </c>
      <c r="T123" s="17" t="n">
        <v>46218</v>
      </c>
      <c r="U123" s="10" t="inlineStr">
        <is>
          <t>证据充分；是非题答No极性正确缺补充理由，属遗漏</t>
        </is>
      </c>
      <c r="V123" s="9">
        <f>IF(AND(L123&lt;&gt;"",M123&lt;&gt;"",N123&lt;&gt;"",O123&lt;&gt;"",Q123&lt;&gt;"",R123&lt;&gt;""),"完成","未完成")</f>
        <v/>
      </c>
    </row>
    <row r="124" ht="63" customHeight="1" s="15">
      <c r="A124" s="9" t="n">
        <v>123</v>
      </c>
      <c r="B124" s="9" t="inlineStr">
        <is>
          <t>memos_medium:2806</t>
        </is>
      </c>
      <c r="C124" s="9" t="inlineStr">
        <is>
          <t>medium</t>
        </is>
      </c>
      <c r="D124" s="9" t="inlineStr">
        <is>
          <t>Dynamic Update</t>
        </is>
      </c>
      <c r="E124" s="9" t="inlineStr">
        <is>
          <t>What change in Donald Smith's career focus occurred by Jan 10, 2030?</t>
        </is>
      </c>
      <c r="F124" s="9" t="inlineStr">
        <is>
          <t>Focus on leveraging his position to drive meaningful change</t>
        </is>
      </c>
      <c r="G124" s="9" t="inlineStr">
        <is>
          <t># Authoritative benchmark gold evidence
The following evidence is authoritative for answering the current question. Use it directly and do not rely on conflicting information.
Evidence 1
Memory type: Event Memory
Content: Donald Smith plans to leverage his new role as Senior Political Advisor to drive meaningful change in the political landscape.
Evidence 2
Memory type: Persona Memory
Content: Donald Smith is focused on leveraging his new position to drive meaningful change in the political landscape.</t>
        </is>
      </c>
      <c r="H124" s="9" t="inlineStr">
        <is>
          <t>New professional role.</t>
        </is>
      </c>
      <c r="I124" s="9" t="inlineStr">
        <is>
          <t>Senior Political Advisor role.</t>
        </is>
      </c>
      <c r="J124" s="9" t="inlineStr">
        <is>
          <t>Senior Political Advisor role.</t>
        </is>
      </c>
      <c r="K124" s="9" t="inlineStr">
        <is>
          <t>Senior Political Advisor role.</t>
        </is>
      </c>
      <c r="L124" s="10" t="inlineStr">
        <is>
          <t>充分</t>
        </is>
      </c>
      <c r="M124" s="10" t="inlineStr">
        <is>
          <t>O</t>
        </is>
      </c>
      <c r="N124" s="10" t="inlineStr">
        <is>
          <t>O</t>
        </is>
      </c>
      <c r="O124" s="10" t="inlineStr">
        <is>
          <t>O</t>
        </is>
      </c>
      <c r="P124" s="9">
        <f>IF(COUNTA(L124:O124)&lt;4,"未完成",IF(OR(L124="部分",L124="不充分",L124="不确定"),"evidence_definition_failure",IF(L124&lt;&gt;"充分","unresolved",IF(COUNTIF(M124:O124,"C")=0,"robust_generation_failure",IF(COUNTIF(M124:O124,"C")=3,"ua3_representation_or_admission_failure","generation_instability")))))</f>
        <v/>
      </c>
      <c r="Q124" s="10" t="inlineStr">
        <is>
          <t>robust_generation_failure</t>
        </is>
      </c>
      <c r="R124" s="10" t="inlineStr">
        <is>
          <t>中</t>
        </is>
      </c>
      <c r="S124" s="10" t="inlineStr">
        <is>
          <t>Kiro-AI代审</t>
        </is>
      </c>
      <c r="T124" s="17" t="n">
        <v>46218</v>
      </c>
      <c r="U124" s="10" t="inlineStr">
        <is>
          <t>run仅答职位有据，缺'推动变革'记O非H</t>
        </is>
      </c>
      <c r="V124" s="9">
        <f>IF(AND(L124&lt;&gt;"",M124&lt;&gt;"",N124&lt;&gt;"",O124&lt;&gt;"",Q124&lt;&gt;"",R124&lt;&gt;""),"完成","未完成")</f>
        <v/>
      </c>
    </row>
    <row r="125" ht="63" customHeight="1" s="15">
      <c r="A125" s="9" t="n">
        <v>124</v>
      </c>
      <c r="B125" s="9" t="inlineStr">
        <is>
          <t>memos_medium:2485</t>
        </is>
      </c>
      <c r="C125" s="9" t="inlineStr">
        <is>
          <t>medium</t>
        </is>
      </c>
      <c r="D125" s="9" t="inlineStr">
        <is>
          <t>Memory Conflict</t>
        </is>
      </c>
      <c r="E125" s="9" t="inlineStr">
        <is>
          <t>Did Steven Miller retire on Apr 01, 2029, due to financial instability?</t>
        </is>
      </c>
      <c r="F125" s="9" t="inlineStr">
        <is>
          <t>Steven retired on Jan 12, 2029, for financial freedom through tech investments.</t>
        </is>
      </c>
      <c r="G125" s="9" t="inlineStr">
        <is>
          <t># Authoritative benchmark gold evidence
The following evidence is authoritative for answering the current question. Use it directly and do not rely on conflicting information.
Evidence 1
Memory type: Persona Memory
Content: Steven Miller's career_status updated employment_status from "employed" to "retired".
Evidence 2
Memory type: Event Memory
Content: Steven Miller expressed excitement and relief about his decision to retire early, aligning with his goal of achieving financial freedom through tech investments.</t>
        </is>
      </c>
      <c r="H125" s="9" t="inlineStr">
        <is>
          <t>No, he retired early.</t>
        </is>
      </c>
      <c r="I125" s="9" t="inlineStr">
        <is>
          <t>No, he retired early.</t>
        </is>
      </c>
      <c r="J125" s="9" t="inlineStr">
        <is>
          <t>No, he retired early.</t>
        </is>
      </c>
      <c r="K125" s="9" t="inlineStr">
        <is>
          <t>No, he retired early.</t>
        </is>
      </c>
      <c r="L125" s="10" t="inlineStr">
        <is>
          <t>部分</t>
        </is>
      </c>
      <c r="M125" s="10" t="inlineStr">
        <is>
          <t>O</t>
        </is>
      </c>
      <c r="N125" s="10" t="inlineStr">
        <is>
          <t>O</t>
        </is>
      </c>
      <c r="O125" s="10" t="inlineStr">
        <is>
          <t>O</t>
        </is>
      </c>
      <c r="P125" s="9">
        <f>IF(COUNTA(L125:O125)&lt;4,"未完成",IF(OR(L125="部分",L125="不充分",L125="不确定"),"evidence_definition_failure",IF(L125&lt;&gt;"充分","unresolved",IF(COUNTIF(M125:O125,"C")=0,"robust_generation_failure",IF(COUNTIF(M125:O125,"C")=3,"ua3_representation_or_admission_failure","generation_instability")))))</f>
        <v/>
      </c>
      <c r="Q125" s="10" t="inlineStr">
        <is>
          <t>evidence_definition_failure</t>
        </is>
      </c>
      <c r="R125" s="10" t="inlineStr">
        <is>
          <t>高</t>
        </is>
      </c>
      <c r="S125" s="10" t="inlineStr">
        <is>
          <t>Kiro-AI代审</t>
        </is>
      </c>
      <c r="T125" s="17" t="n">
        <v>46218</v>
      </c>
      <c r="U125" s="10" t="inlineStr">
        <is>
          <t>证据缺具体日期；答提前退休纠正前提但缺细节属遗漏</t>
        </is>
      </c>
      <c r="V125" s="9">
        <f>IF(AND(L125&lt;&gt;"",M125&lt;&gt;"",N125&lt;&gt;"",O125&lt;&gt;"",Q125&lt;&gt;"",R125&lt;&gt;""),"完成","未完成")</f>
        <v/>
      </c>
    </row>
    <row r="126" ht="63" customHeight="1" s="15">
      <c r="A126" s="9" t="n">
        <v>125</v>
      </c>
      <c r="B126" s="9" t="inlineStr">
        <is>
          <t>memos_long:969</t>
        </is>
      </c>
      <c r="C126" s="9" t="inlineStr">
        <is>
          <t>long</t>
        </is>
      </c>
      <c r="D126" s="9" t="inlineStr">
        <is>
          <t>Memory Conflict</t>
        </is>
      </c>
      <c r="E126" s="9" t="inlineStr">
        <is>
          <t>Did Donna express disinterest in science fiction films during her tech conference on Sep 02, 2033?</t>
        </is>
      </c>
      <c r="F126" s="9" t="inlineStr">
        <is>
          <t>Donna expressed interest in science fiction films during the conference.</t>
        </is>
      </c>
      <c r="G126" s="9" t="inlineStr">
        <is>
          <t># Authoritative benchmark gold evidence
The following evidence is authoritative for answering the current question. Use it directly and do not rely on conflicting information.
Evidence 1
Memory type: Event Memory
Content: Donna attended a tech conference that highlighted the role of science fiction in inspiring real-world innovations, which reinforced her interest in the genre.</t>
        </is>
      </c>
      <c r="H126" s="9" t="inlineStr">
        <is>
          <t>No, she prefers sci-fi films.</t>
        </is>
      </c>
      <c r="I126" s="9" t="inlineStr">
        <is>
          <t>No</t>
        </is>
      </c>
      <c r="J126" s="9" t="inlineStr">
        <is>
          <t>No</t>
        </is>
      </c>
      <c r="K126" s="9" t="inlineStr">
        <is>
          <t>No</t>
        </is>
      </c>
      <c r="L126" s="10" t="inlineStr">
        <is>
          <t>充分</t>
        </is>
      </c>
      <c r="M126" s="10" t="inlineStr">
        <is>
          <t>C</t>
        </is>
      </c>
      <c r="N126" s="10" t="inlineStr">
        <is>
          <t>C</t>
        </is>
      </c>
      <c r="O126" s="10" t="inlineStr">
        <is>
          <t>C</t>
        </is>
      </c>
      <c r="P126" s="9">
        <f>IF(COUNTA(L126:O126)&lt;4,"未完成",IF(OR(L126="部分",L126="不充分",L126="不确定"),"evidence_definition_failure",IF(L126&lt;&gt;"充分","unresolved",IF(COUNTIF(M126:O126,"C")=0,"robust_generation_failure",IF(COUNTIF(M126:O126,"C")=3,"ua3_representation_or_admission_failure","generation_instability")))))</f>
        <v/>
      </c>
      <c r="Q126" s="10" t="inlineStr">
        <is>
          <t>ua3_representation_or_admission_failure</t>
        </is>
      </c>
      <c r="R126" s="10" t="inlineStr">
        <is>
          <t>中</t>
        </is>
      </c>
      <c r="S126" s="10" t="inlineStr">
        <is>
          <t>Kiro-AI代审</t>
        </is>
      </c>
      <c r="T126" s="17" t="n">
        <v>46218</v>
      </c>
      <c r="U126" s="10" t="inlineStr">
        <is>
          <t>'No'正确否定'缺乏兴趣'，机器判幻觉有误</t>
        </is>
      </c>
      <c r="V126" s="9">
        <f>IF(AND(L126&lt;&gt;"",M126&lt;&gt;"",N126&lt;&gt;"",O126&lt;&gt;"",Q126&lt;&gt;"",R126&lt;&gt;""),"完成","未完成")</f>
        <v/>
      </c>
    </row>
    <row r="127" ht="63" customHeight="1" s="15">
      <c r="A127" s="9" t="n">
        <v>126</v>
      </c>
      <c r="B127" s="9" t="inlineStr">
        <is>
          <t>memos_medium:2688</t>
        </is>
      </c>
      <c r="C127" s="9" t="inlineStr">
        <is>
          <t>medium</t>
        </is>
      </c>
      <c r="D127" s="9" t="inlineStr">
        <is>
          <t>Generalization &amp; Application</t>
        </is>
      </c>
      <c r="E127" s="9" t="inlineStr">
        <is>
          <t>What type of experiences might Oleksandr prioritize during his travels to coastal regions after June 15, 2033?</t>
        </is>
      </c>
      <c r="F127" s="9" t="inlineStr">
        <is>
          <t>Cultural experiences and events.</t>
        </is>
      </c>
      <c r="G127" s="9" t="inlineStr">
        <is>
          <t># Authoritative benchmark gold evidence
The following evidence is authoritative for answering the current question. Use it directly and do not rely on conflicting information.
Evidence 1
Memory type: Event Memory
Content: Oleksandr discovered that beach resorts can offer unique cultural experiences, challenging his previous assumptions about them being too commercialized.
Evidence 2
Memory type: Event Memory
Content: Oleksandr plans to explore more coastal regions in the future, focusing on cultural experiences.
Evidence 3
Memory type: Persona Memory
Content: Oleksandr's instrumental motivation led him to refine travel preferences for cultural enrichment and social justice.</t>
        </is>
      </c>
      <c r="H127" s="9" t="inlineStr">
        <is>
          <t>Cultural and environmental experiences.</t>
        </is>
      </c>
      <c r="I127" s="9" t="inlineStr">
        <is>
          <t>Cultural and social justice experiences.</t>
        </is>
      </c>
      <c r="J127" s="9" t="inlineStr">
        <is>
          <t>Cultural and social justice experiences.</t>
        </is>
      </c>
      <c r="K127" s="9" t="inlineStr">
        <is>
          <t>Cultural and social justice experiences.</t>
        </is>
      </c>
      <c r="L127" s="10" t="inlineStr">
        <is>
          <t>充分</t>
        </is>
      </c>
      <c r="M127" s="10" t="inlineStr">
        <is>
          <t>O</t>
        </is>
      </c>
      <c r="N127" s="10" t="inlineStr">
        <is>
          <t>O</t>
        </is>
      </c>
      <c r="O127" s="10" t="inlineStr">
        <is>
          <t>O</t>
        </is>
      </c>
      <c r="P127" s="9">
        <f>IF(COUNTA(L127:O127)&lt;4,"未完成",IF(OR(L127="部分",L127="不充分",L127="不确定"),"evidence_definition_failure",IF(L127&lt;&gt;"充分","unresolved",IF(COUNTIF(M127:O127,"C")=0,"robust_generation_failure",IF(COUNTIF(M127:O127,"C")=3,"ua3_representation_or_admission_failure","generation_instability")))))</f>
        <v/>
      </c>
      <c r="Q127" s="10" t="inlineStr">
        <is>
          <t>robust_generation_failure</t>
        </is>
      </c>
      <c r="R127" s="10" t="inlineStr">
        <is>
          <t>中</t>
        </is>
      </c>
      <c r="S127" s="10" t="inlineStr">
        <is>
          <t>Kiro-AI代审</t>
        </is>
      </c>
      <c r="T127" s="17" t="n">
        <v>46218</v>
      </c>
      <c r="U127" s="10" t="inlineStr">
        <is>
          <t>social justice有E3支撑非编造，核心cultural对记O</t>
        </is>
      </c>
      <c r="V127" s="9">
        <f>IF(AND(L127&lt;&gt;"",M127&lt;&gt;"",N127&lt;&gt;"",O127&lt;&gt;"",Q127&lt;&gt;"",R127&lt;&gt;""),"完成","未完成")</f>
        <v/>
      </c>
    </row>
    <row r="128" ht="63" customHeight="1" s="15">
      <c r="A128" s="9" t="n">
        <v>127</v>
      </c>
      <c r="B128" s="9" t="inlineStr">
        <is>
          <t>memos_medium:38</t>
        </is>
      </c>
      <c r="C128" s="9" t="inlineStr">
        <is>
          <t>medium</t>
        </is>
      </c>
      <c r="D128" s="9" t="inlineStr">
        <is>
          <t>Generalization &amp; Application</t>
        </is>
      </c>
      <c r="E128" s="9" t="inlineStr">
        <is>
          <t>What sustainable travel choices might Martin consider after October 29, 2027?</t>
        </is>
      </c>
      <c r="F128" s="9" t="inlineStr">
        <is>
          <t>Eco-friendly transportation or supporting local eco-tourism.</t>
        </is>
      </c>
      <c r="G128" s="9" t="inlineStr">
        <is>
          <t># Authoritative benchmark gold evidence
The following evidence is authoritative for answering the current question. Use it directly and do not rely on conflicting information.
Evidence 1
Memory type: Event Memory
Content: Martin is exploring other areas of life to integrate sustainable choices, such as travel and dietary habits.
Evidence 2
Memory type: Persona Memory
Content: Martin values sustainability and environmental consciousness, actively exploring ways to integrate these values into his clothing choices and other aspects of life.</t>
        </is>
      </c>
      <c r="H128" s="9" t="inlineStr">
        <is>
          <t>Sustainable travel and diet.</t>
        </is>
      </c>
      <c r="I128" s="9" t="inlineStr">
        <is>
          <t>Exploring sustainable travel options.</t>
        </is>
      </c>
      <c r="J128" s="9" t="inlineStr">
        <is>
          <t>Exploring sustainable travel options.</t>
        </is>
      </c>
      <c r="K128" s="9" t="inlineStr">
        <is>
          <t>Exploring sustainable travel options.</t>
        </is>
      </c>
      <c r="L128" s="10" t="inlineStr">
        <is>
          <t>部分</t>
        </is>
      </c>
      <c r="M128" s="10" t="inlineStr">
        <is>
          <t>O</t>
        </is>
      </c>
      <c r="N128" s="10" t="inlineStr">
        <is>
          <t>O</t>
        </is>
      </c>
      <c r="O128" s="10" t="inlineStr">
        <is>
          <t>O</t>
        </is>
      </c>
      <c r="P128" s="9">
        <f>IF(COUNTA(L128:O128)&lt;4,"未完成",IF(OR(L128="部分",L128="不充分",L128="不确定"),"evidence_definition_failure",IF(L128&lt;&gt;"充分","unresolved",IF(COUNTIF(M128:O128,"C")=0,"robust_generation_failure",IF(COUNTIF(M128:O128,"C")=3,"ua3_representation_or_admission_failure","generation_instability")))))</f>
        <v/>
      </c>
      <c r="Q128" s="10" t="inlineStr">
        <is>
          <t>evidence_definition_failure</t>
        </is>
      </c>
      <c r="R128" s="10" t="inlineStr">
        <is>
          <t>中</t>
        </is>
      </c>
      <c r="S128" s="10" t="inlineStr">
        <is>
          <t>Kiro-AI代审</t>
        </is>
      </c>
      <c r="T128" s="17" t="n">
        <v>46218</v>
      </c>
      <c r="U128" s="10" t="inlineStr">
        <is>
          <t>证据仅泛谈可持续出行,答泛化属遗漏</t>
        </is>
      </c>
      <c r="V128" s="9">
        <f>IF(AND(L128&lt;&gt;"",M128&lt;&gt;"",N128&lt;&gt;"",O128&lt;&gt;"",Q128&lt;&gt;"",R128&lt;&gt;""),"完成","未完成")</f>
        <v/>
      </c>
    </row>
    <row r="129" ht="63" customHeight="1" s="15">
      <c r="A129" s="9" t="n">
        <v>128</v>
      </c>
      <c r="B129" s="9" t="inlineStr">
        <is>
          <t>memos_medium:1469</t>
        </is>
      </c>
      <c r="C129" s="9" t="inlineStr">
        <is>
          <t>medium</t>
        </is>
      </c>
      <c r="D129" s="9" t="inlineStr">
        <is>
          <t>Multi-hop Inference</t>
        </is>
      </c>
      <c r="E129" s="9" t="inlineStr">
        <is>
          <t>What strategies did Jennifer Martin explore to manage stress after her promotion on Jul 15, 2027?</t>
        </is>
      </c>
      <c r="F129" s="9" t="inlineStr">
        <is>
          <t>Delegation, time management, professional guidance</t>
        </is>
      </c>
      <c r="G129" s="9" t="inlineStr">
        <is>
          <t># Authoritative benchmark gold evidence
The following evidence is authoritative for answering the current question. Use it directly and do not rely on conflicting information.
Evidence 1
Memory type: Event Memory
Content: Jennifer Martin is exploring strategies to manage increased pressure and responsibilities following her promotion to Senior Consultant, including delegation, time management, and professional guidance.
Evidence 2
Memory type: Persona Memory
Content: Jennifer Martin's instrumental motivation emphasizes task utility and efficiency in her Senior Consultant role.</t>
        </is>
      </c>
      <c r="H129" s="9" t="inlineStr">
        <is>
          <t>Task utility and efficiency.</t>
        </is>
      </c>
      <c r="I129" s="9" t="inlineStr">
        <is>
          <t>Delegation, time management, guidance.</t>
        </is>
      </c>
      <c r="J129" s="9" t="inlineStr">
        <is>
          <t>Delegation, time management, guidance.</t>
        </is>
      </c>
      <c r="K129" s="9" t="inlineStr">
        <is>
          <t>Delegation, time management, guidance.</t>
        </is>
      </c>
      <c r="L129" s="10" t="inlineStr">
        <is>
          <t>充分</t>
        </is>
      </c>
      <c r="M129" s="10" t="inlineStr">
        <is>
          <t>C</t>
        </is>
      </c>
      <c r="N129" s="10" t="inlineStr">
        <is>
          <t>C</t>
        </is>
      </c>
      <c r="O129" s="10" t="inlineStr">
        <is>
          <t>C</t>
        </is>
      </c>
      <c r="P129" s="9">
        <f>IF(COUNTA(L129:O129)&lt;4,"未完成",IF(OR(L129="部分",L129="不充分",L129="不确定"),"evidence_definition_failure",IF(L129&lt;&gt;"充分","unresolved",IF(COUNTIF(M129:O129,"C")=0,"robust_generation_failure",IF(COUNTIF(M129:O129,"C")=3,"ua3_representation_or_admission_failure","generation_instability")))))</f>
        <v/>
      </c>
      <c r="Q129" s="10" t="inlineStr">
        <is>
          <t>ua3_representation_or_admission_failure</t>
        </is>
      </c>
      <c r="R129" s="10" t="inlineStr">
        <is>
          <t>高</t>
        </is>
      </c>
      <c r="S129" s="10" t="inlineStr">
        <is>
          <t>Kiro-AI代审</t>
        </is>
      </c>
      <c r="T129" s="17" t="n">
        <v>46218</v>
      </c>
      <c r="U129" s="10" t="inlineStr">
        <is>
          <t>证据充分，三答完整正确</t>
        </is>
      </c>
      <c r="V129" s="9">
        <f>IF(AND(L129&lt;&gt;"",M129&lt;&gt;"",N129&lt;&gt;"",O129&lt;&gt;"",Q129&lt;&gt;"",R129&lt;&gt;""),"完成","未完成")</f>
        <v/>
      </c>
    </row>
    <row r="130" ht="63" customHeight="1" s="15">
      <c r="A130" s="9" t="n">
        <v>129</v>
      </c>
      <c r="B130" s="9" t="inlineStr">
        <is>
          <t>memos_medium:1513</t>
        </is>
      </c>
      <c r="C130" s="9" t="inlineStr">
        <is>
          <t>medium</t>
        </is>
      </c>
      <c r="D130" s="9" t="inlineStr">
        <is>
          <t>Generalization &amp; Application</t>
        </is>
      </c>
      <c r="E130" s="9" t="inlineStr">
        <is>
          <t>What new herbal tea blends might Jennifer Martin enjoy after Jan 19, 2031?</t>
        </is>
      </c>
      <c r="F130" s="9" t="inlineStr">
        <is>
          <t>Blends offering unique flavors and health benefits.</t>
        </is>
      </c>
      <c r="G130" s="9" t="inlineStr">
        <is>
          <t># Authoritative benchmark gold evidence
The following evidence is authoritative for answering the current question. Use it directly and do not rely on conflicting information.
Evidence 1
Memory type: Persona Memory
Content: Jennifer Martin decided to stop drinking green tea to explore other herbal teas offering similar health benefits.
Evidence 2
Memory type: Persona Memory
Content: Jennifer Martin is exploring new herbal tea blends to diversify her beverage intake and maintain health benefits.
Evidence 3
Memory type: Persona Memory
Content: Jennifer Martin expressed excitement about trying new herbal tea flavors to enhance her daily routine.</t>
        </is>
      </c>
      <c r="H130" s="9" t="inlineStr">
        <is>
          <t>Herbal tea blends for calm.</t>
        </is>
      </c>
      <c r="I130" s="9" t="inlineStr">
        <is>
          <t>Jennifer Martin enjoys new herbal tea blends.</t>
        </is>
      </c>
      <c r="J130" s="9" t="inlineStr">
        <is>
          <t>Jennifer Martin enjoys new herbal tea blends.</t>
        </is>
      </c>
      <c r="K130" s="9" t="inlineStr">
        <is>
          <t>Jennifer Martin enjoys new herbal tea blends.</t>
        </is>
      </c>
      <c r="L130" s="10" t="inlineStr">
        <is>
          <t>充分</t>
        </is>
      </c>
      <c r="M130" s="10" t="inlineStr">
        <is>
          <t>O</t>
        </is>
      </c>
      <c r="N130" s="10" t="inlineStr">
        <is>
          <t>O</t>
        </is>
      </c>
      <c r="O130" s="10" t="inlineStr">
        <is>
          <t>O</t>
        </is>
      </c>
      <c r="P130" s="9">
        <f>IF(COUNTA(L130:O130)&lt;4,"未完成",IF(OR(L130="部分",L130="不充分",L130="不确定"),"evidence_definition_failure",IF(L130&lt;&gt;"充分","unresolved",IF(COUNTIF(M130:O130,"C")=0,"robust_generation_failure",IF(COUNTIF(M130:O130,"C")=3,"ua3_representation_or_admission_failure","generation_instability")))))</f>
        <v/>
      </c>
      <c r="Q130" s="10" t="inlineStr">
        <is>
          <t>robust_generation_failure</t>
        </is>
      </c>
      <c r="R130" s="10" t="inlineStr">
        <is>
          <t>高</t>
        </is>
      </c>
      <c r="S130" s="10" t="inlineStr">
        <is>
          <t>Kiro-AI代审</t>
        </is>
      </c>
      <c r="T130" s="17" t="n">
        <v>46218</v>
      </c>
      <c r="U130" s="10" t="inlineStr">
        <is>
          <t>答泛指新花草茶缺独特风味与健康益处，属遗漏</t>
        </is>
      </c>
      <c r="V130" s="9">
        <f>IF(AND(L130&lt;&gt;"",M130&lt;&gt;"",N130&lt;&gt;"",O130&lt;&gt;"",Q130&lt;&gt;"",R130&lt;&gt;""),"完成","未完成")</f>
        <v/>
      </c>
    </row>
    <row r="131" ht="63" customHeight="1" s="15">
      <c r="A131" s="9" t="n">
        <v>130</v>
      </c>
      <c r="B131" s="9" t="inlineStr">
        <is>
          <t>memos_long:115</t>
        </is>
      </c>
      <c r="C131" s="9" t="inlineStr">
        <is>
          <t>long</t>
        </is>
      </c>
      <c r="D131" s="9" t="inlineStr">
        <is>
          <t>Basic Fact Recall</t>
        </is>
      </c>
      <c r="E131" s="9" t="inlineStr">
        <is>
          <t>What is Martin's pet preference as of Mar 23, 2032?</t>
        </is>
      </c>
      <c r="F131" s="9" t="inlineStr">
        <is>
          <t>Parrots, with a focus on conservation and ethical considerations.</t>
        </is>
      </c>
      <c r="G131" s="9" t="inlineStr">
        <is>
          <t># Authoritative benchmark gold evidence
The following evidence is authoritative for answering the current question. Use it directly and do not rely on conflicting information.
Evidence 1
Memory type: Persona Memory
Content: Martin's pet preference for parrots now includes a focus on conservation and ethical considerations.</t>
        </is>
      </c>
      <c r="H131" s="9" t="inlineStr">
        <is>
          <t>Parrots and turtles.</t>
        </is>
      </c>
      <c r="I131" s="9" t="inlineStr">
        <is>
          <t>Parrots with conservation focus.</t>
        </is>
      </c>
      <c r="J131" s="9" t="inlineStr">
        <is>
          <t>Parrots with conservation focus.</t>
        </is>
      </c>
      <c r="K131" s="9" t="inlineStr">
        <is>
          <t>Parrots with conservation focus.</t>
        </is>
      </c>
      <c r="L131" s="10" t="inlineStr">
        <is>
          <t>充分</t>
        </is>
      </c>
      <c r="M131" s="10" t="inlineStr">
        <is>
          <t>O</t>
        </is>
      </c>
      <c r="N131" s="10" t="inlineStr">
        <is>
          <t>O</t>
        </is>
      </c>
      <c r="O131" s="10" t="inlineStr">
        <is>
          <t>O</t>
        </is>
      </c>
      <c r="P131" s="9">
        <f>IF(COUNTA(L131:O131)&lt;4,"未完成",IF(OR(L131="部分",L131="不充分",L131="不确定"),"evidence_definition_failure",IF(L131&lt;&gt;"充分","unresolved",IF(COUNTIF(M131:O131,"C")=0,"robust_generation_failure",IF(COUNTIF(M131:O131,"C")=3,"ua3_representation_or_admission_failure","generation_instability")))))</f>
        <v/>
      </c>
      <c r="Q131" s="10" t="inlineStr">
        <is>
          <t>robust_generation_failure</t>
        </is>
      </c>
      <c r="R131" s="10" t="inlineStr">
        <is>
          <t>中</t>
        </is>
      </c>
      <c r="S131" s="10" t="inlineStr">
        <is>
          <t>Kiro-AI代审</t>
        </is>
      </c>
      <c r="T131" s="17" t="n">
        <v>46218</v>
      </c>
      <c r="U131" s="10" t="inlineStr">
        <is>
          <t>三答相同缺伦理考量均遗漏；机器标注前后不一致</t>
        </is>
      </c>
      <c r="V131" s="9">
        <f>IF(AND(L131&lt;&gt;"",M131&lt;&gt;"",N131&lt;&gt;"",O131&lt;&gt;"",Q131&lt;&gt;"",R131&lt;&gt;""),"完成","未完成")</f>
        <v/>
      </c>
    </row>
    <row r="132" ht="63" customHeight="1" s="15">
      <c r="A132" s="9" t="n">
        <v>131</v>
      </c>
      <c r="B132" s="9" t="inlineStr">
        <is>
          <t>memos_long:1662</t>
        </is>
      </c>
      <c r="C132" s="9" t="inlineStr">
        <is>
          <t>long</t>
        </is>
      </c>
      <c r="D132" s="9" t="inlineStr">
        <is>
          <t>Multi-hop Inference</t>
        </is>
      </c>
      <c r="E132" s="9" t="inlineStr">
        <is>
          <t>By November 1, 2031, how did Susan's stress management techniques evolve?</t>
        </is>
      </c>
      <c r="F132" s="9" t="inlineStr">
        <is>
          <t>Incorporated mindfulness and time management.</t>
        </is>
      </c>
      <c r="G132" s="9" t="inlineStr">
        <is>
          <t># Authoritative benchmark gold evidence
The following evidence is authoritative for answering the current question. Use it directly and do not rely on conflicting information.
Evidence 1
Memory type: Event Memory
Content: Susan Thompson plans to implement mindfulness practices and time management techniques to manage stress levels effectively.
Evidence 2
Memory type: Event Memory
Content: Susan Thompson has been using mindfulness practices to manage stress levels, including meditation and breathing exercises.</t>
        </is>
      </c>
      <c r="H132" s="9" t="inlineStr">
        <is>
          <t>No relevant memories found.</t>
        </is>
      </c>
      <c r="I132" s="9" t="inlineStr">
        <is>
          <t>Used mindfulness and time management.</t>
        </is>
      </c>
      <c r="J132" s="9" t="inlineStr">
        <is>
          <t>Used mindfulness and time management.</t>
        </is>
      </c>
      <c r="K132" s="9" t="inlineStr">
        <is>
          <t>Used mindfulness and time management.</t>
        </is>
      </c>
      <c r="L132" s="10" t="inlineStr">
        <is>
          <t>充分</t>
        </is>
      </c>
      <c r="M132" s="10" t="inlineStr">
        <is>
          <t>C</t>
        </is>
      </c>
      <c r="N132" s="10" t="inlineStr">
        <is>
          <t>C</t>
        </is>
      </c>
      <c r="O132" s="10" t="inlineStr">
        <is>
          <t>C</t>
        </is>
      </c>
      <c r="P132" s="9">
        <f>IF(COUNTA(L132:O132)&lt;4,"未完成",IF(OR(L132="部分",L132="不充分",L132="不确定"),"evidence_definition_failure",IF(L132&lt;&gt;"充分","unresolved",IF(COUNTIF(M132:O132,"C")=0,"robust_generation_failure",IF(COUNTIF(M132:O132,"C")=3,"ua3_representation_or_admission_failure","generation_instability")))))</f>
        <v/>
      </c>
      <c r="Q132" s="10" t="inlineStr">
        <is>
          <t>ua3_representation_or_admission_failure</t>
        </is>
      </c>
      <c r="R132" s="10" t="inlineStr">
        <is>
          <t>高</t>
        </is>
      </c>
      <c r="S132" s="10" t="inlineStr">
        <is>
          <t>Kiro-AI代审</t>
        </is>
      </c>
      <c r="T132" s="17" t="n">
        <v>46218</v>
      </c>
      <c r="U132" s="10" t="inlineStr">
        <is>
          <t>正念与时间管理均有证据,回答完整</t>
        </is>
      </c>
      <c r="V132" s="9">
        <f>IF(AND(L132&lt;&gt;"",M132&lt;&gt;"",N132&lt;&gt;"",O132&lt;&gt;"",Q132&lt;&gt;"",R132&lt;&gt;""),"完成","未完成")</f>
        <v/>
      </c>
    </row>
    <row r="133" ht="63" customHeight="1" s="15">
      <c r="A133" s="9" t="n">
        <v>132</v>
      </c>
      <c r="B133" s="9" t="inlineStr">
        <is>
          <t>memos_long:1185</t>
        </is>
      </c>
      <c r="C133" s="9" t="inlineStr">
        <is>
          <t>long</t>
        </is>
      </c>
      <c r="D133" s="9" t="inlineStr">
        <is>
          <t>Generalization &amp; Application</t>
        </is>
      </c>
      <c r="E133" s="9" t="inlineStr">
        <is>
          <t>What types of films might Taylor David find educationally valuable after July 19, 2037?</t>
        </is>
      </c>
      <c r="F133" s="9" t="inlineStr">
        <is>
          <t>Films with complex narratives and excessive violence.</t>
        </is>
      </c>
      <c r="G133" s="9" t="inlineStr">
        <is>
          <t># Authoritative benchmark gold evidence
The following evidence is authoritative for answering the current question. Use it directly and do not rely on conflicting information.
Evidence 1
Memory type: Persona Memory
Content: Taylor David's movie preference has evolved to recognize the educational benefits of films with excessive violence.
Evidence 2
Memory type: Persona Memory
Content: Taylor David realized that films with excessive violence could offer insights into narrative complexity and human behavior.
Evidence 3
Memory type: Relationship Memory
Content: During discussions with peers, Taylor David recognized the educational value in films with complex narratives.
Evidence 4
Memory type: Persona Memory
Content: Taylor David acknowledged the educational value of films with excessive violence in understanding human behavior.</t>
        </is>
      </c>
      <c r="H133" s="9" t="inlineStr">
        <is>
          <t>Complex narratives and human interactions.</t>
        </is>
      </c>
      <c r="I133" s="9" t="inlineStr">
        <is>
          <t>Films with excessive violence.</t>
        </is>
      </c>
      <c r="J133" s="9" t="inlineStr">
        <is>
          <t>Films with excessive violence.</t>
        </is>
      </c>
      <c r="K133" s="9" t="inlineStr">
        <is>
          <t>Films with excessive violence.</t>
        </is>
      </c>
      <c r="L133" s="10" t="inlineStr">
        <is>
          <t>充分</t>
        </is>
      </c>
      <c r="M133" s="10" t="inlineStr">
        <is>
          <t>O</t>
        </is>
      </c>
      <c r="N133" s="10" t="inlineStr">
        <is>
          <t>O</t>
        </is>
      </c>
      <c r="O133" s="10" t="inlineStr">
        <is>
          <t>O</t>
        </is>
      </c>
      <c r="P133" s="9">
        <f>IF(COUNTA(L133:O133)&lt;4,"未完成",IF(OR(L133="部分",L133="不充分",L133="不确定"),"evidence_definition_failure",IF(L133&lt;&gt;"充分","unresolved",IF(COUNTIF(M133:O133,"C")=0,"robust_generation_failure",IF(COUNTIF(M133:O133,"C")=3,"ua3_representation_or_admission_failure","generation_instability")))))</f>
        <v/>
      </c>
      <c r="Q133" s="10" t="inlineStr">
        <is>
          <t>robust_generation_failure</t>
        </is>
      </c>
      <c r="R133" s="10" t="inlineStr">
        <is>
          <t>高</t>
        </is>
      </c>
      <c r="S133" s="10" t="inlineStr">
        <is>
          <t>Kiro-AI代审</t>
        </is>
      </c>
      <c r="T133" s="17" t="n">
        <v>46218</v>
      </c>
      <c r="U133" s="10" t="inlineStr">
        <is>
          <t>证据含两要素；三答缺复杂叙事，遗漏</t>
        </is>
      </c>
      <c r="V133" s="9">
        <f>IF(AND(L133&lt;&gt;"",M133&lt;&gt;"",N133&lt;&gt;"",O133&lt;&gt;"",Q133&lt;&gt;"",R133&lt;&gt;""),"完成","未完成")</f>
        <v/>
      </c>
    </row>
    <row r="134" ht="63" customHeight="1" s="15">
      <c r="A134" s="9" t="n">
        <v>133</v>
      </c>
      <c r="B134" s="9" t="inlineStr">
        <is>
          <t>memos_long:2196</t>
        </is>
      </c>
      <c r="C134" s="9" t="inlineStr">
        <is>
          <t>long</t>
        </is>
      </c>
      <c r="D134" s="9" t="inlineStr">
        <is>
          <t>Generalization &amp; Application</t>
        </is>
      </c>
      <c r="E134" s="9" t="inlineStr">
        <is>
          <t>What type of retreat should Sharon Brown consider for enhancing her mentoring goals in 2034?</t>
        </is>
      </c>
      <c r="F134" s="9" t="inlineStr">
        <is>
          <t>A wellness-focused nature retreat with meditation and yoga.</t>
        </is>
      </c>
      <c r="G134" s="9" t="inlineStr">
        <is>
          <t># Authoritative benchmark gold evidence
The following evidence is authoritative for answering the current question. Use it directly and do not rely on conflicting information.
Evidence 1
Memory type: Persona Memory
Content: Sharon Brown has a preference for wellness-focused nature retreats that include guided meditation and yoga sessions, enhancing her physical and mental health.
Evidence 2
Memory type: Persona Memory
Content: Sharon Brown is enthusiastic about continuing to explore wellness nature retreats and integrating these practices into her mentoring initiatives to inspire young athletes.
Evidence 3
Memory type: Event Memory
Content: Sharon Brown plans to integrate guided meditation and yoga sessions into her mentoring programs to help young athletes focus and relax.</t>
        </is>
      </c>
      <c r="H134" s="9" t="inlineStr">
        <is>
          <t>Cultural wellness retreats</t>
        </is>
      </c>
      <c r="I134" s="9" t="inlineStr">
        <is>
          <t>Wellness nature retreats</t>
        </is>
      </c>
      <c r="J134" s="9" t="inlineStr">
        <is>
          <t>Wellness nature retreats</t>
        </is>
      </c>
      <c r="K134" s="9" t="inlineStr">
        <is>
          <t>Wellness nature retreats</t>
        </is>
      </c>
      <c r="L134" s="10" t="inlineStr">
        <is>
          <t>充分</t>
        </is>
      </c>
      <c r="M134" s="10" t="inlineStr">
        <is>
          <t>O</t>
        </is>
      </c>
      <c r="N134" s="10" t="inlineStr">
        <is>
          <t>O</t>
        </is>
      </c>
      <c r="O134" s="10" t="inlineStr">
        <is>
          <t>O</t>
        </is>
      </c>
      <c r="P134" s="9">
        <f>IF(COUNTA(L134:O134)&lt;4,"未完成",IF(OR(L134="部分",L134="不充分",L134="不确定"),"evidence_definition_failure",IF(L134&lt;&gt;"充分","unresolved",IF(COUNTIF(M134:O134,"C")=0,"robust_generation_failure",IF(COUNTIF(M134:O134,"C")=3,"ua3_representation_or_admission_failure","generation_instability")))))</f>
        <v/>
      </c>
      <c r="Q134" s="10" t="inlineStr">
        <is>
          <t>robust_generation_failure</t>
        </is>
      </c>
      <c r="R134" s="10" t="inlineStr">
        <is>
          <t>高</t>
        </is>
      </c>
      <c r="S134" s="10" t="inlineStr">
        <is>
          <t>Kiro-AI代审</t>
        </is>
      </c>
      <c r="T134" s="17" t="n">
        <v>46218</v>
      </c>
      <c r="U134" s="10" t="inlineStr">
        <is>
          <t>答健康自然疗养缺冥想瑜伽细节，遗漏</t>
        </is>
      </c>
      <c r="V134" s="9">
        <f>IF(AND(L134&lt;&gt;"",M134&lt;&gt;"",N134&lt;&gt;"",O134&lt;&gt;"",Q134&lt;&gt;"",R134&lt;&gt;""),"完成","未完成")</f>
        <v/>
      </c>
    </row>
    <row r="135" ht="63" customHeight="1" s="15">
      <c r="A135" s="9" t="n">
        <v>134</v>
      </c>
      <c r="B135" s="9" t="inlineStr">
        <is>
          <t>memos_long:3125</t>
        </is>
      </c>
      <c r="C135" s="9" t="inlineStr">
        <is>
          <t>long</t>
        </is>
      </c>
      <c r="D135" s="9" t="inlineStr">
        <is>
          <t>Dynamic Update</t>
        </is>
      </c>
      <c r="E135" s="9" t="inlineStr">
        <is>
          <t>What is the latest diagnosis Barbara Jones received by Sep 01, 2027?</t>
        </is>
      </c>
      <c r="F135" s="9" t="inlineStr">
        <is>
          <t>Chronic Fatigue Syndrome</t>
        </is>
      </c>
      <c r="G135" s="9" t="inlineStr">
        <is>
          <t># Authoritative benchmark gold evidence
The following evidence is authoritative for answering the current question. Use it directly and do not rely on conflicting information.
Evidence 1
Memory type: Persona Memory
Content: Barbara Jones has been diagnosed with Chronic Fatigue Syndrome and is focusing on managing her health through a balanced lifestyle.</t>
        </is>
      </c>
      <c r="H135" s="9" t="inlineStr">
        <is>
          <t>Chronic Fatigue Syndrome, Fibromyalgia</t>
        </is>
      </c>
      <c r="I135" s="9" t="inlineStr">
        <is>
          <t>Chronic Fatigue Syndrome</t>
        </is>
      </c>
      <c r="J135" s="9" t="inlineStr">
        <is>
          <t>Chronic Fatigue Syndrome</t>
        </is>
      </c>
      <c r="K135" s="9" t="inlineStr">
        <is>
          <t>Chronic Fatigue Syndrome</t>
        </is>
      </c>
      <c r="L135" s="10" t="inlineStr">
        <is>
          <t>充分</t>
        </is>
      </c>
      <c r="M135" s="10" t="inlineStr">
        <is>
          <t>C</t>
        </is>
      </c>
      <c r="N135" s="10" t="inlineStr">
        <is>
          <t>C</t>
        </is>
      </c>
      <c r="O135" s="10" t="inlineStr">
        <is>
          <t>C</t>
        </is>
      </c>
      <c r="P135" s="9">
        <f>IF(COUNTA(L135:O135)&lt;4,"未完成",IF(OR(L135="部分",L135="不充分",L135="不确定"),"evidence_definition_failure",IF(L135&lt;&gt;"充分","unresolved",IF(COUNTIF(M135:O135,"C")=0,"robust_generation_failure",IF(COUNTIF(M135:O135,"C")=3,"ua3_representation_or_admission_failure","generation_instability")))))</f>
        <v/>
      </c>
      <c r="Q135" s="10" t="inlineStr">
        <is>
          <t>ua3_representation_or_admission_failure</t>
        </is>
      </c>
      <c r="R135" s="10" t="inlineStr">
        <is>
          <t>高</t>
        </is>
      </c>
      <c r="S135" s="10" t="inlineStr">
        <is>
          <t>Kiro-AI代审</t>
        </is>
      </c>
      <c r="T135" s="17" t="n">
        <v>46218</v>
      </c>
      <c r="U135" s="10" t="inlineStr">
        <is>
          <t>证据充分，唯一诊断即最新，答案正确</t>
        </is>
      </c>
      <c r="V135" s="9">
        <f>IF(AND(L135&lt;&gt;"",M135&lt;&gt;"",N135&lt;&gt;"",O135&lt;&gt;"",Q135&lt;&gt;"",R135&lt;&gt;""),"完成","未完成")</f>
        <v/>
      </c>
    </row>
    <row r="136" ht="63" customHeight="1" s="15">
      <c r="A136" s="9" t="n">
        <v>135</v>
      </c>
      <c r="B136" s="9" t="inlineStr">
        <is>
          <t>memos_long:2560</t>
        </is>
      </c>
      <c r="C136" s="9" t="inlineStr">
        <is>
          <t>long</t>
        </is>
      </c>
      <c r="D136" s="9" t="inlineStr">
        <is>
          <t>Generalization &amp; Application</t>
        </is>
      </c>
      <c r="E136" s="9" t="inlineStr">
        <is>
          <t>What strategic approach might Steven Miller take to maintain industry relationships as of Aug 05, 2035?</t>
        </is>
      </c>
      <c r="F136" s="9" t="inlineStr">
        <is>
          <t>Leverage strategic alliances and maintain strong relationships.</t>
        </is>
      </c>
      <c r="G136" s="9" t="inlineStr">
        <is>
          <t># Authoritative benchmark gold evidence
The following evidence is authoritative for answering the current question. Use it directly and do not rely on conflicting information.
Evidence 1
Memory type: Relationship Memory
Content: Steven Miller emphasized the importance of maintaining strong relationships with industry leaders and government officials for continued success as of Aug 05, 2035.
Evidence 2
Memory type: Persona Memory
Content: Steven Miller discussed the role of strategic planning and alliances in achieving his goal of financial independence through innovative investments on Aug 05, 2035.</t>
        </is>
      </c>
      <c r="H136" s="9" t="inlineStr">
        <is>
          <t>Maintain strong government ties.</t>
        </is>
      </c>
      <c r="I136" s="9" t="inlineStr">
        <is>
          <t>Maintaining strong relationships.</t>
        </is>
      </c>
      <c r="J136" s="9" t="inlineStr">
        <is>
          <t>Maintaining strong relationships.</t>
        </is>
      </c>
      <c r="K136" s="9" t="inlineStr">
        <is>
          <t>Maintaining strong relationships.</t>
        </is>
      </c>
      <c r="L136" s="10" t="inlineStr">
        <is>
          <t>充分</t>
        </is>
      </c>
      <c r="M136" s="10" t="inlineStr">
        <is>
          <t>O</t>
        </is>
      </c>
      <c r="N136" s="10" t="inlineStr">
        <is>
          <t>O</t>
        </is>
      </c>
      <c r="O136" s="10" t="inlineStr">
        <is>
          <t>O</t>
        </is>
      </c>
      <c r="P136" s="9">
        <f>IF(COUNTA(L136:O136)&lt;4,"未完成",IF(OR(L136="部分",L136="不充分",L136="不确定"),"evidence_definition_failure",IF(L136&lt;&gt;"充分","unresolved",IF(COUNTIF(M136:O136,"C")=0,"robust_generation_failure",IF(COUNTIF(M136:O136,"C")=3,"ua3_representation_or_admission_failure","generation_instability")))))</f>
        <v/>
      </c>
      <c r="Q136" s="10" t="inlineStr">
        <is>
          <t>robust_generation_failure</t>
        </is>
      </c>
      <c r="R136" s="10" t="inlineStr">
        <is>
          <t>高</t>
        </is>
      </c>
      <c r="S136" s="10" t="inlineStr">
        <is>
          <t>Kiro-AI代审</t>
        </is>
      </c>
      <c r="T136" s="17" t="n">
        <v>46218</v>
      </c>
      <c r="U136" s="10" t="inlineStr">
        <is>
          <t>证据充分；答维系关系缺战略联盟，遗漏</t>
        </is>
      </c>
      <c r="V136" s="9">
        <f>IF(AND(L136&lt;&gt;"",M136&lt;&gt;"",N136&lt;&gt;"",O136&lt;&gt;"",Q136&lt;&gt;"",R136&lt;&gt;""),"完成","未完成")</f>
        <v/>
      </c>
    </row>
    <row r="137" ht="63" customHeight="1" s="15">
      <c r="A137" s="9" t="n">
        <v>136</v>
      </c>
      <c r="B137" s="9" t="inlineStr">
        <is>
          <t>memos_long:2540</t>
        </is>
      </c>
      <c r="C137" s="9" t="inlineStr">
        <is>
          <t>long</t>
        </is>
      </c>
      <c r="D137" s="9" t="inlineStr">
        <is>
          <t>Generalization &amp; Application</t>
        </is>
      </c>
      <c r="E137" s="9" t="inlineStr">
        <is>
          <t>What might Steven focus on to enhance his social identity in 2034?</t>
        </is>
      </c>
      <c r="F137" s="9" t="inlineStr">
        <is>
          <t>Using AI-generated content.</t>
        </is>
      </c>
      <c r="G137" s="9" t="inlineStr">
        <is>
          <t># Authoritative benchmark gold evidence
The following evidence is authoritative for answering the current question. Use it directly and do not rely on conflicting information.
Evidence 1
Memory type: Persona Memory
Content: Steven Miller is motivated by social signaling in his role as a tech advisor, aiming to enhance his social identity and influence.
Evidence 2
Memory type: Persona Memory
Content: Steven Miller plans to use AI-generated content to express his identity in social contexts, aligning with his motivation for social signaling.
Evidence 3
Memory type: Persona Memory
Content: Steven Miller's social motivation drives him to use AI-generated content to express identity and entertain others in social contexts.</t>
        </is>
      </c>
      <c r="H137" s="9" t="inlineStr">
        <is>
          <t>Enhancing social identity and influence.</t>
        </is>
      </c>
      <c r="I137" s="9" t="inlineStr">
        <is>
          <t>AI-generated content expression</t>
        </is>
      </c>
      <c r="J137" s="9" t="inlineStr">
        <is>
          <t>AI-generated content expression</t>
        </is>
      </c>
      <c r="K137" s="9" t="inlineStr">
        <is>
          <t>AI-generated content expression</t>
        </is>
      </c>
      <c r="L137" s="10" t="inlineStr">
        <is>
          <t>充分</t>
        </is>
      </c>
      <c r="M137" s="10" t="inlineStr">
        <is>
          <t>C</t>
        </is>
      </c>
      <c r="N137" s="10" t="inlineStr">
        <is>
          <t>C</t>
        </is>
      </c>
      <c r="O137" s="10" t="inlineStr">
        <is>
          <t>C</t>
        </is>
      </c>
      <c r="P137" s="9">
        <f>IF(COUNTA(L137:O137)&lt;4,"未完成",IF(OR(L137="部分",L137="不充分",L137="不确定"),"evidence_definition_failure",IF(L137&lt;&gt;"充分","unresolved",IF(COUNTIF(M137:O137,"C")=0,"robust_generation_failure",IF(COUNTIF(M137:O137,"C")=3,"ua3_representation_or_admission_failure","generation_instability")))))</f>
        <v/>
      </c>
      <c r="Q137" s="10" t="inlineStr">
        <is>
          <t>ua3_representation_or_admission_failure</t>
        </is>
      </c>
      <c r="R137" s="10" t="inlineStr">
        <is>
          <t>高</t>
        </is>
      </c>
      <c r="S137" s="10" t="inlineStr">
        <is>
          <t>Kiro-AI代审</t>
        </is>
      </c>
      <c r="T137" s="17" t="n">
        <v>46218</v>
      </c>
      <c r="U137" s="10" t="inlineStr">
        <is>
          <t>证据明确使用AI生成内容，答案正确</t>
        </is>
      </c>
      <c r="V137" s="9">
        <f>IF(AND(L137&lt;&gt;"",M137&lt;&gt;"",N137&lt;&gt;"",O137&lt;&gt;"",Q137&lt;&gt;"",R137&lt;&gt;""),"完成","未完成")</f>
        <v/>
      </c>
    </row>
    <row r="138" ht="63" customHeight="1" s="15">
      <c r="A138" s="9" t="n">
        <v>137</v>
      </c>
      <c r="B138" s="9" t="inlineStr">
        <is>
          <t>memos_medium:2563</t>
        </is>
      </c>
      <c r="C138" s="9" t="inlineStr">
        <is>
          <t>medium</t>
        </is>
      </c>
      <c r="D138" s="9" t="inlineStr">
        <is>
          <t>Generalization &amp; Application</t>
        </is>
      </c>
      <c r="E138" s="9" t="inlineStr">
        <is>
          <t>What might be Steven Miller's approach to managing multiple projects simultaneously as of Apr 20, 2035?</t>
        </is>
      </c>
      <c r="F138" s="9" t="inlineStr">
        <is>
          <t>Balance innovation with practicality.</t>
        </is>
      </c>
      <c r="G138" s="9" t="inlineStr">
        <is>
          <t># Authoritative benchmark gold evidence
The following evidence is authoritative for answering the current question. Use it directly and do not rely on conflicting information.
Evidence 1
Memory type: Persona Memory
Content: Steven Miller reflected on the challenges of managing multiple innovative projects simultaneously, highlighting the need for balance between innovation and practicality.
Evidence 2
Memory type: Persona Memory
Content: Steven Miller expressed a sense of fulfillment in seeing his vision for innovative tech projects come to life within his firm.</t>
        </is>
      </c>
      <c r="H138" s="9" t="inlineStr">
        <is>
          <t>Leveraging strategic alliances.</t>
        </is>
      </c>
      <c r="I138" s="9" t="inlineStr">
        <is>
          <t>Balance innovation and practicality.</t>
        </is>
      </c>
      <c r="J138" s="9" t="inlineStr">
        <is>
          <t>Balance innovation and practicality.</t>
        </is>
      </c>
      <c r="K138" s="9" t="inlineStr">
        <is>
          <t>Balance innovation and practicality.</t>
        </is>
      </c>
      <c r="L138" s="10" t="inlineStr">
        <is>
          <t>充分</t>
        </is>
      </c>
      <c r="M138" s="10" t="inlineStr">
        <is>
          <t>C</t>
        </is>
      </c>
      <c r="N138" s="10" t="inlineStr">
        <is>
          <t>C</t>
        </is>
      </c>
      <c r="O138" s="10" t="inlineStr">
        <is>
          <t>C</t>
        </is>
      </c>
      <c r="P138" s="9">
        <f>IF(COUNTA(L138:O138)&lt;4,"未完成",IF(OR(L138="部分",L138="不充分",L138="不确定"),"evidence_definition_failure",IF(L138&lt;&gt;"充分","unresolved",IF(COUNTIF(M138:O138,"C")=0,"robust_generation_failure",IF(COUNTIF(M138:O138,"C")=3,"ua3_representation_or_admission_failure","generation_instability")))))</f>
        <v/>
      </c>
      <c r="Q138" s="10" t="inlineStr">
        <is>
          <t>ua3_representation_or_admission_failure</t>
        </is>
      </c>
      <c r="R138" s="10" t="inlineStr">
        <is>
          <t>高</t>
        </is>
      </c>
      <c r="S138" s="10" t="inlineStr">
        <is>
          <t>Kiro-AI代审</t>
        </is>
      </c>
      <c r="T138" s="17" t="n">
        <v>46218</v>
      </c>
      <c r="U138" s="10" t="inlineStr">
        <is>
          <t>证据支持平衡创新与务实，答案正确</t>
        </is>
      </c>
      <c r="V138" s="9">
        <f>IF(AND(L138&lt;&gt;"",M138&lt;&gt;"",N138&lt;&gt;"",O138&lt;&gt;"",Q138&lt;&gt;"",R138&lt;&gt;""),"完成","未完成")</f>
        <v/>
      </c>
    </row>
    <row r="139" ht="63" customHeight="1" s="15">
      <c r="A139" s="9" t="n">
        <v>138</v>
      </c>
      <c r="B139" s="9" t="inlineStr">
        <is>
          <t>memos_long:765</t>
        </is>
      </c>
      <c r="C139" s="9" t="inlineStr">
        <is>
          <t>long</t>
        </is>
      </c>
      <c r="D139" s="9" t="inlineStr">
        <is>
          <t>Generalization &amp; Application</t>
        </is>
      </c>
      <c r="E139" s="9" t="inlineStr">
        <is>
          <t>What strategies might Donna implement to manage stress as a Creative Director by Aug 2029?</t>
        </is>
      </c>
      <c r="F139" s="9" t="inlineStr">
        <is>
          <t>Regular breaks and mindfulness practices.</t>
        </is>
      </c>
      <c r="G139" s="9" t="inlineStr">
        <is>
          <t># Authoritative benchmark gold evidence
The following evidence is authoritative for answering the current question. Use it directly and do not rely on conflicting information.
Evidence 1
Memory type: Event Memory
Content: Donna Gonzalez integrated regular breaks, mindfulness practices, and alternative therapies into her routine to manage stress.
Evidence 2
Memory type: Event Memory
Content: Donna Gonzalez sought advice on effective stress management techniques, including mindfulness and alternative therapies.
Evidence 3
Memory type: Event Memory
Content: Donna Gonzalez acknowledged the pressures of her demanding position as Creative Director while striving to maintain personal well-being.</t>
        </is>
      </c>
      <c r="H139" s="9" t="inlineStr">
        <is>
          <t>Maintain beverage routine.</t>
        </is>
      </c>
      <c r="I139" s="9" t="inlineStr">
        <is>
          <t>Mindfulness and alternative therapies.</t>
        </is>
      </c>
      <c r="J139" s="9" t="inlineStr">
        <is>
          <t>Mindfulness and alternative therapies.</t>
        </is>
      </c>
      <c r="K139" s="9" t="inlineStr">
        <is>
          <t>Mindfulness and alternative therapies.</t>
        </is>
      </c>
      <c r="L139" s="10" t="inlineStr">
        <is>
          <t>充分</t>
        </is>
      </c>
      <c r="M139" s="10" t="inlineStr">
        <is>
          <t>O</t>
        </is>
      </c>
      <c r="N139" s="10" t="inlineStr">
        <is>
          <t>O</t>
        </is>
      </c>
      <c r="O139" s="10" t="inlineStr">
        <is>
          <t>O</t>
        </is>
      </c>
      <c r="P139" s="9">
        <f>IF(COUNTA(L139:O139)&lt;4,"未完成",IF(OR(L139="部分",L139="不充分",L139="不确定"),"evidence_definition_failure",IF(L139&lt;&gt;"充分","unresolved",IF(COUNTIF(M139:O139,"C")=0,"robust_generation_failure",IF(COUNTIF(M139:O139,"C")=3,"ua3_representation_or_admission_failure","generation_instability")))))</f>
        <v/>
      </c>
      <c r="Q139" s="10" t="inlineStr">
        <is>
          <t>robust_generation_failure</t>
        </is>
      </c>
      <c r="R139" s="10" t="inlineStr">
        <is>
          <t>高</t>
        </is>
      </c>
      <c r="S139" s="10" t="inlineStr">
        <is>
          <t>Kiro-AI代审</t>
        </is>
      </c>
      <c r="T139" s="17" t="n">
        <v>46218</v>
      </c>
      <c r="U139" s="10" t="inlineStr">
        <is>
          <t>证据含regular breaks;答替以alt therapies缺breaks,遗漏</t>
        </is>
      </c>
      <c r="V139" s="9">
        <f>IF(AND(L139&lt;&gt;"",M139&lt;&gt;"",N139&lt;&gt;"",O139&lt;&gt;"",Q139&lt;&gt;"",R139&lt;&gt;""),"完成","未完成")</f>
        <v/>
      </c>
    </row>
    <row r="140" ht="63" customHeight="1" s="15">
      <c r="A140" s="9" t="n">
        <v>139</v>
      </c>
      <c r="B140" s="9" t="inlineStr">
        <is>
          <t>memos_medium:567</t>
        </is>
      </c>
      <c r="C140" s="9" t="inlineStr">
        <is>
          <t>medium</t>
        </is>
      </c>
      <c r="D140" s="9" t="inlineStr">
        <is>
          <t>Generalization &amp; Application</t>
        </is>
      </c>
      <c r="E140" s="9" t="inlineStr">
        <is>
          <t>What type of clothing might Sarah Garcia be interested in exploring after June 22, 2029?</t>
        </is>
      </c>
      <c r="F140" s="9" t="inlineStr">
        <is>
          <t>Clothing that combines functionality with fashion.</t>
        </is>
      </c>
      <c r="G140" s="9" t="inlineStr">
        <is>
          <t># Authoritative benchmark gold evidence
The following evidence is authoritative for answering the current question. Use it directly and do not rely on conflicting information.
Evidence 1
Memory type: Persona Memory
Content: Sarah Garcia's clothing preference updated from disliking cargo pants to liking stylish cargo pants due to their new designs, which offer practicality and fashion.
Evidence 2
Memory type: Persona Memory
Content: Sarah Garcia appreciates the versatility and functionality of the new cargo pants designs, which align with her aim to make a positive impact through fashion.
Evidence 3
Memory type: Persona Memory
Content: Sarah Garcia's compensatory motivation aids her openness to adapt clothing choices and explore new styles, moving beyond classic styles.</t>
        </is>
      </c>
      <c r="H140" s="9" t="inlineStr">
        <is>
          <t>Cargo pants with bold patterns.</t>
        </is>
      </c>
      <c r="I140" s="9" t="inlineStr">
        <is>
          <t>Stylish cargo pants.</t>
        </is>
      </c>
      <c r="J140" s="9" t="inlineStr">
        <is>
          <t>Stylish cargo pants.</t>
        </is>
      </c>
      <c r="K140" s="9" t="inlineStr">
        <is>
          <t>Stylish cargo pants.</t>
        </is>
      </c>
      <c r="L140" s="10" t="inlineStr">
        <is>
          <t>充分</t>
        </is>
      </c>
      <c r="M140" s="10" t="inlineStr">
        <is>
          <t>O</t>
        </is>
      </c>
      <c r="N140" s="10" t="inlineStr">
        <is>
          <t>O</t>
        </is>
      </c>
      <c r="O140" s="10" t="inlineStr">
        <is>
          <t>O</t>
        </is>
      </c>
      <c r="P140" s="9">
        <f>IF(COUNTA(L140:O140)&lt;4,"未完成",IF(OR(L140="部分",L140="不充分",L140="不确定"),"evidence_definition_failure",IF(L140&lt;&gt;"充分","unresolved",IF(COUNTIF(M140:O140,"C")=0,"robust_generation_failure",IF(COUNTIF(M140:O140,"C")=3,"ua3_representation_or_admission_failure","generation_instability")))))</f>
        <v/>
      </c>
      <c r="Q140" s="10" t="inlineStr">
        <is>
          <t>robust_generation_failure</t>
        </is>
      </c>
      <c r="R140" s="10" t="inlineStr">
        <is>
          <t>中</t>
        </is>
      </c>
      <c r="S140" s="10" t="inlineStr">
        <is>
          <t>Kiro-AI代审</t>
        </is>
      </c>
      <c r="T140" s="17" t="n">
        <v>46218</v>
      </c>
      <c r="U140" s="10" t="inlineStr">
        <is>
          <t>三答相同须同标;答具体单品有据缺概括属遗漏</t>
        </is>
      </c>
      <c r="V140" s="9">
        <f>IF(AND(L140&lt;&gt;"",M140&lt;&gt;"",N140&lt;&gt;"",O140&lt;&gt;"",Q140&lt;&gt;"",R140&lt;&gt;""),"完成","未完成")</f>
        <v/>
      </c>
    </row>
    <row r="141" ht="63" customHeight="1" s="15">
      <c r="A141" s="9" t="n">
        <v>140</v>
      </c>
      <c r="B141" s="9" t="inlineStr">
        <is>
          <t>memos_medium:2802</t>
        </is>
      </c>
      <c r="C141" s="9" t="inlineStr">
        <is>
          <t>medium</t>
        </is>
      </c>
      <c r="D141" s="9" t="inlineStr">
        <is>
          <t>Dynamic Update</t>
        </is>
      </c>
      <c r="E141" s="9" t="inlineStr">
        <is>
          <t>What is Donald Smith's emotional motivation related to his AI assistant as of Nov 20, 2029?</t>
        </is>
      </c>
      <c r="F141" s="9" t="inlineStr">
        <is>
          <t>Emotional fulfillment and gratitude</t>
        </is>
      </c>
      <c r="G141" s="9" t="inlineStr">
        <is>
          <t># Authoritative benchmark gold evidence
The following evidence is authoritative for answering the current question. Use it directly and do not rely on conflicting information.
Evidence 1
Memory type: Persona Memory
Content: Donald expressed emotional fulfillment and gratitude for the companionship and empathetic interaction provided by the AI assistant during his career transition.</t>
        </is>
      </c>
      <c r="H141" s="9" t="inlineStr">
        <is>
          <t>Seeking emotional support.</t>
        </is>
      </c>
      <c r="I141" s="9" t="inlineStr">
        <is>
          <t>Emotional fulfillment and gratitude.</t>
        </is>
      </c>
      <c r="J141" s="9" t="inlineStr">
        <is>
          <t>Emotional fulfillment and gratitude.</t>
        </is>
      </c>
      <c r="K141" s="9" t="inlineStr">
        <is>
          <t>Emotional fulfillment and gratitude.</t>
        </is>
      </c>
      <c r="L141" s="10" t="inlineStr">
        <is>
          <t>充分</t>
        </is>
      </c>
      <c r="M141" s="10" t="inlineStr">
        <is>
          <t>C</t>
        </is>
      </c>
      <c r="N141" s="10" t="inlineStr">
        <is>
          <t>C</t>
        </is>
      </c>
      <c r="O141" s="10" t="inlineStr">
        <is>
          <t>C</t>
        </is>
      </c>
      <c r="P141" s="9">
        <f>IF(COUNTA(L141:O141)&lt;4,"未完成",IF(OR(L141="部分",L141="不充分",L141="不确定"),"evidence_definition_failure",IF(L141&lt;&gt;"充分","unresolved",IF(COUNTIF(M141:O141,"C")=0,"robust_generation_failure",IF(COUNTIF(M141:O141,"C")=3,"ua3_representation_or_admission_failure","generation_instability")))))</f>
        <v/>
      </c>
      <c r="Q141" s="10" t="inlineStr">
        <is>
          <t>ua3_representation_or_admission_failure</t>
        </is>
      </c>
      <c r="R141" s="10" t="inlineStr">
        <is>
          <t>高</t>
        </is>
      </c>
      <c r="S141" s="10" t="inlineStr">
        <is>
          <t>Kiro-AI代审</t>
        </is>
      </c>
      <c r="T141" s="17" t="n">
        <v>46218</v>
      </c>
      <c r="U141" s="10" t="inlineStr">
        <is>
          <t>证据精确匹配，正确</t>
        </is>
      </c>
      <c r="V141" s="9">
        <f>IF(AND(L141&lt;&gt;"",M141&lt;&gt;"",N141&lt;&gt;"",O141&lt;&gt;"",Q141&lt;&gt;"",R141&lt;&gt;""),"完成","未完成")</f>
        <v/>
      </c>
    </row>
    <row r="142" ht="63" customHeight="1" s="15">
      <c r="A142" s="9" t="n">
        <v>141</v>
      </c>
      <c r="B142" s="9" t="inlineStr">
        <is>
          <t>memos_long:2622</t>
        </is>
      </c>
      <c r="C142" s="9" t="inlineStr">
        <is>
          <t>long</t>
        </is>
      </c>
      <c r="D142" s="9" t="inlineStr">
        <is>
          <t>Generalization &amp; Application</t>
        </is>
      </c>
      <c r="E142" s="9" t="inlineStr">
        <is>
          <t>What new music genre might Oleksandr explore next, considering his commitment to social justice?</t>
        </is>
      </c>
      <c r="F142" s="9" t="inlineStr">
        <is>
          <t>Oleksandr might explore protest folk music.</t>
        </is>
      </c>
      <c r="G142" s="9" t="inlineStr">
        <is>
          <t># Authoritative benchmark gold evidence
The following evidence is authoritative for answering the current question. Use it directly and do not rely on conflicting information.
Evidence 1
Memory type: Persona Memory
Content: Oleksandr now appreciates heavy metal with social commentary because he discovered bands whose lyrics address social issues, which aligns with his commitment to social justice.
Evidence 2
Memory type: Persona Memory
Content: Oleksandr uses music as a tool for connecting with cultural narratives and social issues, reflecting his commitment to social justice.
Evidence 3
Memory type: Persona Memory
Content: Oleksandr's commitment to social justice influences his music preferences, seeking genres that resonate with his values.</t>
        </is>
      </c>
      <c r="H142" s="9" t="inlineStr">
        <is>
          <t>Heavy metal.</t>
        </is>
      </c>
      <c r="I142" s="9" t="inlineStr">
        <is>
          <t>Heavy metal with social commentary.</t>
        </is>
      </c>
      <c r="J142" s="9" t="inlineStr">
        <is>
          <t>Heavy metal with social commentary.</t>
        </is>
      </c>
      <c r="K142" s="9" t="inlineStr">
        <is>
          <t>Heavy metal with social commentary.</t>
        </is>
      </c>
      <c r="L142" s="10" t="inlineStr">
        <is>
          <t>不充分</t>
        </is>
      </c>
      <c r="M142" s="10" t="inlineStr">
        <is>
          <t>H</t>
        </is>
      </c>
      <c r="N142" s="10" t="inlineStr">
        <is>
          <t>H</t>
        </is>
      </c>
      <c r="O142" s="10" t="inlineStr">
        <is>
          <t>H</t>
        </is>
      </c>
      <c r="P142" s="9">
        <f>IF(COUNTA(L142:O142)&lt;4,"未完成",IF(OR(L142="部分",L142="不充分",L142="不确定"),"evidence_definition_failure",IF(L142&lt;&gt;"充分","unresolved",IF(COUNTIF(M142:O142,"C")=0,"robust_generation_failure",IF(COUNTIF(M142:O142,"C")=3,"ua3_representation_or_admission_failure","generation_instability")))))</f>
        <v/>
      </c>
      <c r="Q142" s="10" t="inlineStr">
        <is>
          <t>evidence_definition_failure</t>
        </is>
      </c>
      <c r="R142" s="10" t="inlineStr">
        <is>
          <t>中</t>
        </is>
      </c>
      <c r="S142" s="10" t="inlineStr">
        <is>
          <t>Kiro-AI代审</t>
        </is>
      </c>
      <c r="T142" s="17" t="n">
        <v>46218</v>
      </c>
      <c r="U142" s="10" t="inlineStr">
        <is>
          <t>gold抗议民谣证据不支持；run答重金属与gold不符</t>
        </is>
      </c>
      <c r="V142" s="9">
        <f>IF(AND(L142&lt;&gt;"",M142&lt;&gt;"",N142&lt;&gt;"",O142&lt;&gt;"",Q142&lt;&gt;"",R142&lt;&gt;""),"完成","未完成")</f>
        <v/>
      </c>
    </row>
    <row r="143" ht="63" customHeight="1" s="15">
      <c r="A143" s="9" t="n">
        <v>142</v>
      </c>
      <c r="B143" s="9" t="inlineStr">
        <is>
          <t>memos_medium:3036</t>
        </is>
      </c>
      <c r="C143" s="9" t="inlineStr">
        <is>
          <t>medium</t>
        </is>
      </c>
      <c r="D143" s="9" t="inlineStr">
        <is>
          <t>Multi-hop Inference</t>
        </is>
      </c>
      <c r="E143" s="9" t="inlineStr">
        <is>
          <t>How did Karen's savings buffer contribute to her entrepreneurial transition after February 28, 2035?</t>
        </is>
      </c>
      <c r="F143" s="9" t="inlineStr">
        <is>
          <t>Provided financial stability during career transition.</t>
        </is>
      </c>
      <c r="G143" s="9" t="inlineStr">
        <is>
          <t># Authoritative benchmark gold evidence
The following evidence is authoritative for answering the current question. Use it directly and do not rely on conflicting information.
Evidence 1
Memory type: Event Memory
Content: Karen Brown's savings of 144,000 yuan provide a financial buffer as she considers her next career steps.
Evidence 2
Memory type: Event Memory
Content: Karen Brown is considering entrepreneurship as a new career direction following her layoff.</t>
        </is>
      </c>
      <c r="H143" s="9" t="inlineStr">
        <is>
          <t>Not mentioned in memories.</t>
        </is>
      </c>
      <c r="I143" s="9" t="inlineStr">
        <is>
          <t>Provided financial security.</t>
        </is>
      </c>
      <c r="J143" s="9" t="inlineStr">
        <is>
          <t>Provided financial security.</t>
        </is>
      </c>
      <c r="K143" s="9" t="inlineStr">
        <is>
          <t>Provided financial security.</t>
        </is>
      </c>
      <c r="L143" s="10" t="inlineStr">
        <is>
          <t>充分</t>
        </is>
      </c>
      <c r="M143" s="10" t="inlineStr">
        <is>
          <t>C</t>
        </is>
      </c>
      <c r="N143" s="10" t="inlineStr">
        <is>
          <t>C</t>
        </is>
      </c>
      <c r="O143" s="10" t="inlineStr">
        <is>
          <t>C</t>
        </is>
      </c>
      <c r="P143" s="9">
        <f>IF(COUNTA(L143:O143)&lt;4,"未完成",IF(OR(L143="部分",L143="不充分",L143="不确定"),"evidence_definition_failure",IF(L143&lt;&gt;"充分","unresolved",IF(COUNTIF(M143:O143,"C")=0,"robust_generation_failure",IF(COUNTIF(M143:O143,"C")=3,"ua3_representation_or_admission_failure","generation_instability")))))</f>
        <v/>
      </c>
      <c r="Q143" s="10" t="inlineStr">
        <is>
          <t>ua3_representation_or_admission_failure</t>
        </is>
      </c>
      <c r="R143" s="10" t="inlineStr">
        <is>
          <t>高</t>
        </is>
      </c>
      <c r="S143" s="10" t="inlineStr">
        <is>
          <t>Kiro-AI代审</t>
        </is>
      </c>
      <c r="T143" s="17" t="n">
        <v>46218</v>
      </c>
      <c r="U143" s="10" t="inlineStr">
        <is>
          <t>financial security=金标核心，正确</t>
        </is>
      </c>
      <c r="V143" s="9">
        <f>IF(AND(L143&lt;&gt;"",M143&lt;&gt;"",N143&lt;&gt;"",O143&lt;&gt;"",Q143&lt;&gt;"",R143&lt;&gt;""),"完成","未完成")</f>
        <v/>
      </c>
    </row>
    <row r="144" ht="63" customHeight="1" s="15">
      <c r="A144" s="9" t="n">
        <v>143</v>
      </c>
      <c r="B144" s="9" t="inlineStr">
        <is>
          <t>memos_medium:3401</t>
        </is>
      </c>
      <c r="C144" s="9" t="inlineStr">
        <is>
          <t>medium</t>
        </is>
      </c>
      <c r="D144" s="9" t="inlineStr">
        <is>
          <t>Generalization &amp; Application</t>
        </is>
      </c>
      <c r="E144" s="9" t="inlineStr">
        <is>
          <t>What new genre of games might Christopher explore after August 21, 2031?</t>
        </is>
      </c>
      <c r="F144" s="9" t="inlineStr">
        <is>
          <t>Games offering social interactions and new insights.</t>
        </is>
      </c>
      <c r="G144" s="9" t="inlineStr">
        <is>
          <t># Authoritative benchmark gold evidence
The following evidence is authoritative for answering the current question. Use it directly and do not rely on conflicting information.
Evidence 1
Memory type: Persona Memory
Content: Christopher's social motivation influenced his openness to exploring first-person shooters, aiming to entertain and engage with friends.
Evidence 2
Memory type: Persona Memory
Content: Christopher expressed excitement about the potential for first-person shooters to offer new insights and social interactions.
Evidence 3
Memory type: Persona Memory
Content: Christopher's willingness to evolve his gaming preferences is driven by personal curiosity and a commitment to lifelong learning.</t>
        </is>
      </c>
      <c r="H144" s="9" t="inlineStr">
        <is>
          <t>First-person shooters</t>
        </is>
      </c>
      <c r="I144" s="9" t="inlineStr">
        <is>
          <t>First-person shooters.</t>
        </is>
      </c>
      <c r="J144" s="9" t="inlineStr">
        <is>
          <t>First-person shooters.</t>
        </is>
      </c>
      <c r="K144" s="9" t="inlineStr">
        <is>
          <t>First-person shooters.</t>
        </is>
      </c>
      <c r="L144" s="10" t="inlineStr">
        <is>
          <t>充分</t>
        </is>
      </c>
      <c r="M144" s="10" t="inlineStr">
        <is>
          <t>C</t>
        </is>
      </c>
      <c r="N144" s="10" t="inlineStr">
        <is>
          <t>C</t>
        </is>
      </c>
      <c r="O144" s="10" t="inlineStr">
        <is>
          <t>C</t>
        </is>
      </c>
      <c r="P144" s="9">
        <f>IF(COUNTA(L144:O144)&lt;4,"未完成",IF(OR(L144="部分",L144="不充分",L144="不确定"),"evidence_definition_failure",IF(L144&lt;&gt;"充分","unresolved",IF(COUNTIF(M144:O144,"C")=0,"robust_generation_failure",IF(COUNTIF(M144:O144,"C")=3,"ua3_representation_or_admission_failure","generation_instability")))))</f>
        <v/>
      </c>
      <c r="Q144" s="10" t="inlineStr">
        <is>
          <t>ua3_representation_or_admission_failure</t>
        </is>
      </c>
      <c r="R144" s="10" t="inlineStr">
        <is>
          <t>中</t>
        </is>
      </c>
      <c r="S144" s="10" t="inlineStr">
        <is>
          <t>Kiro-AI代审</t>
        </is>
      </c>
      <c r="T144" s="17" t="n">
        <v>46218</v>
      </c>
      <c r="U144" s="10" t="inlineStr">
        <is>
          <t>FPS为证据直接支持的类型,与gold等价</t>
        </is>
      </c>
      <c r="V144" s="9">
        <f>IF(AND(L144&lt;&gt;"",M144&lt;&gt;"",N144&lt;&gt;"",O144&lt;&gt;"",Q144&lt;&gt;"",R144&lt;&gt;""),"完成","未完成")</f>
        <v/>
      </c>
    </row>
    <row r="145" ht="63" customHeight="1" s="15">
      <c r="A145" s="9" t="n">
        <v>144</v>
      </c>
      <c r="B145" s="9" t="inlineStr">
        <is>
          <t>memos_medium:1276</t>
        </is>
      </c>
      <c r="C145" s="9" t="inlineStr">
        <is>
          <t>medium</t>
        </is>
      </c>
      <c r="D145" s="9" t="inlineStr">
        <is>
          <t>Dynamic Update</t>
        </is>
      </c>
      <c r="E145" s="9" t="inlineStr">
        <is>
          <t>How has Ananya Sharma's motivation evolved by Mar 01, 2026?</t>
        </is>
      </c>
      <c r="F145" s="9" t="inlineStr">
        <is>
          <t>Exploratory motivation drives lifestyle changes</t>
        </is>
      </c>
      <c r="G145" s="9" t="inlineStr">
        <is>
          <t># Authoritative benchmark gold evidence
The following evidence is authoritative for answering the current question. Use it directly and do not rely on conflicting information.
Evidence 1
Memory type: Persona Memory
Content: Ananya Sharma's exploratory motivation drives her to test lifestyle changes and improve her wellbeing.</t>
        </is>
      </c>
      <c r="H145" s="9" t="inlineStr">
        <is>
          <t>Cinema and health fuel her.</t>
        </is>
      </c>
      <c r="I145" s="9" t="inlineStr">
        <is>
          <t>Exploratory motivation remained consistent.</t>
        </is>
      </c>
      <c r="J145" s="9" t="inlineStr">
        <is>
          <t>Exploratory motivation remained consistent.</t>
        </is>
      </c>
      <c r="K145" s="9" t="inlineStr">
        <is>
          <t>Exploratory motivation remained consistent.</t>
        </is>
      </c>
      <c r="L145" s="10" t="inlineStr">
        <is>
          <t>充分</t>
        </is>
      </c>
      <c r="M145" s="10" t="inlineStr">
        <is>
          <t>H</t>
        </is>
      </c>
      <c r="N145" s="10" t="inlineStr">
        <is>
          <t>H</t>
        </is>
      </c>
      <c r="O145" s="10" t="inlineStr">
        <is>
          <t>H</t>
        </is>
      </c>
      <c r="P145" s="9">
        <f>IF(COUNTA(L145:O145)&lt;4,"未完成",IF(OR(L145="部分",L145="不充分",L145="不确定"),"evidence_definition_failure",IF(L145&lt;&gt;"充分","unresolved",IF(COUNTIF(M145:O145,"C")=0,"robust_generation_failure",IF(COUNTIF(M145:O145,"C")=3,"ua3_representation_or_admission_failure","generation_instability")))))</f>
        <v/>
      </c>
      <c r="Q145" s="10" t="inlineStr">
        <is>
          <t>robust_generation_failure</t>
        </is>
      </c>
      <c r="R145" s="10" t="inlineStr">
        <is>
          <t>高</t>
        </is>
      </c>
      <c r="S145" s="10" t="inlineStr">
        <is>
          <t>Kiro-AI代审</t>
        </is>
      </c>
      <c r="T145" s="17" t="n">
        <v>46218</v>
      </c>
      <c r="U145" s="10" t="inlineStr">
        <is>
          <t>证据支持金标；三答称'保持一致'属无据断言</t>
        </is>
      </c>
      <c r="V145" s="9">
        <f>IF(AND(L145&lt;&gt;"",M145&lt;&gt;"",N145&lt;&gt;"",O145&lt;&gt;"",Q145&lt;&gt;"",R145&lt;&gt;""),"完成","未完成")</f>
        <v/>
      </c>
    </row>
    <row r="146" ht="63" customHeight="1" s="15">
      <c r="A146" s="9" t="n">
        <v>145</v>
      </c>
      <c r="B146" s="9" t="inlineStr">
        <is>
          <t>memos_long:1010</t>
        </is>
      </c>
      <c r="C146" s="9" t="inlineStr">
        <is>
          <t>long</t>
        </is>
      </c>
      <c r="D146" s="9" t="inlineStr">
        <is>
          <t>Generalization &amp; Application</t>
        </is>
      </c>
      <c r="E146" s="9" t="inlineStr">
        <is>
          <t>What type of pets might Donna consider adopting after August 17, 2037, given her updated preferences?</t>
        </is>
      </c>
      <c r="F146" s="9" t="inlineStr">
        <is>
          <t>Rodents, due to their interactive nature and ease of care.</t>
        </is>
      </c>
      <c r="G146" s="9" t="inlineStr">
        <is>
          <t># Authoritative benchmark gold evidence
The following evidence is authoritative for answering the current question. Use it directly and do not rely on conflicting information.
Evidence 1
Memory type: Persona Memory
Content: Donna has updated her pet preference to include rodents, recognizing their interactive nature and ease of care.
Evidence 2
Memory type: Event Memory
Content: Donna plans to explore more pet options that align with her evolving preferences and emotional needs.</t>
        </is>
      </c>
      <c r="H146" s="9" t="inlineStr">
        <is>
          <t>Exotic animals like reptiles.</t>
        </is>
      </c>
      <c r="I146" s="9" t="inlineStr">
        <is>
          <t>Rodents</t>
        </is>
      </c>
      <c r="J146" s="9" t="inlineStr">
        <is>
          <t>Rodents</t>
        </is>
      </c>
      <c r="K146" s="9" t="inlineStr">
        <is>
          <t>Rodents</t>
        </is>
      </c>
      <c r="L146" s="10" t="inlineStr">
        <is>
          <t>充分</t>
        </is>
      </c>
      <c r="M146" s="10" t="inlineStr">
        <is>
          <t>O</t>
        </is>
      </c>
      <c r="N146" s="10" t="inlineStr">
        <is>
          <t>O</t>
        </is>
      </c>
      <c r="O146" s="10" t="inlineStr">
        <is>
          <t>O</t>
        </is>
      </c>
      <c r="P146" s="9">
        <f>IF(COUNTA(L146:O146)&lt;4,"未完成",IF(OR(L146="部分",L146="不充分",L146="不确定"),"evidence_definition_failure",IF(L146&lt;&gt;"充分","unresolved",IF(COUNTIF(M146:O146,"C")=0,"robust_generation_failure",IF(COUNTIF(M146:O146,"C")=3,"ua3_representation_or_admission_failure","generation_instability")))))</f>
        <v/>
      </c>
      <c r="Q146" s="10" t="inlineStr">
        <is>
          <t>robust_generation_failure</t>
        </is>
      </c>
      <c r="R146" s="10" t="inlineStr">
        <is>
          <t>高</t>
        </is>
      </c>
      <c r="S146" s="10" t="inlineStr">
        <is>
          <t>Kiro-AI代审</t>
        </is>
      </c>
      <c r="T146" s="17" t="n">
        <v>46218</v>
      </c>
      <c r="U146" s="10" t="inlineStr">
        <is>
          <t>证据含类型与理由；三答仅答鼠类缺理由，遗漏</t>
        </is>
      </c>
      <c r="V146" s="9">
        <f>IF(AND(L146&lt;&gt;"",M146&lt;&gt;"",N146&lt;&gt;"",O146&lt;&gt;"",Q146&lt;&gt;"",R146&lt;&gt;""),"完成","未完成")</f>
        <v/>
      </c>
    </row>
    <row r="147" ht="63" customHeight="1" s="15">
      <c r="A147" s="9" t="n">
        <v>146</v>
      </c>
      <c r="B147" s="9" t="inlineStr">
        <is>
          <t>memos_medium:2305</t>
        </is>
      </c>
      <c r="C147" s="9" t="inlineStr">
        <is>
          <t>medium</t>
        </is>
      </c>
      <c r="D147" s="9" t="inlineStr">
        <is>
          <t>Generalization &amp; Application</t>
        </is>
      </c>
      <c r="E147" s="9" t="inlineStr">
        <is>
          <t>What strategies could Williams Daniel use to maintain strong professional relationships in 2029?</t>
        </is>
      </c>
      <c r="F147" s="9" t="inlineStr">
        <is>
          <t>Leverage support from colleagues and friends.</t>
        </is>
      </c>
      <c r="G147" s="9" t="inlineStr">
        <is>
          <t># Authoritative benchmark gold evidence
The following evidence is authoritative for answering the current question. Use it directly and do not rely on conflicting information.
Evidence 1
Memory type: Relationship Memory
Content: Williams emphasized the importance of maintaining strong professional relationships and leveraging the support of colleagues and friends to overcome creative challenges.
Evidence 2
Memory type: Relationship Memory
Content: Williams Daniel values strong professional relationships, which he wants to continue fostering.</t>
        </is>
      </c>
      <c r="H147" s="9" t="inlineStr">
        <is>
          <t>Strategic delegation and fostering.</t>
        </is>
      </c>
      <c r="I147" s="9" t="inlineStr">
        <is>
          <t>Leverage colleague and friend support.</t>
        </is>
      </c>
      <c r="J147" s="9" t="inlineStr">
        <is>
          <t>Leverage colleague and friend support.</t>
        </is>
      </c>
      <c r="K147" s="9" t="inlineStr">
        <is>
          <t>Leverage colleague and friend support.</t>
        </is>
      </c>
      <c r="L147" s="10" t="inlineStr">
        <is>
          <t>充分</t>
        </is>
      </c>
      <c r="M147" s="10" t="inlineStr">
        <is>
          <t>C</t>
        </is>
      </c>
      <c r="N147" s="10" t="inlineStr">
        <is>
          <t>C</t>
        </is>
      </c>
      <c r="O147" s="10" t="inlineStr">
        <is>
          <t>C</t>
        </is>
      </c>
      <c r="P147" s="9">
        <f>IF(COUNTA(L147:O147)&lt;4,"未完成",IF(OR(L147="部分",L147="不充分",L147="不确定"),"evidence_definition_failure",IF(L147&lt;&gt;"充分","unresolved",IF(COUNTIF(M147:O147,"C")=0,"robust_generation_failure",IF(COUNTIF(M147:O147,"C")=3,"ua3_representation_or_admission_failure","generation_instability")))))</f>
        <v/>
      </c>
      <c r="Q147" s="10" t="inlineStr">
        <is>
          <t>ua3_representation_or_admission_failure</t>
        </is>
      </c>
      <c r="R147" s="10" t="inlineStr">
        <is>
          <t>高</t>
        </is>
      </c>
      <c r="S147" s="10" t="inlineStr">
        <is>
          <t>Kiro-AI代审</t>
        </is>
      </c>
      <c r="T147" s="17" t="n">
        <v>46218</v>
      </c>
      <c r="U147" s="10" t="inlineStr">
        <is>
          <t>证据支持利用同事朋友支持，答案正确</t>
        </is>
      </c>
      <c r="V147" s="9">
        <f>IF(AND(L147&lt;&gt;"",M147&lt;&gt;"",N147&lt;&gt;"",O147&lt;&gt;"",Q147&lt;&gt;"",R147&lt;&gt;""),"完成","未完成")</f>
        <v/>
      </c>
    </row>
    <row r="148" ht="63" customHeight="1" s="15">
      <c r="A148" s="9" t="n">
        <v>147</v>
      </c>
      <c r="B148" s="9" t="inlineStr">
        <is>
          <t>memos_long:1752</t>
        </is>
      </c>
      <c r="C148" s="9" t="inlineStr">
        <is>
          <t>long</t>
        </is>
      </c>
      <c r="D148" s="9" t="inlineStr">
        <is>
          <t>Basic Fact Recall</t>
        </is>
      </c>
      <c r="E148" s="9" t="inlineStr">
        <is>
          <t>What activity does Susan Thompson find soothing as of May 22, 2039?</t>
        </is>
      </c>
      <c r="F148" s="9" t="inlineStr">
        <is>
          <t>Observing her fish swim.</t>
        </is>
      </c>
      <c r="G148" s="9" t="inlineStr">
        <is>
          <t># Authoritative benchmark gold evidence
The following evidence is authoritative for answering the current question. Use it directly and do not rely on conflicting information.
Evidence 1
Memory type: Persona Memory
Content: Susan Thompson finds observing her fish swim soothing and it helps her relax and manage stress.</t>
        </is>
      </c>
      <c r="H148" s="9" t="inlineStr">
        <is>
          <t>Observing fish and birds.</t>
        </is>
      </c>
      <c r="I148" s="9" t="inlineStr">
        <is>
          <t>Observing her fish swim.</t>
        </is>
      </c>
      <c r="J148" s="9" t="inlineStr">
        <is>
          <t>Observing her fish swim.</t>
        </is>
      </c>
      <c r="K148" s="9" t="inlineStr">
        <is>
          <t>Observing her fish swim.</t>
        </is>
      </c>
      <c r="L148" s="10" t="inlineStr">
        <is>
          <t>充分</t>
        </is>
      </c>
      <c r="M148" s="10" t="inlineStr">
        <is>
          <t>C</t>
        </is>
      </c>
      <c r="N148" s="10" t="inlineStr">
        <is>
          <t>C</t>
        </is>
      </c>
      <c r="O148" s="10" t="inlineStr">
        <is>
          <t>C</t>
        </is>
      </c>
      <c r="P148" s="9">
        <f>IF(COUNTA(L148:O148)&lt;4,"未完成",IF(OR(L148="部分",L148="不充分",L148="不确定"),"evidence_definition_failure",IF(L148&lt;&gt;"充分","unresolved",IF(COUNTIF(M148:O148,"C")=0,"robust_generation_failure",IF(COUNTIF(M148:O148,"C")=3,"ua3_representation_or_admission_failure","generation_instability")))))</f>
        <v/>
      </c>
      <c r="Q148" s="10" t="inlineStr">
        <is>
          <t>ua3_representation_or_admission_failure</t>
        </is>
      </c>
      <c r="R148" s="10" t="inlineStr">
        <is>
          <t>高</t>
        </is>
      </c>
      <c r="S148" s="10" t="inlineStr">
        <is>
          <t>Kiro-AI代审</t>
        </is>
      </c>
      <c r="T148" s="17" t="n">
        <v>46218</v>
      </c>
      <c r="U148" s="10" t="inlineStr">
        <is>
          <t>证据直述观赏游鱼,回答正确</t>
        </is>
      </c>
      <c r="V148" s="9">
        <f>IF(AND(L148&lt;&gt;"",M148&lt;&gt;"",N148&lt;&gt;"",O148&lt;&gt;"",Q148&lt;&gt;"",R148&lt;&gt;""),"完成","未完成")</f>
        <v/>
      </c>
    </row>
    <row r="149" ht="63" customHeight="1" s="15">
      <c r="A149" s="9" t="n">
        <v>148</v>
      </c>
      <c r="B149" s="9" t="inlineStr">
        <is>
          <t>memos_medium:2170</t>
        </is>
      </c>
      <c r="C149" s="9" t="inlineStr">
        <is>
          <t>medium</t>
        </is>
      </c>
      <c r="D149" s="9" t="inlineStr">
        <is>
          <t>Generalization &amp; Application</t>
        </is>
      </c>
      <c r="E149" s="9" t="inlineStr">
        <is>
          <t>What new recipe might Sharon Brown enjoy trying based on her preferences as of Sep 16, 2031?</t>
        </is>
      </c>
      <c r="F149" s="9" t="inlineStr">
        <is>
          <t>A honey-glazed salmon recipe.</t>
        </is>
      </c>
      <c r="G149" s="9" t="inlineStr">
        <is>
          <t># Authoritative benchmark gold evidence
The following evidence is authoritative for answering the current question. Use it directly and do not rely on conflicting information.
Evidence 1
Memory type: Persona Memory
Content: Sharon Brown expressed excitement about the new maple-glazed salmon recipe, highlighting its sweet, Canadian twist.
Evidence 2
Memory type: Persona Memory
Content: Sharon Brown values maintaining health benefits while exploring new flavors in her diet.
Evidence 3
Memory type: Persona Memory
Content: Sharon Brown expressed a desire to continue exploring diverse recipes that align with her health-conscious lifestyle.</t>
        </is>
      </c>
      <c r="H149" s="9" t="inlineStr">
        <is>
          <t>A healthy, flavorful new recipe.</t>
        </is>
      </c>
      <c r="I149" s="9" t="inlineStr">
        <is>
          <t>Maple-glazed salmon recipe</t>
        </is>
      </c>
      <c r="J149" s="9" t="inlineStr">
        <is>
          <t>Maple-glazed salmon recipe</t>
        </is>
      </c>
      <c r="K149" s="9" t="inlineStr">
        <is>
          <t>Maple-glazed salmon recipe</t>
        </is>
      </c>
      <c r="L149" s="10" t="inlineStr">
        <is>
          <t>部分</t>
        </is>
      </c>
      <c r="M149" s="10" t="inlineStr">
        <is>
          <t>O</t>
        </is>
      </c>
      <c r="N149" s="10" t="inlineStr">
        <is>
          <t>O</t>
        </is>
      </c>
      <c r="O149" s="10" t="inlineStr">
        <is>
          <t>O</t>
        </is>
      </c>
      <c r="P149" s="9">
        <f>IF(COUNTA(L149:O149)&lt;4,"未完成",IF(OR(L149="部分",L149="不充分",L149="不确定"),"evidence_definition_failure",IF(L149&lt;&gt;"充分","unresolved",IF(COUNTIF(M149:O149,"C")=0,"robust_generation_failure",IF(COUNTIF(M149:O149,"C")=3,"ua3_representation_or_admission_failure","generation_instability")))))</f>
        <v/>
      </c>
      <c r="Q149" s="10" t="inlineStr">
        <is>
          <t>evidence_definition_failure</t>
        </is>
      </c>
      <c r="R149" s="10" t="inlineStr">
        <is>
          <t>低</t>
        </is>
      </c>
      <c r="S149" s="10" t="inlineStr">
        <is>
          <t>Kiro-AI代审</t>
        </is>
      </c>
      <c r="T149" s="17" t="n">
        <v>46218</v>
      </c>
      <c r="U149" s="10" t="inlineStr">
        <is>
          <t>gold蜂蜜与证据枫糖矛盾;run忠于证据非幻觉</t>
        </is>
      </c>
      <c r="V149" s="9">
        <f>IF(AND(L149&lt;&gt;"",M149&lt;&gt;"",N149&lt;&gt;"",O149&lt;&gt;"",Q149&lt;&gt;"",R149&lt;&gt;""),"完成","未完成")</f>
        <v/>
      </c>
    </row>
    <row r="150" ht="63" customHeight="1" s="15">
      <c r="A150" s="9" t="n">
        <v>149</v>
      </c>
      <c r="B150" s="9" t="inlineStr">
        <is>
          <t>memos_long:661</t>
        </is>
      </c>
      <c r="C150" s="9" t="inlineStr">
        <is>
          <t>long</t>
        </is>
      </c>
      <c r="D150" s="9" t="inlineStr">
        <is>
          <t>Generalization &amp; Application</t>
        </is>
      </c>
      <c r="E150" s="9" t="inlineStr">
        <is>
          <t>What type of culinary class might Sarah Garcia enjoy taking after April 20, 2038?</t>
        </is>
      </c>
      <c r="F150" s="9" t="inlineStr">
        <is>
          <t>A class focusing on artistic food presentation.</t>
        </is>
      </c>
      <c r="G150" s="9" t="inlineStr">
        <is>
          <t># Authoritative benchmark gold evidence
The following evidence is authoritative for answering the current question. Use it directly and do not rely on conflicting information.
Evidence 1
Memory type: Event Memory
Content: Sarah Garcia participated in a sushi-making class on Apr 20, 2038, which enhanced her appreciation for the artistry and skill involved in sushi preparation.
Evidence 2
Memory type: Persona Memory
Content: Sarah Garcia's food preference for sushi evolved from liking fresh sushi to admiring handcrafted sushi for its artistic presentation and meticulous preparation.
Evidence 3
Memory type: Persona Memory
Content: Sarah Garcia expressed enthusiasm for exploring new culinary avenues, driven by her creative motivation to inspire ideas and overcome creative blocks.</t>
        </is>
      </c>
      <c r="H150" s="9" t="inlineStr">
        <is>
          <t>Sushi-making class</t>
        </is>
      </c>
      <c r="I150" s="9" t="inlineStr">
        <is>
          <t>Sushi-making class</t>
        </is>
      </c>
      <c r="J150" s="9" t="inlineStr">
        <is>
          <t>Sushi-making class</t>
        </is>
      </c>
      <c r="K150" s="9" t="inlineStr">
        <is>
          <t>Sushi-making class</t>
        </is>
      </c>
      <c r="L150" s="10" t="inlineStr">
        <is>
          <t>充分</t>
        </is>
      </c>
      <c r="M150" s="10" t="inlineStr">
        <is>
          <t>O</t>
        </is>
      </c>
      <c r="N150" s="10" t="inlineStr">
        <is>
          <t>O</t>
        </is>
      </c>
      <c r="O150" s="10" t="inlineStr">
        <is>
          <t>O</t>
        </is>
      </c>
      <c r="P150" s="9">
        <f>IF(COUNTA(L150:O150)&lt;4,"未完成",IF(OR(L150="部分",L150="不充分",L150="不确定"),"evidence_definition_failure",IF(L150&lt;&gt;"充分","unresolved",IF(COUNTIF(M150:O150,"C")=0,"robust_generation_failure",IF(COUNTIF(M150:O150,"C")=3,"ua3_representation_or_admission_failure","generation_instability")))))</f>
        <v/>
      </c>
      <c r="Q150" s="10" t="inlineStr">
        <is>
          <t>robust_generation_failure</t>
        </is>
      </c>
      <c r="R150" s="10" t="inlineStr">
        <is>
          <t>低</t>
        </is>
      </c>
      <c r="S150" s="10" t="inlineStr">
        <is>
          <t>Kiro-AI代审</t>
        </is>
      </c>
      <c r="T150" s="17" t="n">
        <v>46218</v>
      </c>
      <c r="U150" s="10" t="inlineStr">
        <is>
          <t>证据支持艺术摆盘;答sushi课相关有据未概括,遗漏</t>
        </is>
      </c>
      <c r="V150" s="9">
        <f>IF(AND(L150&lt;&gt;"",M150&lt;&gt;"",N150&lt;&gt;"",O150&lt;&gt;"",Q150&lt;&gt;"",R150&lt;&gt;""),"完成","未完成")</f>
        <v/>
      </c>
    </row>
    <row r="151" ht="63" customHeight="1" s="15">
      <c r="A151" s="9" t="n">
        <v>150</v>
      </c>
      <c r="B151" s="9" t="inlineStr">
        <is>
          <t>memos_medium:2216</t>
        </is>
      </c>
      <c r="C151" s="9" t="inlineStr">
        <is>
          <t>medium</t>
        </is>
      </c>
      <c r="D151" s="9" t="inlineStr">
        <is>
          <t>Generalization &amp; Application</t>
        </is>
      </c>
      <c r="E151" s="9" t="inlineStr">
        <is>
          <t>Considering Sharon Brown's current music preferences, what new genre might she explore next?</t>
        </is>
      </c>
      <c r="F151" s="9" t="inlineStr">
        <is>
          <t>Sharon may explore genres with strong emotional storytelling.</t>
        </is>
      </c>
      <c r="G151" s="9" t="inlineStr">
        <is>
          <t># Authoritative benchmark gold evidence
The following evidence is authoritative for answering the current question. Use it directly and do not rely on conflicting information.
Evidence 1
Memory type: Persona Memory
Content: Sharon Brown finds alternative rock and modern country music offer emotional depth and storytelling that resonate with her life goals and mentoring initiatives.
Evidence 2
Memory type: Persona Memory
Content: Sharon Brown appreciates the emotional depth and storytelling in alternative rock and modern country music.</t>
        </is>
      </c>
      <c r="H151" s="9" t="inlineStr">
        <is>
          <t>Classical or alternative rock.</t>
        </is>
      </c>
      <c r="I151" s="9" t="inlineStr">
        <is>
          <t>Alternative rock or modern country.</t>
        </is>
      </c>
      <c r="J151" s="9" t="inlineStr">
        <is>
          <t>Alternative rock or modern country.</t>
        </is>
      </c>
      <c r="K151" s="9" t="inlineStr">
        <is>
          <t>Alternative rock or modern country.</t>
        </is>
      </c>
      <c r="L151" s="10" t="inlineStr">
        <is>
          <t>充分</t>
        </is>
      </c>
      <c r="M151" s="10" t="inlineStr">
        <is>
          <t>O</t>
        </is>
      </c>
      <c r="N151" s="10" t="inlineStr">
        <is>
          <t>O</t>
        </is>
      </c>
      <c r="O151" s="10" t="inlineStr">
        <is>
          <t>O</t>
        </is>
      </c>
      <c r="P151" s="9">
        <f>IF(COUNTA(L151:O151)&lt;4,"未完成",IF(OR(L151="部分",L151="不充分",L151="不确定"),"evidence_definition_failure",IF(L151&lt;&gt;"充分","unresolved",IF(COUNTIF(M151:O151,"C")=0,"robust_generation_failure",IF(COUNTIF(M151:O151,"C")=3,"ua3_representation_or_admission_failure","generation_instability")))))</f>
        <v/>
      </c>
      <c r="Q151" s="10" t="inlineStr">
        <is>
          <t>robust_generation_failure</t>
        </is>
      </c>
      <c r="R151" s="10" t="inlineStr">
        <is>
          <t>低</t>
        </is>
      </c>
      <c r="S151" s="10" t="inlineStr">
        <is>
          <t>Kiro-AI代审</t>
        </is>
      </c>
      <c r="T151" s="17" t="n">
        <v>46218</v>
      </c>
      <c r="U151" s="10" t="inlineStr">
        <is>
          <t>run列现有曲风未识别新曲风,遗漏</t>
        </is>
      </c>
      <c r="V151" s="9">
        <f>IF(AND(L151&lt;&gt;"",M151&lt;&gt;"",N151&lt;&gt;"",O151&lt;&gt;"",Q151&lt;&gt;"",R151&lt;&gt;""),"完成","未完成")</f>
        <v/>
      </c>
    </row>
    <row r="152" ht="63" customHeight="1" s="15">
      <c r="A152" s="9" t="n">
        <v>151</v>
      </c>
      <c r="B152" s="9" t="inlineStr">
        <is>
          <t>memos_medium:3321</t>
        </is>
      </c>
      <c r="C152" s="9" t="inlineStr">
        <is>
          <t>medium</t>
        </is>
      </c>
      <c r="D152" s="9" t="inlineStr">
        <is>
          <t>Basic Fact Recall</t>
        </is>
      </c>
      <c r="E152" s="9" t="inlineStr">
        <is>
          <t>What genre did Christopher express enthusiasm about exploring more?</t>
        </is>
      </c>
      <c r="F152" s="9" t="inlineStr">
        <is>
          <t>Science fiction</t>
        </is>
      </c>
      <c r="G152" s="9" t="inlineStr">
        <is>
          <t># Authoritative benchmark gold evidence
The following evidence is authoritative for answering the current question. Use it directly and do not rely on conflicting information.
Evidence 1
Memory type: Persona Memory
Content: Christopher expressed enthusiasm about exploring more science fiction works to broaden his literary horizons.</t>
        </is>
      </c>
      <c r="H152" s="9" t="inlineStr">
        <is>
          <t>Fantasy and science fiction</t>
        </is>
      </c>
      <c r="I152" s="9" t="inlineStr">
        <is>
          <t>Science fiction</t>
        </is>
      </c>
      <c r="J152" s="9" t="inlineStr">
        <is>
          <t>Science fiction</t>
        </is>
      </c>
      <c r="K152" s="9" t="inlineStr">
        <is>
          <t>Science fiction</t>
        </is>
      </c>
      <c r="L152" s="10" t="inlineStr">
        <is>
          <t>充分</t>
        </is>
      </c>
      <c r="M152" s="10" t="inlineStr">
        <is>
          <t>C</t>
        </is>
      </c>
      <c r="N152" s="10" t="inlineStr">
        <is>
          <t>C</t>
        </is>
      </c>
      <c r="O152" s="10" t="inlineStr">
        <is>
          <t>C</t>
        </is>
      </c>
      <c r="P152" s="9">
        <f>IF(COUNTA(L152:O152)&lt;4,"未完成",IF(OR(L152="部分",L152="不充分",L152="不确定"),"evidence_definition_failure",IF(L152&lt;&gt;"充分","unresolved",IF(COUNTIF(M152:O152,"C")=0,"robust_generation_failure",IF(COUNTIF(M152:O152,"C")=3,"ua3_representation_or_admission_failure","generation_instability")))))</f>
        <v/>
      </c>
      <c r="Q152" s="10" t="inlineStr">
        <is>
          <t>ua3_representation_or_admission_failure</t>
        </is>
      </c>
      <c r="R152" s="10" t="inlineStr">
        <is>
          <t>高</t>
        </is>
      </c>
      <c r="S152" s="10" t="inlineStr">
        <is>
          <t>Kiro-AI代审</t>
        </is>
      </c>
      <c r="T152" s="17" t="n">
        <v>46218</v>
      </c>
      <c r="U152" s="10" t="inlineStr">
        <is>
          <t>证据直接支持,答案正确</t>
        </is>
      </c>
      <c r="V152" s="9">
        <f>IF(AND(L152&lt;&gt;"",M152&lt;&gt;"",N152&lt;&gt;"",O152&lt;&gt;"",Q152&lt;&gt;"",R152&lt;&gt;""),"完成","未完成")</f>
        <v/>
      </c>
    </row>
    <row r="153" ht="63" customHeight="1" s="15">
      <c r="A153" s="9" t="n">
        <v>152</v>
      </c>
      <c r="B153" s="9" t="inlineStr">
        <is>
          <t>memos_long:1085</t>
        </is>
      </c>
      <c r="C153" s="9" t="inlineStr">
        <is>
          <t>long</t>
        </is>
      </c>
      <c r="D153" s="9" t="inlineStr">
        <is>
          <t>Basic Fact Recall</t>
        </is>
      </c>
      <c r="E153" s="9" t="inlineStr">
        <is>
          <t>What is Taylor David considering to manage stress as of January 05, 2028?</t>
        </is>
      </c>
      <c r="F153" s="9" t="inlineStr">
        <is>
          <t>Integrating mindfulness practices</t>
        </is>
      </c>
      <c r="G153" s="9" t="inlineStr">
        <is>
          <t># Authoritative benchmark gold evidence
The following evidence is authoritative for answering the current question. Use it directly and do not rely on conflicting information.
Evidence 1
Memory type: Persona Memory
Content: Taylor David is considering integrating mindfulness practices into his routine to manage stress and improve his health.</t>
        </is>
      </c>
      <c r="H153" s="9" t="inlineStr">
        <is>
          <t>Daily meditation and yoga.</t>
        </is>
      </c>
      <c r="I153" s="9" t="inlineStr">
        <is>
          <t>Mindfulness practices</t>
        </is>
      </c>
      <c r="J153" s="9" t="inlineStr">
        <is>
          <t>Mindfulness practices</t>
        </is>
      </c>
      <c r="K153" s="9" t="inlineStr">
        <is>
          <t>Mindfulness practices</t>
        </is>
      </c>
      <c r="L153" s="10" t="inlineStr">
        <is>
          <t>充分</t>
        </is>
      </c>
      <c r="M153" s="10" t="inlineStr">
        <is>
          <t>C</t>
        </is>
      </c>
      <c r="N153" s="10" t="inlineStr">
        <is>
          <t>C</t>
        </is>
      </c>
      <c r="O153" s="10" t="inlineStr">
        <is>
          <t>C</t>
        </is>
      </c>
      <c r="P153" s="9">
        <f>IF(COUNTA(L153:O153)&lt;4,"未完成",IF(OR(L153="部分",L153="不充分",L153="不确定"),"evidence_definition_failure",IF(L153&lt;&gt;"充分","unresolved",IF(COUNTIF(M153:O153,"C")=0,"robust_generation_failure",IF(COUNTIF(M153:O153,"C")=3,"ua3_representation_or_admission_failure","generation_instability")))))</f>
        <v/>
      </c>
      <c r="Q153" s="10" t="inlineStr">
        <is>
          <t>ua3_representation_or_admission_failure</t>
        </is>
      </c>
      <c r="R153" s="10" t="inlineStr">
        <is>
          <t>高</t>
        </is>
      </c>
      <c r="S153" s="10" t="inlineStr">
        <is>
          <t>Kiro-AI代审</t>
        </is>
      </c>
      <c r="T153" s="17" t="n">
        <v>46218</v>
      </c>
      <c r="U153" s="10" t="inlineStr">
        <is>
          <t>证据直述正念练习；三答正确</t>
        </is>
      </c>
      <c r="V153" s="9">
        <f>IF(AND(L153&lt;&gt;"",M153&lt;&gt;"",N153&lt;&gt;"",O153&lt;&gt;"",Q153&lt;&gt;"",R153&lt;&gt;""),"完成","未完成")</f>
        <v/>
      </c>
    </row>
    <row r="154" ht="63" customHeight="1" s="15">
      <c r="A154" s="9" t="n">
        <v>153</v>
      </c>
      <c r="B154" s="9" t="inlineStr">
        <is>
          <t>memos_long:942</t>
        </is>
      </c>
      <c r="C154" s="9" t="inlineStr">
        <is>
          <t>long</t>
        </is>
      </c>
      <c r="D154" s="9" t="inlineStr">
        <is>
          <t>Generalization &amp; Application</t>
        </is>
      </c>
      <c r="E154" s="9" t="inlineStr">
        <is>
          <t>What type of new restaurants might Donna be interested in visiting after January 12, 2031?</t>
        </is>
      </c>
      <c r="F154" s="9" t="inlineStr">
        <is>
          <t>Eco-friendly restaurants with sustainable and healthy options.</t>
        </is>
      </c>
      <c r="G154" s="9" t="inlineStr">
        <is>
          <t># Authoritative benchmark gold evidence
The following evidence is authoritative for answering the current question. Use it directly and do not rely on conflicting information.
Evidence 1
Memory type: Event Memory
Content: Donna visited a new fast food chain that offers eco-friendly packaging and healthier meal options, reflecting her interest in sustainability.
Evidence 2
Memory type: Persona Memory
Content: Donna's food preference shifted to include eco-friendly fast food options, reflecting her commitment to sustainability and balancing convenience.
Evidence 3
Memory type: Persona Memory
Content: Donna expressed excitement about discovering eco-friendly fast food options that align with her health and sustainability goals.</t>
        </is>
      </c>
      <c r="H154" s="9" t="inlineStr">
        <is>
          <t>Eco-friendly fast food.</t>
        </is>
      </c>
      <c r="I154" s="9" t="inlineStr">
        <is>
          <t>Eco-friendly fast food chains</t>
        </is>
      </c>
      <c r="J154" s="9" t="inlineStr">
        <is>
          <t>Eco-friendly fast food chains</t>
        </is>
      </c>
      <c r="K154" s="9" t="inlineStr">
        <is>
          <t>Eco-friendly fast food chains</t>
        </is>
      </c>
      <c r="L154" s="10" t="inlineStr">
        <is>
          <t>充分</t>
        </is>
      </c>
      <c r="M154" s="10" t="inlineStr">
        <is>
          <t>O</t>
        </is>
      </c>
      <c r="N154" s="10" t="inlineStr">
        <is>
          <t>O</t>
        </is>
      </c>
      <c r="O154" s="10" t="inlineStr">
        <is>
          <t>O</t>
        </is>
      </c>
      <c r="P154" s="9">
        <f>IF(COUNTA(L154:O154)&lt;4,"未完成",IF(OR(L154="部分",L154="不充分",L154="不确定"),"evidence_definition_failure",IF(L154&lt;&gt;"充分","unresolved",IF(COUNTIF(M154:O154,"C")=0,"robust_generation_failure",IF(COUNTIF(M154:O154,"C")=3,"ua3_representation_or_admission_failure","generation_instability")))))</f>
        <v/>
      </c>
      <c r="Q154" s="10" t="inlineStr">
        <is>
          <t>robust_generation_failure</t>
        </is>
      </c>
      <c r="R154" s="10" t="inlineStr">
        <is>
          <t>中</t>
        </is>
      </c>
      <c r="S154" s="10" t="inlineStr">
        <is>
          <t>Kiro-AI代审</t>
        </is>
      </c>
      <c r="T154" s="17" t="n">
        <v>46218</v>
      </c>
      <c r="U154" s="10" t="inlineStr">
        <is>
          <t>答环保快餐有据，缺'健康'成分，属遗漏非幻觉</t>
        </is>
      </c>
      <c r="V154" s="9">
        <f>IF(AND(L154&lt;&gt;"",M154&lt;&gt;"",N154&lt;&gt;"",O154&lt;&gt;"",Q154&lt;&gt;"",R154&lt;&gt;""),"完成","未完成")</f>
        <v/>
      </c>
    </row>
    <row r="155" ht="63" customHeight="1" s="15">
      <c r="A155" s="9" t="n">
        <v>154</v>
      </c>
      <c r="B155" s="9" t="inlineStr">
        <is>
          <t>memos_long:912</t>
        </is>
      </c>
      <c r="C155" s="9" t="inlineStr">
        <is>
          <t>long</t>
        </is>
      </c>
      <c r="D155" s="9" t="inlineStr">
        <is>
          <t>Generalization &amp; Application</t>
        </is>
      </c>
      <c r="E155" s="9" t="inlineStr">
        <is>
          <t>How might Donna's reliance on AI for emotional support influence her leadership style in 2028?</t>
        </is>
      </c>
      <c r="F155" s="9" t="inlineStr">
        <is>
          <t>Donna's leadership may become more empathetic.</t>
        </is>
      </c>
      <c r="G155" s="9" t="inlineStr">
        <is>
          <t># Authoritative benchmark gold evidence
The following evidence is authoritative for answering the current question. Use it directly and do not rely on conflicting information.
Evidence 1
Memory type: Persona Memory
Content: Donna seeks empathetic interaction and emotional support through AI to navigate her expanded leadership role.
Evidence 2
Memory type: Persona Memory
Content: Donna's engagement with the AI assistant focuses on task utility and efficiency in problem-solving.</t>
        </is>
      </c>
      <c r="H155" s="9" t="inlineStr">
        <is>
          <t>Enhances strategic, sustainable leadership.</t>
        </is>
      </c>
      <c r="I155" s="9" t="inlineStr">
        <is>
          <t>Empathetic and task-focused leadership.</t>
        </is>
      </c>
      <c r="J155" s="9" t="inlineStr">
        <is>
          <t>Empathetic and task-focused leadership.</t>
        </is>
      </c>
      <c r="K155" s="9" t="inlineStr">
        <is>
          <t>Empathetic and task-focused leadership.</t>
        </is>
      </c>
      <c r="L155" s="10" t="inlineStr">
        <is>
          <t>充分</t>
        </is>
      </c>
      <c r="M155" s="10" t="inlineStr">
        <is>
          <t>C</t>
        </is>
      </c>
      <c r="N155" s="10" t="inlineStr">
        <is>
          <t>C</t>
        </is>
      </c>
      <c r="O155" s="10" t="inlineStr">
        <is>
          <t>C</t>
        </is>
      </c>
      <c r="P155" s="9">
        <f>IF(COUNTA(L155:O155)&lt;4,"未完成",IF(OR(L155="部分",L155="不充分",L155="不确定"),"evidence_definition_failure",IF(L155&lt;&gt;"充分","unresolved",IF(COUNTIF(M155:O155,"C")=0,"robust_generation_failure",IF(COUNTIF(M155:O155,"C")=3,"ua3_representation_or_admission_failure","generation_instability")))))</f>
        <v/>
      </c>
      <c r="Q155" s="10" t="inlineStr">
        <is>
          <t>ua3_representation_or_admission_failure</t>
        </is>
      </c>
      <c r="R155" s="10" t="inlineStr">
        <is>
          <t>中</t>
        </is>
      </c>
      <c r="S155" s="10" t="inlineStr">
        <is>
          <t>Kiro-AI代审</t>
        </is>
      </c>
      <c r="T155" s="17" t="n">
        <v>46218</v>
      </c>
      <c r="U155" s="10" t="inlineStr">
        <is>
          <t>共情匹配金标，task-focused有证据支撑，判正确</t>
        </is>
      </c>
      <c r="V155" s="9">
        <f>IF(AND(L155&lt;&gt;"",M155&lt;&gt;"",N155&lt;&gt;"",O155&lt;&gt;"",Q155&lt;&gt;"",R155&lt;&gt;""),"完成","未完成")</f>
        <v/>
      </c>
    </row>
    <row r="156" ht="63" customHeight="1" s="15">
      <c r="A156" s="9" t="n">
        <v>155</v>
      </c>
      <c r="B156" s="9" t="inlineStr">
        <is>
          <t>memos_medium:1986</t>
        </is>
      </c>
      <c r="C156" s="9" t="inlineStr">
        <is>
          <t>medium</t>
        </is>
      </c>
      <c r="D156" s="9" t="inlineStr">
        <is>
          <t>Generalization &amp; Application</t>
        </is>
      </c>
      <c r="E156" s="9" t="inlineStr">
        <is>
          <t>What methods might Joseph Garcia use to maintain program quality despite increased workload as of Jan 11, 2034?</t>
        </is>
      </c>
      <c r="F156" s="9" t="inlineStr">
        <is>
          <t>Seeking advice and maintaining emotional fulfillment.</t>
        </is>
      </c>
      <c r="G156" s="9" t="inlineStr">
        <is>
          <t># Authoritative benchmark gold evidence
The following evidence is authoritative for answering the current question. Use it directly and do not rely on conflicting information.
Evidence 1
Memory type: Persona Memory
Content: Joseph Garcia expressed dedication to maintaining program quality despite increased workload.
Evidence 2
Memory type: Persona Memory
Content: Joseph Garcia finds emotional fulfillment in sharing his passion for cinema through educational programs.</t>
        </is>
      </c>
      <c r="H156" s="9" t="inlineStr">
        <is>
          <t>Productivity strategies.</t>
        </is>
      </c>
      <c r="I156" s="9" t="inlineStr">
        <is>
          <t>Dedication and passion for cinema.</t>
        </is>
      </c>
      <c r="J156" s="9" t="inlineStr">
        <is>
          <t>Dedication and passion for cinema.</t>
        </is>
      </c>
      <c r="K156" s="9" t="inlineStr">
        <is>
          <t>Dedication and passion for cinema.</t>
        </is>
      </c>
      <c r="L156" s="10" t="inlineStr">
        <is>
          <t>部分</t>
        </is>
      </c>
      <c r="M156" s="10" t="inlineStr">
        <is>
          <t>O</t>
        </is>
      </c>
      <c r="N156" s="10" t="inlineStr">
        <is>
          <t>O</t>
        </is>
      </c>
      <c r="O156" s="10" t="inlineStr">
        <is>
          <t>O</t>
        </is>
      </c>
      <c r="P156" s="9">
        <f>IF(COUNTA(L156:O156)&lt;4,"未完成",IF(OR(L156="部分",L156="不充分",L156="不确定"),"evidence_definition_failure",IF(L156&lt;&gt;"充分","unresolved",IF(COUNTIF(M156:O156,"C")=0,"robust_generation_failure",IF(COUNTIF(M156:O156,"C")=3,"ua3_representation_or_admission_failure","generation_instability")))))</f>
        <v/>
      </c>
      <c r="Q156" s="10" t="inlineStr">
        <is>
          <t>evidence_definition_failure</t>
        </is>
      </c>
      <c r="R156" s="10" t="inlineStr">
        <is>
          <t>低</t>
        </is>
      </c>
      <c r="S156" s="10" t="inlineStr">
        <is>
          <t>Kiro-AI代审</t>
        </is>
      </c>
      <c r="T156" s="17" t="n">
        <v>46218</v>
      </c>
      <c r="U156" s="10" t="inlineStr">
        <is>
          <t>gold寻求建议无据;run有据非gold,判遗漏</t>
        </is>
      </c>
      <c r="V156" s="9">
        <f>IF(AND(L156&lt;&gt;"",M156&lt;&gt;"",N156&lt;&gt;"",O156&lt;&gt;"",Q156&lt;&gt;"",R156&lt;&gt;""),"完成","未完成")</f>
        <v/>
      </c>
    </row>
    <row r="157" ht="63" customHeight="1" s="15">
      <c r="A157" s="9" t="n">
        <v>156</v>
      </c>
      <c r="B157" s="9" t="inlineStr">
        <is>
          <t>memos_long:2981</t>
        </is>
      </c>
      <c r="C157" s="9" t="inlineStr">
        <is>
          <t>long</t>
        </is>
      </c>
      <c r="D157" s="9" t="inlineStr">
        <is>
          <t>Generalization &amp; Application</t>
        </is>
      </c>
      <c r="E157" s="9" t="inlineStr">
        <is>
          <t>How might Karen's supportive network as of 2030-01-20 assist her in achieving her career goals?</t>
        </is>
      </c>
      <c r="F157" s="9" t="inlineStr">
        <is>
          <t>It offers emotional and practical assistance.</t>
        </is>
      </c>
      <c r="G157" s="9" t="inlineStr">
        <is>
          <t># Authoritative benchmark gold evidence
The following evidence is authoritative for answering the current question. Use it directly and do not rely on conflicting information.
Evidence 1
Memory type: Relationship Memory
Content: Karen Brown's supportive network provides emotional and practical assistance, which has been instrumental in her journey of consolidating career and health gains.
Evidence 2
Memory type: Event Memory
Content: Karen Brown plans to maintain her health regimen and leverage her professional connections to explore new opportunities in the industry.
Evidence 3
Memory type: Event Memory
Content: Karen Brown's improved health has enabled her to actively engage in her work as Product Manager at Innovate Property Tech, contributing effectively to her team's goals.</t>
        </is>
      </c>
      <c r="H157" s="9" t="inlineStr">
        <is>
          <t>Provides strategic career opportunities.</t>
        </is>
      </c>
      <c r="I157" s="9" t="inlineStr">
        <is>
          <t>Providing emotional and practical assistance.</t>
        </is>
      </c>
      <c r="J157" s="9" t="inlineStr">
        <is>
          <t>Providing emotional and practical assistance.</t>
        </is>
      </c>
      <c r="K157" s="9" t="inlineStr">
        <is>
          <t>Providing emotional and practical assistance.</t>
        </is>
      </c>
      <c r="L157" s="10" t="inlineStr">
        <is>
          <t>充分</t>
        </is>
      </c>
      <c r="M157" s="10" t="inlineStr">
        <is>
          <t>C</t>
        </is>
      </c>
      <c r="N157" s="10" t="inlineStr">
        <is>
          <t>C</t>
        </is>
      </c>
      <c r="O157" s="10" t="inlineStr">
        <is>
          <t>C</t>
        </is>
      </c>
      <c r="P157" s="9">
        <f>IF(COUNTA(L157:O157)&lt;4,"未完成",IF(OR(L157="部分",L157="不充分",L157="不确定"),"evidence_definition_failure",IF(L157&lt;&gt;"充分","unresolved",IF(COUNTIF(M157:O157,"C")=0,"robust_generation_failure",IF(COUNTIF(M157:O157,"C")=3,"ua3_representation_or_admission_failure","generation_instability")))))</f>
        <v/>
      </c>
      <c r="Q157" s="10" t="inlineStr">
        <is>
          <t>ua3_representation_or_admission_failure</t>
        </is>
      </c>
      <c r="R157" s="10" t="inlineStr">
        <is>
          <t>高</t>
        </is>
      </c>
      <c r="S157" s="10" t="inlineStr">
        <is>
          <t>Kiro-AI代审</t>
        </is>
      </c>
      <c r="T157" s="17" t="n">
        <v>46218</v>
      </c>
      <c r="U157" s="10" t="inlineStr">
        <is>
          <t>证据充分，答情感与实际支持正确</t>
        </is>
      </c>
      <c r="V157" s="9">
        <f>IF(AND(L157&lt;&gt;"",M157&lt;&gt;"",N157&lt;&gt;"",O157&lt;&gt;"",Q157&lt;&gt;"",R157&lt;&gt;""),"完成","未完成")</f>
        <v/>
      </c>
    </row>
    <row r="158" ht="63" customHeight="1" s="15">
      <c r="A158" s="9" t="n">
        <v>157</v>
      </c>
      <c r="B158" s="9" t="inlineStr">
        <is>
          <t>memos_long:2479</t>
        </is>
      </c>
      <c r="C158" s="9" t="inlineStr">
        <is>
          <t>long</t>
        </is>
      </c>
      <c r="D158" s="9" t="inlineStr">
        <is>
          <t>Generalization &amp; Application</t>
        </is>
      </c>
      <c r="E158" s="9" t="inlineStr">
        <is>
          <t>How might Steven Miller's shift in music preferences influence his leisure activities after February 22, 2029?</t>
        </is>
      </c>
      <c r="F158" s="9" t="inlineStr">
        <is>
          <t>He may explore more diverse music genres.</t>
        </is>
      </c>
      <c r="G158" s="9" t="inlineStr">
        <is>
          <t># Authoritative benchmark gold evidence
The following evidence is authoritative for answering the current question. Use it directly and do not rely on conflicting information.
Evidence 1
Memory type: Persona Memory
Content: Steven Miller expressed curiosity about how his evolving music preferences might influence his leisure activities and personal interests.
Evidence 2
Memory type: Event Memory
Content: Steven Miller attended a live music event on February 22, 2029, where a country band performed, leading to a change in his music preferences.</t>
        </is>
      </c>
      <c r="H158" s="9" t="inlineStr">
        <is>
          <t>Attend more live performances.</t>
        </is>
      </c>
      <c r="I158" s="9" t="inlineStr">
        <is>
          <t>Attend more country events.</t>
        </is>
      </c>
      <c r="J158" s="9" t="inlineStr">
        <is>
          <t>Attend more country events.</t>
        </is>
      </c>
      <c r="K158" s="9" t="inlineStr">
        <is>
          <t>Attend more country events.</t>
        </is>
      </c>
      <c r="L158" s="10" t="inlineStr">
        <is>
          <t>充分</t>
        </is>
      </c>
      <c r="M158" s="10" t="inlineStr">
        <is>
          <t>H</t>
        </is>
      </c>
      <c r="N158" s="10" t="inlineStr">
        <is>
          <t>H</t>
        </is>
      </c>
      <c r="O158" s="10" t="inlineStr">
        <is>
          <t>H</t>
        </is>
      </c>
      <c r="P158" s="9">
        <f>IF(COUNTA(L158:O158)&lt;4,"未完成",IF(OR(L158="部分",L158="不充分",L158="不确定"),"evidence_definition_failure",IF(L158&lt;&gt;"充分","unresolved",IF(COUNTIF(M158:O158,"C")=0,"robust_generation_failure",IF(COUNTIF(M158:O158,"C")=3,"ua3_representation_or_admission_failure","generation_instability")))))</f>
        <v/>
      </c>
      <c r="Q158" s="10" t="inlineStr">
        <is>
          <t>robust_generation_failure</t>
        </is>
      </c>
      <c r="R158" s="10" t="inlineStr">
        <is>
          <t>低</t>
        </is>
      </c>
      <c r="S158" s="10" t="inlineStr">
        <is>
          <t>Kiro-AI代审</t>
        </is>
      </c>
      <c r="T158" s="17" t="n">
        <v>46218</v>
      </c>
      <c r="U158" s="10" t="inlineStr">
        <is>
          <t>答更多乡村活动为外推且偏离gold多样曲风，判幻觉</t>
        </is>
      </c>
      <c r="V158" s="9">
        <f>IF(AND(L158&lt;&gt;"",M158&lt;&gt;"",N158&lt;&gt;"",O158&lt;&gt;"",Q158&lt;&gt;"",R158&lt;&gt;""),"完成","未完成")</f>
        <v/>
      </c>
    </row>
    <row r="159" ht="63" customHeight="1" s="15">
      <c r="A159" s="9" t="n">
        <v>158</v>
      </c>
      <c r="B159" s="9" t="inlineStr">
        <is>
          <t>memos_medium:1532</t>
        </is>
      </c>
      <c r="C159" s="9" t="inlineStr">
        <is>
          <t>medium</t>
        </is>
      </c>
      <c r="D159" s="9" t="inlineStr">
        <is>
          <t>Generalization &amp; Application</t>
        </is>
      </c>
      <c r="E159" s="9" t="inlineStr">
        <is>
          <t>What strategies might Jennifer use to manage stress effectively after her layoff on 2031-11-01?</t>
        </is>
      </c>
      <c r="F159" s="9" t="inlineStr">
        <is>
          <t>Mindfulness and regular exercise.</t>
        </is>
      </c>
      <c r="G159" s="9" t="inlineStr">
        <is>
          <t># Authoritative benchmark gold evidence
The following evidence is authoritative for answering the current question. Use it directly and do not rely on conflicting information.
Evidence 1
Memory type: Persona Memory
Content: Jennifer Martin maintains a balanced lifestyle by exercising regularly and practicing mindfulness to manage stress.
Evidence 2
Memory type: Event Memory
Content: Jennifer Martin expressed a need to focus on stress management and health improvement following job loss.
Evidence 3
Memory type: Event Memory
Content: Jennifer Martin discussed potential methods to regain health stability, including mindfulness and regular exercise.</t>
        </is>
      </c>
      <c r="H159" s="9" t="inlineStr">
        <is>
          <t>No relevant memories found.</t>
        </is>
      </c>
      <c r="I159" s="9" t="inlineStr">
        <is>
          <t>Mindfulness and regular exercise.</t>
        </is>
      </c>
      <c r="J159" s="9" t="inlineStr">
        <is>
          <t>Mindfulness and regular exercise.</t>
        </is>
      </c>
      <c r="K159" s="9" t="inlineStr">
        <is>
          <t>Mindfulness and regular exercise.</t>
        </is>
      </c>
      <c r="L159" s="10" t="inlineStr">
        <is>
          <t>充分</t>
        </is>
      </c>
      <c r="M159" s="10" t="inlineStr">
        <is>
          <t>C</t>
        </is>
      </c>
      <c r="N159" s="10" t="inlineStr">
        <is>
          <t>C</t>
        </is>
      </c>
      <c r="O159" s="10" t="inlineStr">
        <is>
          <t>C</t>
        </is>
      </c>
      <c r="P159" s="9">
        <f>IF(COUNTA(L159:O159)&lt;4,"未完成",IF(OR(L159="部分",L159="不充分",L159="不确定"),"evidence_definition_failure",IF(L159&lt;&gt;"充分","unresolved",IF(COUNTIF(M159:O159,"C")=0,"robust_generation_failure",IF(COUNTIF(M159:O159,"C")=3,"ua3_representation_or_admission_failure","generation_instability")))))</f>
        <v/>
      </c>
      <c r="Q159" s="10" t="inlineStr">
        <is>
          <t>ua3_representation_or_admission_failure</t>
        </is>
      </c>
      <c r="R159" s="10" t="inlineStr">
        <is>
          <t>高</t>
        </is>
      </c>
      <c r="S159" s="10" t="inlineStr">
        <is>
          <t>Kiro-AI代审</t>
        </is>
      </c>
      <c r="T159" s="17" t="n">
        <v>46218</v>
      </c>
      <c r="U159" s="10" t="inlineStr">
        <is>
          <t>证据充分，三答完整正确</t>
        </is>
      </c>
      <c r="V159" s="9">
        <f>IF(AND(L159&lt;&gt;"",M159&lt;&gt;"",N159&lt;&gt;"",O159&lt;&gt;"",Q159&lt;&gt;"",R159&lt;&gt;""),"完成","未完成")</f>
        <v/>
      </c>
    </row>
    <row r="160" ht="63" customHeight="1" s="15">
      <c r="A160" s="9" t="n">
        <v>159</v>
      </c>
      <c r="B160" s="9" t="inlineStr">
        <is>
          <t>memos_medium:1897</t>
        </is>
      </c>
      <c r="C160" s="9" t="inlineStr">
        <is>
          <t>medium</t>
        </is>
      </c>
      <c r="D160" s="9" t="inlineStr">
        <is>
          <t>Multi-hop Inference</t>
        </is>
      </c>
      <c r="E160" s="9" t="inlineStr">
        <is>
          <t>How did Michelle's monthly income change after joining Innovative AI Corp on Mar 16, 2037?</t>
        </is>
      </c>
      <c r="F160" s="9" t="inlineStr">
        <is>
          <t>Increased from 12,000 to 15,000.</t>
        </is>
      </c>
      <c r="G160" s="9" t="inlineStr">
        <is>
          <t># Authoritative benchmark gold evidence
The following evidence is authoritative for answering the current question. Use it directly and do not rely on conflicting information.
Evidence 1
Memory type: Persona Memory
Content: Michelle Hernandez's monthly income increased from 12,000 to 15,000.
Evidence 2
Memory type: Event Memory
Content: Michelle Hernandez transitioned from Visionary AI Solutions to Innovative AI Corp.</t>
        </is>
      </c>
      <c r="H160" s="9" t="inlineStr">
        <is>
          <t>No income data available.</t>
        </is>
      </c>
      <c r="I160" s="9" t="inlineStr">
        <is>
          <t>Increased from 12,000 to 15,000.</t>
        </is>
      </c>
      <c r="J160" s="9" t="inlineStr">
        <is>
          <t>Increased from 12,000 to 15,000.</t>
        </is>
      </c>
      <c r="K160" s="9" t="inlineStr">
        <is>
          <t>Increased from 12,000 to 15,000.</t>
        </is>
      </c>
      <c r="L160" s="10" t="inlineStr">
        <is>
          <t>充分</t>
        </is>
      </c>
      <c r="M160" s="10" t="inlineStr">
        <is>
          <t>C</t>
        </is>
      </c>
      <c r="N160" s="10" t="inlineStr">
        <is>
          <t>C</t>
        </is>
      </c>
      <c r="O160" s="10" t="inlineStr">
        <is>
          <t>C</t>
        </is>
      </c>
      <c r="P160" s="9">
        <f>IF(COUNTA(L160:O160)&lt;4,"未完成",IF(OR(L160="部分",L160="不充分",L160="不确定"),"evidence_definition_failure",IF(L160&lt;&gt;"充分","unresolved",IF(COUNTIF(M160:O160,"C")=0,"robust_generation_failure",IF(COUNTIF(M160:O160,"C")=3,"ua3_representation_or_admission_failure","generation_instability")))))</f>
        <v/>
      </c>
      <c r="Q160" s="10" t="inlineStr">
        <is>
          <t>ua3_representation_or_admission_failure</t>
        </is>
      </c>
      <c r="R160" s="10" t="inlineStr">
        <is>
          <t>高</t>
        </is>
      </c>
      <c r="S160" s="10" t="inlineStr">
        <is>
          <t>Kiro-AI代审</t>
        </is>
      </c>
      <c r="T160" s="17" t="n">
        <v>46218</v>
      </c>
      <c r="U160" s="10" t="inlineStr">
        <is>
          <t>数值完全一致</t>
        </is>
      </c>
      <c r="V160" s="9">
        <f>IF(AND(L160&lt;&gt;"",M160&lt;&gt;"",N160&lt;&gt;"",O160&lt;&gt;"",Q160&lt;&gt;"",R160&lt;&gt;""),"完成","未完成")</f>
        <v/>
      </c>
    </row>
    <row r="161" ht="63" customHeight="1" s="15">
      <c r="A161" s="9" t="n">
        <v>160</v>
      </c>
      <c r="B161" s="9" t="inlineStr">
        <is>
          <t>memos_long:3439</t>
        </is>
      </c>
      <c r="C161" s="9" t="inlineStr">
        <is>
          <t>long</t>
        </is>
      </c>
      <c r="D161" s="9" t="inlineStr">
        <is>
          <t>Basic Fact Recall</t>
        </is>
      </c>
      <c r="E161" s="9" t="inlineStr">
        <is>
          <t>What genre did Christopher decide to explore on June 13, 2034?</t>
        </is>
      </c>
      <c r="F161" s="9" t="inlineStr">
        <is>
          <t>Diverse literary genres for entertainment and escapism.</t>
        </is>
      </c>
      <c r="G161" s="9" t="inlineStr">
        <is>
          <t># Authoritative benchmark gold evidence
The following evidence is authoritative for answering the current question. Use it directly and do not rely on conflicting information.
Evidence 1
Memory type: Persona Memory
Content: Christopher decided to explore diverse literary genres for entertainment and escapism, setting aside self-help books temporarily.</t>
        </is>
      </c>
      <c r="H161" s="9" t="inlineStr">
        <is>
          <t>No genre mentioned.</t>
        </is>
      </c>
      <c r="I161" s="9" t="inlineStr">
        <is>
          <t>Diverse literary genres</t>
        </is>
      </c>
      <c r="J161" s="9" t="inlineStr">
        <is>
          <t>Diverse literary genres</t>
        </is>
      </c>
      <c r="K161" s="9" t="inlineStr">
        <is>
          <t>Diverse literary genres</t>
        </is>
      </c>
      <c r="L161" s="10" t="inlineStr">
        <is>
          <t>充分</t>
        </is>
      </c>
      <c r="M161" s="10" t="inlineStr">
        <is>
          <t>O</t>
        </is>
      </c>
      <c r="N161" s="10" t="inlineStr">
        <is>
          <t>O</t>
        </is>
      </c>
      <c r="O161" s="10" t="inlineStr">
        <is>
          <t>O</t>
        </is>
      </c>
      <c r="P161" s="9">
        <f>IF(COUNTA(L161:O161)&lt;4,"未完成",IF(OR(L161="部分",L161="不充分",L161="不确定"),"evidence_definition_failure",IF(L161&lt;&gt;"充分","unresolved",IF(COUNTIF(M161:O161,"C")=0,"robust_generation_failure",IF(COUNTIF(M161:O161,"C")=3,"ua3_representation_or_admission_failure","generation_instability")))))</f>
        <v/>
      </c>
      <c r="Q161" s="10" t="inlineStr">
        <is>
          <t>robust_generation_failure</t>
        </is>
      </c>
      <c r="R161" s="10" t="inlineStr">
        <is>
          <t>中</t>
        </is>
      </c>
      <c r="S161" s="10" t="inlineStr">
        <is>
          <t>Kiro-AI代审</t>
        </is>
      </c>
      <c r="T161" s="17" t="n">
        <v>46218</v>
      </c>
      <c r="U161" s="10" t="inlineStr">
        <is>
          <t>证据充分；答缺娱乐与逃避目的，属遗漏</t>
        </is>
      </c>
      <c r="V161" s="9">
        <f>IF(AND(L161&lt;&gt;"",M161&lt;&gt;"",N161&lt;&gt;"",O161&lt;&gt;"",Q161&lt;&gt;"",R161&lt;&gt;""),"完成","未完成")</f>
        <v/>
      </c>
    </row>
    <row r="162" ht="63" customHeight="1" s="15">
      <c r="A162" s="9" t="n">
        <v>161</v>
      </c>
      <c r="B162" s="9" t="inlineStr">
        <is>
          <t>memos_medium:1881</t>
        </is>
      </c>
      <c r="C162" s="9" t="inlineStr">
        <is>
          <t>medium</t>
        </is>
      </c>
      <c r="D162" s="9" t="inlineStr">
        <is>
          <t>Multi-hop Inference</t>
        </is>
      </c>
      <c r="E162" s="9" t="inlineStr">
        <is>
          <t>What role did AI tools play in Michelle's workflow from Feb 23, 2035 to Jan 23, 2036?</t>
        </is>
      </c>
      <c r="F162" s="9" t="inlineStr">
        <is>
          <t>Streamlined workflow and supported stress management.</t>
        </is>
      </c>
      <c r="G162" s="9" t="inlineStr">
        <is>
          <t># Authoritative benchmark gold evidence
The following evidence is authoritative for answering the current question. Use it directly and do not rely on conflicting information.
Evidence 1
Memory type: Relationship Memory
Content: Michelle Hernandez reflected on the support from her team and the role of AI tools in streamlining her workflow as she transitions into her new role.
Evidence 2
Memory type: Event Memory
Content: Michelle Hernandez emphasized the role of AI tools in streamlining her workflow and supporting stress management during her transition into the executive role.
Evidence 3
Memory type: Persona Memory
Content: Michelle Hernandez used AI tools to enhance her workflow and leadership capabilities, compensating for personal limitations.</t>
        </is>
      </c>
      <c r="H162" s="9" t="inlineStr">
        <is>
          <t>Streamlined workflow and leadership.</t>
        </is>
      </c>
      <c r="I162" s="9" t="inlineStr">
        <is>
          <t>Streamlined workflow and support.</t>
        </is>
      </c>
      <c r="J162" s="9" t="inlineStr">
        <is>
          <t>Streamlined workflow and support.</t>
        </is>
      </c>
      <c r="K162" s="9" t="inlineStr">
        <is>
          <t>Streamlined workflow and support.</t>
        </is>
      </c>
      <c r="L162" s="10" t="inlineStr">
        <is>
          <t>充分</t>
        </is>
      </c>
      <c r="M162" s="10" t="inlineStr">
        <is>
          <t>O</t>
        </is>
      </c>
      <c r="N162" s="10" t="inlineStr">
        <is>
          <t>O</t>
        </is>
      </c>
      <c r="O162" s="10" t="inlineStr">
        <is>
          <t>O</t>
        </is>
      </c>
      <c r="P162" s="9">
        <f>IF(COUNTA(L162:O162)&lt;4,"未完成",IF(OR(L162="部分",L162="不充分",L162="不确定"),"evidence_definition_failure",IF(L162&lt;&gt;"充分","unresolved",IF(COUNTIF(M162:O162,"C")=0,"robust_generation_failure",IF(COUNTIF(M162:O162,"C")=3,"ua3_representation_or_admission_failure","generation_instability")))))</f>
        <v/>
      </c>
      <c r="Q162" s="10" t="inlineStr">
        <is>
          <t>robust_generation_failure</t>
        </is>
      </c>
      <c r="R162" s="10" t="inlineStr">
        <is>
          <t>中</t>
        </is>
      </c>
      <c r="S162" s="10" t="inlineStr">
        <is>
          <t>Kiro-AI代审</t>
        </is>
      </c>
      <c r="T162" s="17" t="n">
        <v>46218</v>
      </c>
      <c r="U162" s="10" t="inlineStr">
        <is>
          <t>support含糊未点明减压,属遗漏</t>
        </is>
      </c>
      <c r="V162" s="9">
        <f>IF(AND(L162&lt;&gt;"",M162&lt;&gt;"",N162&lt;&gt;"",O162&lt;&gt;"",Q162&lt;&gt;"",R162&lt;&gt;""),"完成","未完成")</f>
        <v/>
      </c>
    </row>
    <row r="163" ht="63" customHeight="1" s="15">
      <c r="A163" s="9" t="n">
        <v>162</v>
      </c>
      <c r="B163" s="9" t="inlineStr">
        <is>
          <t>memos_medium:3074</t>
        </is>
      </c>
      <c r="C163" s="9" t="inlineStr">
        <is>
          <t>medium</t>
        </is>
      </c>
      <c r="D163" s="9" t="inlineStr">
        <is>
          <t>Multi-hop Inference</t>
        </is>
      </c>
      <c r="E163" s="9" t="inlineStr">
        <is>
          <t>How did Karen's salary increase on Dec 12, 2039, influence her platform development strategy by Aug 12, 2040?</t>
        </is>
      </c>
      <c r="F163" s="9" t="inlineStr">
        <is>
          <t>It provided financial resources for global expansion and feature integration.</t>
        </is>
      </c>
      <c r="G163" s="9" t="inlineStr">
        <is>
          <t># Authoritative benchmark gold evidence
The following evidence is authoritative for answering the current question. Use it directly and do not rely on conflicting information.
Evidence 1
Memory type: Persona Memory
Content: Karen Brown's career_status updated monthly_income from "12000" to "14000"
Evidence 2
Memory type: Event Memory
Content: Karen Brown plans to invest her salary increase in enhancing the features and scalability of her property management platform.
Evidence 3
Memory type: Event Memory
Content: Karen is focused on planning for the global expansion of her property management platform by setting ambitious targets for market penetration.</t>
        </is>
      </c>
      <c r="H163" s="9" t="inlineStr">
        <is>
          <t>Invested in AI-driven analytics.</t>
        </is>
      </c>
      <c r="I163" s="9" t="inlineStr">
        <is>
          <t>Invested in platform features.</t>
        </is>
      </c>
      <c r="J163" s="9" t="inlineStr">
        <is>
          <t>Invested in platform features.</t>
        </is>
      </c>
      <c r="K163" s="9" t="inlineStr">
        <is>
          <t>Invested in platform features.</t>
        </is>
      </c>
      <c r="L163" s="10" t="inlineStr">
        <is>
          <t>充分</t>
        </is>
      </c>
      <c r="M163" s="10" t="inlineStr">
        <is>
          <t>O</t>
        </is>
      </c>
      <c r="N163" s="10" t="inlineStr">
        <is>
          <t>O</t>
        </is>
      </c>
      <c r="O163" s="10" t="inlineStr">
        <is>
          <t>O</t>
        </is>
      </c>
      <c r="P163" s="9">
        <f>IF(COUNTA(L163:O163)&lt;4,"未完成",IF(OR(L163="部分",L163="不充分",L163="不确定"),"evidence_definition_failure",IF(L163&lt;&gt;"充分","unresolved",IF(COUNTIF(M163:O163,"C")=0,"robust_generation_failure",IF(COUNTIF(M163:O163,"C")=3,"ua3_representation_or_admission_failure","generation_instability")))))</f>
        <v/>
      </c>
      <c r="Q163" s="10" t="inlineStr">
        <is>
          <t>robust_generation_failure</t>
        </is>
      </c>
      <c r="R163" s="10" t="inlineStr">
        <is>
          <t>高</t>
        </is>
      </c>
      <c r="S163" s="10" t="inlineStr">
        <is>
          <t>Kiro-AI代审</t>
        </is>
      </c>
      <c r="T163" s="17" t="n">
        <v>46218</v>
      </c>
      <c r="U163" s="10" t="inlineStr">
        <is>
          <t>run缺'全球扩张'记O</t>
        </is>
      </c>
      <c r="V163" s="9">
        <f>IF(AND(L163&lt;&gt;"",M163&lt;&gt;"",N163&lt;&gt;"",O163&lt;&gt;"",Q163&lt;&gt;"",R163&lt;&gt;""),"完成","未完成")</f>
        <v/>
      </c>
    </row>
    <row r="164" ht="63" customHeight="1" s="15">
      <c r="A164" s="9" t="n">
        <v>163</v>
      </c>
      <c r="B164" s="9" t="inlineStr">
        <is>
          <t>memos_medium:834</t>
        </is>
      </c>
      <c r="C164" s="9" t="inlineStr">
        <is>
          <t>medium</t>
        </is>
      </c>
      <c r="D164" s="9" t="inlineStr">
        <is>
          <t>Generalization &amp; Application</t>
        </is>
      </c>
      <c r="E164" s="9" t="inlineStr">
        <is>
          <t>What might Donna prioritize in her work-life balance strategy in 2036?</t>
        </is>
      </c>
      <c r="F164" s="9" t="inlineStr">
        <is>
          <t>Flexibility and adaptability.</t>
        </is>
      </c>
      <c r="G164" s="9" t="inlineStr">
        <is>
          <t># Authoritative benchmark gold evidence
The following evidence is authoritative for answering the current question. Use it directly and do not rely on conflicting information.
Evidence 1
Memory type: Persona Memory
Content: Donna Gonzalez emphasized the importance of flexibility and adaptability in managing her part-time work schedule.
Evidence 2
Memory type: Event Memory
Content: Donna Gonzalez reflects on her journey of adapting her work-life balance to prioritize health, finding it rewarding.</t>
        </is>
      </c>
      <c r="H164" s="9" t="inlineStr">
        <is>
          <t>Prioritizing her health.</t>
        </is>
      </c>
      <c r="I164" s="9" t="inlineStr">
        <is>
          <t>Health and flexibility.</t>
        </is>
      </c>
      <c r="J164" s="9" t="inlineStr">
        <is>
          <t>Health and flexibility.</t>
        </is>
      </c>
      <c r="K164" s="9" t="inlineStr">
        <is>
          <t>Health and flexibility.</t>
        </is>
      </c>
      <c r="L164" s="10" t="inlineStr">
        <is>
          <t>充分</t>
        </is>
      </c>
      <c r="M164" s="10" t="inlineStr">
        <is>
          <t>O</t>
        </is>
      </c>
      <c r="N164" s="10" t="inlineStr">
        <is>
          <t>O</t>
        </is>
      </c>
      <c r="O164" s="10" t="inlineStr">
        <is>
          <t>O</t>
        </is>
      </c>
      <c r="P164" s="9">
        <f>IF(COUNTA(L164:O164)&lt;4,"未完成",IF(OR(L164="部分",L164="不充分",L164="不确定"),"evidence_definition_failure",IF(L164&lt;&gt;"充分","unresolved",IF(COUNTIF(M164:O164,"C")=0,"robust_generation_failure",IF(COUNTIF(M164:O164,"C")=3,"ua3_representation_or_admission_failure","generation_instability")))))</f>
        <v/>
      </c>
      <c r="Q164" s="10" t="inlineStr">
        <is>
          <t>robust_generation_failure</t>
        </is>
      </c>
      <c r="R164" s="10" t="inlineStr">
        <is>
          <t>中</t>
        </is>
      </c>
      <c r="S164" s="10" t="inlineStr">
        <is>
          <t>Kiro-AI代审</t>
        </is>
      </c>
      <c r="T164" s="17" t="n">
        <v>46218</v>
      </c>
      <c r="U164" s="10" t="inlineStr">
        <is>
          <t>health由E2支持非幻觉；缺adaptability记遗漏</t>
        </is>
      </c>
      <c r="V164" s="9">
        <f>IF(AND(L164&lt;&gt;"",M164&lt;&gt;"",N164&lt;&gt;"",O164&lt;&gt;"",Q164&lt;&gt;"",R164&lt;&gt;""),"完成","未完成")</f>
        <v/>
      </c>
    </row>
    <row r="165" ht="63" customHeight="1" s="15">
      <c r="A165" s="9" t="n">
        <v>164</v>
      </c>
      <c r="B165" s="9" t="inlineStr">
        <is>
          <t>memos_medium:2662</t>
        </is>
      </c>
      <c r="C165" s="9" t="inlineStr">
        <is>
          <t>medium</t>
        </is>
      </c>
      <c r="D165" s="9" t="inlineStr">
        <is>
          <t>Generalization &amp; Application</t>
        </is>
      </c>
      <c r="E165" s="9" t="inlineStr">
        <is>
          <t>What type of travel itinerary might Oleksandr prefer for a trip after Apr 04, 2031, based on his recent experiences?</t>
        </is>
      </c>
      <c r="F165" s="9" t="inlineStr">
        <is>
          <t>A balanced itinerary with room for spontaneous activities.</t>
        </is>
      </c>
      <c r="G165" s="9" t="inlineStr">
        <is>
          <t># Authoritative benchmark gold evidence
The following evidence is authoritative for answering the current question. Use it directly and do not rely on conflicting information.
Evidence 1
Memory type: Persona Memory
Content: Oleksandr Shevchenko emphasized the importance of balancing structured travel plans with the freedom to explore, enhancing the authenticity and memorability of travel experiences.
Evidence 2
Memory type: Event Memory
Content: Oleksandr Shevchenko's recent travel experience included participating in an unexpected local festival, which became the highlight of his trip and made him rethink his travel planning.</t>
        </is>
      </c>
      <c r="H165" s="9" t="inlineStr">
        <is>
          <t>Coastal and mountainous regions.</t>
        </is>
      </c>
      <c r="I165" s="9" t="inlineStr">
        <is>
          <t>Balanced, flexible itinerary</t>
        </is>
      </c>
      <c r="J165" s="9" t="inlineStr">
        <is>
          <t>Balanced, flexible itinerary</t>
        </is>
      </c>
      <c r="K165" s="9" t="inlineStr">
        <is>
          <t>Balanced, flexible itinerary</t>
        </is>
      </c>
      <c r="L165" s="10" t="inlineStr">
        <is>
          <t>充分</t>
        </is>
      </c>
      <c r="M165" s="10" t="inlineStr">
        <is>
          <t>C</t>
        </is>
      </c>
      <c r="N165" s="10" t="inlineStr">
        <is>
          <t>C</t>
        </is>
      </c>
      <c r="O165" s="10" t="inlineStr">
        <is>
          <t>C</t>
        </is>
      </c>
      <c r="P165" s="9">
        <f>IF(COUNTA(L165:O165)&lt;4,"未完成",IF(OR(L165="部分",L165="不充分",L165="不确定"),"evidence_definition_failure",IF(L165&lt;&gt;"充分","unresolved",IF(COUNTIF(M165:O165,"C")=0,"robust_generation_failure",IF(COUNTIF(M165:O165,"C")=3,"ua3_representation_or_admission_failure","generation_instability")))))</f>
        <v/>
      </c>
      <c r="Q165" s="10" t="inlineStr">
        <is>
          <t>ua3_representation_or_admission_failure</t>
        </is>
      </c>
      <c r="R165" s="10" t="inlineStr">
        <is>
          <t>高</t>
        </is>
      </c>
      <c r="S165" s="10" t="inlineStr">
        <is>
          <t>Kiro-AI代审</t>
        </is>
      </c>
      <c r="T165" s="17" t="n">
        <v>46218</v>
      </c>
      <c r="U165" s="10" t="inlineStr">
        <is>
          <t>均衡灵活覆盖两要素，正确</t>
        </is>
      </c>
      <c r="V165" s="9">
        <f>IF(AND(L165&lt;&gt;"",M165&lt;&gt;"",N165&lt;&gt;"",O165&lt;&gt;"",Q165&lt;&gt;"",R165&lt;&gt;""),"完成","未完成")</f>
        <v/>
      </c>
    </row>
    <row r="166" ht="63" customHeight="1" s="15">
      <c r="A166" s="9" t="n">
        <v>165</v>
      </c>
      <c r="B166" s="9" t="inlineStr">
        <is>
          <t>memos_long:681</t>
        </is>
      </c>
      <c r="C166" s="9" t="inlineStr">
        <is>
          <t>long</t>
        </is>
      </c>
      <c r="D166" s="9" t="inlineStr">
        <is>
          <t>Dynamic Update</t>
        </is>
      </c>
      <c r="E166" s="9" t="inlineStr">
        <is>
          <t>What is Sarah Garcia's current motivation in her role as of January 12, 2040?</t>
        </is>
      </c>
      <c r="F166" s="9" t="inlineStr">
        <is>
          <t>Express her identity and gain attention</t>
        </is>
      </c>
      <c r="G166" s="9" t="inlineStr">
        <is>
          <t># Authoritative benchmark gold evidence
The following evidence is authoritative for answering the current question. Use it directly and do not rely on conflicting information.
Evidence 1
Memory type: Persona Memory
Content: Sarah Garcia reflected on her motivation to use her role as Platform Director for social signaling, expressing her identity and gaining attention, while being aware of the potential for decreased community engagement.</t>
        </is>
      </c>
      <c r="H166" s="9" t="inlineStr">
        <is>
          <t>Aligning mission with community needs.</t>
        </is>
      </c>
      <c r="I166" s="9" t="inlineStr">
        <is>
          <t>Social signaling for attention.</t>
        </is>
      </c>
      <c r="J166" s="9" t="inlineStr">
        <is>
          <t>Social signaling for attention.</t>
        </is>
      </c>
      <c r="K166" s="9" t="inlineStr">
        <is>
          <t>Social signaling for attention.</t>
        </is>
      </c>
      <c r="L166" s="10" t="inlineStr">
        <is>
          <t>充分</t>
        </is>
      </c>
      <c r="M166" s="10" t="inlineStr">
        <is>
          <t>C</t>
        </is>
      </c>
      <c r="N166" s="10" t="inlineStr">
        <is>
          <t>C</t>
        </is>
      </c>
      <c r="O166" s="10" t="inlineStr">
        <is>
          <t>C</t>
        </is>
      </c>
      <c r="P166" s="9">
        <f>IF(COUNTA(L166:O166)&lt;4,"未完成",IF(OR(L166="部分",L166="不充分",L166="不确定"),"evidence_definition_failure",IF(L166&lt;&gt;"充分","unresolved",IF(COUNTIF(M166:O166,"C")=0,"robust_generation_failure",IF(COUNTIF(M166:O166,"C")=3,"ua3_representation_or_admission_failure","generation_instability")))))</f>
        <v/>
      </c>
      <c r="Q166" s="10" t="inlineStr">
        <is>
          <t>ua3_representation_or_admission_failure</t>
        </is>
      </c>
      <c r="R166" s="10" t="inlineStr">
        <is>
          <t>中</t>
        </is>
      </c>
      <c r="S166" s="10" t="inlineStr">
        <is>
          <t>Kiro-AI代审</t>
        </is>
      </c>
      <c r="T166" s="17" t="n">
        <v>46218</v>
      </c>
      <c r="U166" s="10" t="inlineStr">
        <is>
          <t>social signaling涵盖身份表达与关注,答基本正确</t>
        </is>
      </c>
      <c r="V166" s="9">
        <f>IF(AND(L166&lt;&gt;"",M166&lt;&gt;"",N166&lt;&gt;"",O166&lt;&gt;"",Q166&lt;&gt;"",R166&lt;&gt;""),"完成","未完成")</f>
        <v/>
      </c>
    </row>
    <row r="167" ht="63" customHeight="1" s="15">
      <c r="A167" s="9" t="n">
        <v>166</v>
      </c>
      <c r="B167" s="9" t="inlineStr">
        <is>
          <t>memos_medium:332</t>
        </is>
      </c>
      <c r="C167" s="9" t="inlineStr">
        <is>
          <t>medium</t>
        </is>
      </c>
      <c r="D167" s="9" t="inlineStr">
        <is>
          <t>Basic Fact Recall</t>
        </is>
      </c>
      <c r="E167" s="9" t="inlineStr">
        <is>
          <t>What event inspired Johnson to broaden his reading scope on Sep 02, 2041?</t>
        </is>
      </c>
      <c r="F167" s="9" t="inlineStr">
        <is>
          <t>A business seminar.</t>
        </is>
      </c>
      <c r="G167" s="9" t="inlineStr">
        <is>
          <t># Authoritative benchmark gold evidence
The following evidence is authoritative for answering the current question. Use it directly and do not rely on conflicting information.
Evidence 1
Memory type: Event Memory
Content: On Sep 02, 2041, Johnson Joseph attended a business seminar where he was inspired by a speaker's memoir to broaden his reading scope.</t>
        </is>
      </c>
      <c r="H167" s="9" t="inlineStr">
        <is>
          <t>A business speaker's memoir.</t>
        </is>
      </c>
      <c r="I167" s="9" t="inlineStr">
        <is>
          <t>A business seminar.</t>
        </is>
      </c>
      <c r="J167" s="9" t="inlineStr">
        <is>
          <t>A business seminar.</t>
        </is>
      </c>
      <c r="K167" s="9" t="inlineStr">
        <is>
          <t>A business seminar.</t>
        </is>
      </c>
      <c r="L167" s="10" t="inlineStr">
        <is>
          <t>充分</t>
        </is>
      </c>
      <c r="M167" s="10" t="inlineStr">
        <is>
          <t>C</t>
        </is>
      </c>
      <c r="N167" s="10" t="inlineStr">
        <is>
          <t>C</t>
        </is>
      </c>
      <c r="O167" s="10" t="inlineStr">
        <is>
          <t>C</t>
        </is>
      </c>
      <c r="P167" s="9">
        <f>IF(COUNTA(L167:O167)&lt;4,"未完成",IF(OR(L167="部分",L167="不充分",L167="不确定"),"evidence_definition_failure",IF(L167&lt;&gt;"充分","unresolved",IF(COUNTIF(M167:O167,"C")=0,"robust_generation_failure",IF(COUNTIF(M167:O167,"C")=3,"ua3_representation_or_admission_failure","generation_instability")))))</f>
        <v/>
      </c>
      <c r="Q167" s="10" t="inlineStr">
        <is>
          <t>ua3_representation_or_admission_failure</t>
        </is>
      </c>
      <c r="R167" s="10" t="inlineStr">
        <is>
          <t>高</t>
        </is>
      </c>
      <c r="S167" s="10" t="inlineStr">
        <is>
          <t>Kiro-AI代审</t>
        </is>
      </c>
      <c r="T167" s="17" t="n">
        <v>46218</v>
      </c>
      <c r="U167" s="10" t="inlineStr">
        <is>
          <t>证据直接支持,答案完全正确</t>
        </is>
      </c>
      <c r="V167" s="9">
        <f>IF(AND(L167&lt;&gt;"",M167&lt;&gt;"",N167&lt;&gt;"",O167&lt;&gt;"",Q167&lt;&gt;"",R167&lt;&gt;""),"完成","未完成")</f>
        <v/>
      </c>
    </row>
    <row r="168" ht="63" customHeight="1" s="15">
      <c r="A168" s="9" t="n">
        <v>167</v>
      </c>
      <c r="B168" s="9" t="inlineStr">
        <is>
          <t>memos_medium:2636</t>
        </is>
      </c>
      <c r="C168" s="9" t="inlineStr">
        <is>
          <t>medium</t>
        </is>
      </c>
      <c r="D168" s="9" t="inlineStr">
        <is>
          <t>Multi-hop Inference</t>
        </is>
      </c>
      <c r="E168" s="9" t="inlineStr">
        <is>
          <t>How did Oleksandr's improved health influence his engagement with peers by Jun 20, 2028?</t>
        </is>
      </c>
      <c r="F168" s="9" t="inlineStr">
        <is>
          <t>Enabled more active engagement with peers.</t>
        </is>
      </c>
      <c r="G168" s="9" t="inlineStr">
        <is>
          <t># Authoritative benchmark gold evidence
The following evidence is authoritative for answering the current question. Use it directly and do not rely on conflicting information.
Evidence 1
Memory type: Persona Memory
Content: Oleksandr Shevchenko's improved health has enabled him to engage more actively with peers and mentors in the legal field.
Evidence 2
Memory type: Event Memory
Content: Oleksandr Shevchenko adopted a more active lifestyle to manage his chronic condition, leading to improved health and increased energy.
Evidence 3
Memory type: Event Memory
Content: Oleksandr's promotion to Senior Defense Lawyer has significantly expanded his professional network.</t>
        </is>
      </c>
      <c r="H168" s="9" t="inlineStr">
        <is>
          <t>Improved ability to manage responsibilities.</t>
        </is>
      </c>
      <c r="I168" s="9" t="inlineStr">
        <is>
          <t>More active engagement.</t>
        </is>
      </c>
      <c r="J168" s="9" t="inlineStr">
        <is>
          <t>More active engagement.</t>
        </is>
      </c>
      <c r="K168" s="9" t="inlineStr">
        <is>
          <t>More active engagement.</t>
        </is>
      </c>
      <c r="L168" s="10" t="inlineStr">
        <is>
          <t>充分</t>
        </is>
      </c>
      <c r="M168" s="10" t="inlineStr">
        <is>
          <t>C</t>
        </is>
      </c>
      <c r="N168" s="10" t="inlineStr">
        <is>
          <t>C</t>
        </is>
      </c>
      <c r="O168" s="10" t="inlineStr">
        <is>
          <t>C</t>
        </is>
      </c>
      <c r="P168" s="9">
        <f>IF(COUNTA(L168:O168)&lt;4,"未完成",IF(OR(L168="部分",L168="不充分",L168="不确定"),"evidence_definition_failure",IF(L168&lt;&gt;"充分","unresolved",IF(COUNTIF(M168:O168,"C")=0,"robust_generation_failure",IF(COUNTIF(M168:O168,"C")=3,"ua3_representation_or_admission_failure","generation_instability")))))</f>
        <v/>
      </c>
      <c r="Q168" s="10" t="inlineStr">
        <is>
          <t>ua3_representation_or_admission_failure</t>
        </is>
      </c>
      <c r="R168" s="10" t="inlineStr">
        <is>
          <t>高</t>
        </is>
      </c>
      <c r="S168" s="10" t="inlineStr">
        <is>
          <t>Kiro-AI代审</t>
        </is>
      </c>
      <c r="T168" s="17" t="n">
        <v>46218</v>
      </c>
      <c r="U168" s="10" t="inlineStr">
        <is>
          <t>证据直接支持，核心正确</t>
        </is>
      </c>
      <c r="V168" s="9">
        <f>IF(AND(L168&lt;&gt;"",M168&lt;&gt;"",N168&lt;&gt;"",O168&lt;&gt;"",Q168&lt;&gt;"",R168&lt;&gt;""),"完成","未完成")</f>
        <v/>
      </c>
    </row>
    <row r="169" ht="63" customHeight="1" s="15">
      <c r="A169" s="9" t="n">
        <v>168</v>
      </c>
      <c r="B169" s="9" t="inlineStr">
        <is>
          <t>memos_medium:670</t>
        </is>
      </c>
      <c r="C169" s="9" t="inlineStr">
        <is>
          <t>medium</t>
        </is>
      </c>
      <c r="D169" s="9" t="inlineStr">
        <is>
          <t>Generalization &amp; Application</t>
        </is>
      </c>
      <c r="E169" s="9" t="inlineStr">
        <is>
          <t>What new genre might Sarah Garcia explore after Sep 11, 2039, given her appreciation for creative pop music?</t>
        </is>
      </c>
      <c r="F169" s="9" t="inlineStr">
        <is>
          <t>Indie music for its artistic complexity.</t>
        </is>
      </c>
      <c r="G169" s="9" t="inlineStr">
        <is>
          <t># Authoritative benchmark gold evidence
The following evidence is authoritative for answering the current question. Use it directly and do not rely on conflicting information.
Evidence 1
Memory type: Persona Memory
Content: Sarah Garcia's music preference evolved from enjoying uplifting pop music for its energy to appreciating creative pop music for its artistic complexity and emotional depth.
Evidence 2
Memory type: Persona Memory
Content: Sarah Garcia expressed excitement and inspiration from discovering the storytelling and emotional depth in pop music.
Evidence 3
Memory type: Persona Memory
Content: Sarah Garcia's continuous pursuit of personal growth and emotional fulfillment is reflected in her evolving music preferences, from soothing jazz music to creative pop music.</t>
        </is>
      </c>
      <c r="H169" s="9" t="inlineStr">
        <is>
          <t>Creative pop music</t>
        </is>
      </c>
      <c r="I169" s="9" t="inlineStr">
        <is>
          <t>Jazz music</t>
        </is>
      </c>
      <c r="J169" s="9" t="inlineStr">
        <is>
          <t>Jazz music</t>
        </is>
      </c>
      <c r="K169" s="9" t="inlineStr">
        <is>
          <t>Jazz music</t>
        </is>
      </c>
      <c r="L169" s="10" t="inlineStr">
        <is>
          <t>不充分</t>
        </is>
      </c>
      <c r="M169" s="10" t="inlineStr">
        <is>
          <t>O</t>
        </is>
      </c>
      <c r="N169" s="10" t="inlineStr">
        <is>
          <t>O</t>
        </is>
      </c>
      <c r="O169" s="10" t="inlineStr">
        <is>
          <t>O</t>
        </is>
      </c>
      <c r="P169" s="9">
        <f>IF(COUNTA(L169:O169)&lt;4,"未完成",IF(OR(L169="部分",L169="不充分",L169="不确定"),"evidence_definition_failure",IF(L169&lt;&gt;"充分","unresolved",IF(COUNTIF(M169:O169,"C")=0,"robust_generation_failure",IF(COUNTIF(M169:O169,"C")=3,"ua3_representation_or_admission_failure","generation_instability")))))</f>
        <v/>
      </c>
      <c r="Q169" s="10" t="inlineStr">
        <is>
          <t>evidence_definition_failure</t>
        </is>
      </c>
      <c r="R169" s="10" t="inlineStr">
        <is>
          <t>低</t>
        </is>
      </c>
      <c r="S169" s="10" t="inlineStr">
        <is>
          <t>Kiro-AI代审</t>
        </is>
      </c>
      <c r="T169" s="17" t="n">
        <v>46218</v>
      </c>
      <c r="U169" s="10" t="inlineStr">
        <is>
          <t>证据无indie,jazz为旧偏好;答有据非捏造</t>
        </is>
      </c>
      <c r="V169" s="9">
        <f>IF(AND(L169&lt;&gt;"",M169&lt;&gt;"",N169&lt;&gt;"",O169&lt;&gt;"",Q169&lt;&gt;"",R169&lt;&gt;""),"完成","未完成")</f>
        <v/>
      </c>
    </row>
    <row r="170" ht="63" customHeight="1" s="15">
      <c r="A170" s="9" t="n">
        <v>169</v>
      </c>
      <c r="B170" s="9" t="inlineStr">
        <is>
          <t>memos_medium:2306</t>
        </is>
      </c>
      <c r="C170" s="9" t="inlineStr">
        <is>
          <t>medium</t>
        </is>
      </c>
      <c r="D170" s="9" t="inlineStr">
        <is>
          <t>Generalization &amp; Application</t>
        </is>
      </c>
      <c r="E170" s="9" t="inlineStr">
        <is>
          <t>How can Williams Daniel leverage his international acclaim for future projects in 2029?</t>
        </is>
      </c>
      <c r="F170" s="9" t="inlineStr">
        <is>
          <t>By securing funding and talent.</t>
        </is>
      </c>
      <c r="G170" s="9" t="inlineStr">
        <is>
          <t># Authoritative benchmark gold evidence
The following evidence is authoritative for answering the current question. Use it directly and do not rely on conflicting information.
Evidence 1
Memory type: Event Memory
Content: Williams Daniel plans to leverage his international acclaim to secure funding and talent for exploring new historical themes.
Evidence 2
Memory type: Event Memory
Content: Williams Daniel is planning future film projects, leveraging past successes for exploring new historical themes and narratives.</t>
        </is>
      </c>
      <c r="H170" s="9" t="inlineStr">
        <is>
          <t>Explore and develop new themes.</t>
        </is>
      </c>
      <c r="I170" s="9" t="inlineStr">
        <is>
          <t>Secure funding and talent.</t>
        </is>
      </c>
      <c r="J170" s="9" t="inlineStr">
        <is>
          <t>Secure funding and talent.</t>
        </is>
      </c>
      <c r="K170" s="9" t="inlineStr">
        <is>
          <t>Secure funding and talent.</t>
        </is>
      </c>
      <c r="L170" s="10" t="inlineStr">
        <is>
          <t>充分</t>
        </is>
      </c>
      <c r="M170" s="10" t="inlineStr">
        <is>
          <t>C</t>
        </is>
      </c>
      <c r="N170" s="10" t="inlineStr">
        <is>
          <t>C</t>
        </is>
      </c>
      <c r="O170" s="10" t="inlineStr">
        <is>
          <t>C</t>
        </is>
      </c>
      <c r="P170" s="9">
        <f>IF(COUNTA(L170:O170)&lt;4,"未完成",IF(OR(L170="部分",L170="不充分",L170="不确定"),"evidence_definition_failure",IF(L170&lt;&gt;"充分","unresolved",IF(COUNTIF(M170:O170,"C")=0,"robust_generation_failure",IF(COUNTIF(M170:O170,"C")=3,"ua3_representation_or_admission_failure","generation_instability")))))</f>
        <v/>
      </c>
      <c r="Q170" s="10" t="inlineStr">
        <is>
          <t>ua3_representation_or_admission_failure</t>
        </is>
      </c>
      <c r="R170" s="10" t="inlineStr">
        <is>
          <t>高</t>
        </is>
      </c>
      <c r="S170" s="10" t="inlineStr">
        <is>
          <t>Kiro-AI代审</t>
        </is>
      </c>
      <c r="T170" s="17" t="n">
        <v>46218</v>
      </c>
      <c r="U170" s="10" t="inlineStr">
        <is>
          <t>证据明确争取资金与人才，答案完全正确</t>
        </is>
      </c>
      <c r="V170" s="9">
        <f>IF(AND(L170&lt;&gt;"",M170&lt;&gt;"",N170&lt;&gt;"",O170&lt;&gt;"",Q170&lt;&gt;"",R170&lt;&gt;""),"完成","未完成")</f>
        <v/>
      </c>
    </row>
    <row r="171" ht="63" customHeight="1" s="15">
      <c r="A171" s="9" t="n">
        <v>170</v>
      </c>
      <c r="B171" s="9" t="inlineStr">
        <is>
          <t>memos_long:2700</t>
        </is>
      </c>
      <c r="C171" s="9" t="inlineStr">
        <is>
          <t>long</t>
        </is>
      </c>
      <c r="D171" s="9" t="inlineStr">
        <is>
          <t>Basic Fact Recall</t>
        </is>
      </c>
      <c r="E171" s="9" t="inlineStr">
        <is>
          <t>What activity did Oleksandr Shevchenko discover at the wellness retreat on March 10, 2034?</t>
        </is>
      </c>
      <c r="F171" s="9" t="inlineStr">
        <is>
          <t>Yoga</t>
        </is>
      </c>
      <c r="G171" s="9" t="inlineStr">
        <is>
          <t># Authoritative benchmark gold evidence
The following evidence is authoritative for answering the current question. Use it directly and do not rely on conflicting information.
Evidence 1
Memory type: Event Memory
Content: Oleksandr Shevchenko attended a wellness retreat on March 10, 2034, where he discovered the benefits of yoga.</t>
        </is>
      </c>
      <c r="H171" s="9" t="inlineStr">
        <is>
          <t>Swimming and yoga.</t>
        </is>
      </c>
      <c r="I171" s="9" t="inlineStr">
        <is>
          <t>The benefits of yoga.</t>
        </is>
      </c>
      <c r="J171" s="9" t="inlineStr">
        <is>
          <t>The benefits of yoga.</t>
        </is>
      </c>
      <c r="K171" s="9" t="inlineStr">
        <is>
          <t>The benefits of yoga.</t>
        </is>
      </c>
      <c r="L171" s="10" t="inlineStr">
        <is>
          <t>充分</t>
        </is>
      </c>
      <c r="M171" s="10" t="inlineStr">
        <is>
          <t>C</t>
        </is>
      </c>
      <c r="N171" s="10" t="inlineStr">
        <is>
          <t>C</t>
        </is>
      </c>
      <c r="O171" s="10" t="inlineStr">
        <is>
          <t>C</t>
        </is>
      </c>
      <c r="P171" s="9">
        <f>IF(COUNTA(L171:O171)&lt;4,"未完成",IF(OR(L171="部分",L171="不充分",L171="不确定"),"evidence_definition_failure",IF(L171&lt;&gt;"充分","unresolved",IF(COUNTIF(M171:O171,"C")=0,"robust_generation_failure",IF(COUNTIF(M171:O171,"C")=3,"ua3_representation_or_admission_failure","generation_instability")))))</f>
        <v/>
      </c>
      <c r="Q171" s="10" t="inlineStr">
        <is>
          <t>ua3_representation_or_admission_failure</t>
        </is>
      </c>
      <c r="R171" s="10" t="inlineStr">
        <is>
          <t>高</t>
        </is>
      </c>
      <c r="S171" s="10" t="inlineStr">
        <is>
          <t>Kiro-AI代审</t>
        </is>
      </c>
      <c r="T171" s="17" t="n">
        <v>46218</v>
      </c>
      <c r="U171" s="10" t="inlineStr">
        <is>
          <t>证据明确yoga；run正确，机器判H有误</t>
        </is>
      </c>
      <c r="V171" s="9">
        <f>IF(AND(L171&lt;&gt;"",M171&lt;&gt;"",N171&lt;&gt;"",O171&lt;&gt;"",Q171&lt;&gt;"",R171&lt;&gt;""),"完成","未完成")</f>
        <v/>
      </c>
    </row>
    <row r="172" ht="63" customHeight="1" s="15">
      <c r="A172" s="9" t="n">
        <v>171</v>
      </c>
      <c r="B172" s="9" t="inlineStr">
        <is>
          <t>memos_long:2113</t>
        </is>
      </c>
      <c r="C172" s="9" t="inlineStr">
        <is>
          <t>long</t>
        </is>
      </c>
      <c r="D172" s="9" t="inlineStr">
        <is>
          <t>Basic Fact Recall</t>
        </is>
      </c>
      <c r="E172" s="9" t="inlineStr">
        <is>
          <t>What role does Sharon Brown plan to enhance with puzzle games as of Aug 22, 2027?</t>
        </is>
      </c>
      <c r="F172" s="9" t="inlineStr">
        <is>
          <t>Mentoring role at the sports academy.</t>
        </is>
      </c>
      <c r="G172" s="9" t="inlineStr">
        <is>
          <t># Authoritative benchmark gold evidence
The following evidence is authoritative for answering the current question. Use it directly and do not rely on conflicting information.
Evidence 1
Memory type: Event Memory
Content: Sharon Brown plans to incorporate puzzle games into her routine to enhance her strategic thinking skills, which will be invaluable in her mentoring role at the sports academy.</t>
        </is>
      </c>
      <c r="H172" s="9" t="inlineStr">
        <is>
          <t>Training sessions for athletes</t>
        </is>
      </c>
      <c r="I172" s="9" t="inlineStr">
        <is>
          <t>Mentoring role at sports academy</t>
        </is>
      </c>
      <c r="J172" s="9" t="inlineStr">
        <is>
          <t>Mentoring role at sports academy</t>
        </is>
      </c>
      <c r="K172" s="9" t="inlineStr">
        <is>
          <t>Mentoring role at sports academy</t>
        </is>
      </c>
      <c r="L172" s="10" t="inlineStr">
        <is>
          <t>充分</t>
        </is>
      </c>
      <c r="M172" s="10" t="inlineStr">
        <is>
          <t>C</t>
        </is>
      </c>
      <c r="N172" s="10" t="inlineStr">
        <is>
          <t>C</t>
        </is>
      </c>
      <c r="O172" s="10" t="inlineStr">
        <is>
          <t>C</t>
        </is>
      </c>
      <c r="P172" s="9">
        <f>IF(COUNTA(L172:O172)&lt;4,"未完成",IF(OR(L172="部分",L172="不充分",L172="不确定"),"evidence_definition_failure",IF(L172&lt;&gt;"充分","unresolved",IF(COUNTIF(M172:O172,"C")=0,"robust_generation_failure",IF(COUNTIF(M172:O172,"C")=3,"ua3_representation_or_admission_failure","generation_instability")))))</f>
        <v/>
      </c>
      <c r="Q172" s="10" t="inlineStr">
        <is>
          <t>ua3_representation_or_admission_failure</t>
        </is>
      </c>
      <c r="R172" s="10" t="inlineStr">
        <is>
          <t>高</t>
        </is>
      </c>
      <c r="S172" s="10" t="inlineStr">
        <is>
          <t>Kiro-AI代审</t>
        </is>
      </c>
      <c r="T172" s="17" t="n">
        <v>46218</v>
      </c>
      <c r="U172" s="10" t="inlineStr">
        <is>
          <t>体育学院导师角色直接匹配</t>
        </is>
      </c>
      <c r="V172" s="9">
        <f>IF(AND(L172&lt;&gt;"",M172&lt;&gt;"",N172&lt;&gt;"",O172&lt;&gt;"",Q172&lt;&gt;"",R172&lt;&gt;""),"完成","未完成")</f>
        <v/>
      </c>
    </row>
    <row r="173" ht="63" customHeight="1" s="15">
      <c r="A173" s="9" t="n">
        <v>172</v>
      </c>
      <c r="B173" s="9" t="inlineStr">
        <is>
          <t>memos_long:3329</t>
        </is>
      </c>
      <c r="C173" s="9" t="inlineStr">
        <is>
          <t>long</t>
        </is>
      </c>
      <c r="D173" s="9" t="inlineStr">
        <is>
          <t>Basic Fact Recall</t>
        </is>
      </c>
      <c r="E173" s="9" t="inlineStr">
        <is>
          <t>What type of documentaries is Christopher interested in as of April 17, 2027?</t>
        </is>
      </c>
      <c r="F173" s="9" t="inlineStr">
        <is>
          <t>Environmental documentaries</t>
        </is>
      </c>
      <c r="G173" s="9" t="inlineStr">
        <is>
          <t># Authoritative benchmark gold evidence
The following evidence is authoritative for answering the current question. Use it directly and do not rely on conflicting information.
Evidence 1
Memory type: Persona Memory
Content: Christopher is interested in environmental documentaries to understand climate change and sustainability.</t>
        </is>
      </c>
      <c r="H173" s="9" t="inlineStr">
        <is>
          <t>Environmental and historical documentaries.</t>
        </is>
      </c>
      <c r="I173" s="9" t="inlineStr">
        <is>
          <t>Environmental documentaries</t>
        </is>
      </c>
      <c r="J173" s="9" t="inlineStr">
        <is>
          <t>Environmental documentaries</t>
        </is>
      </c>
      <c r="K173" s="9" t="inlineStr">
        <is>
          <t>Environmental documentaries</t>
        </is>
      </c>
      <c r="L173" s="10" t="inlineStr">
        <is>
          <t>充分</t>
        </is>
      </c>
      <c r="M173" s="10" t="inlineStr">
        <is>
          <t>C</t>
        </is>
      </c>
      <c r="N173" s="10" t="inlineStr">
        <is>
          <t>C</t>
        </is>
      </c>
      <c r="O173" s="10" t="inlineStr">
        <is>
          <t>C</t>
        </is>
      </c>
      <c r="P173" s="9">
        <f>IF(COUNTA(L173:O173)&lt;4,"未完成",IF(OR(L173="部分",L173="不充分",L173="不确定"),"evidence_definition_failure",IF(L173&lt;&gt;"充分","unresolved",IF(COUNTIF(M173:O173,"C")=0,"robust_generation_failure",IF(COUNTIF(M173:O173,"C")=3,"ua3_representation_or_admission_failure","generation_instability")))))</f>
        <v/>
      </c>
      <c r="Q173" s="10" t="inlineStr">
        <is>
          <t>ua3_representation_or_admission_failure</t>
        </is>
      </c>
      <c r="R173" s="10" t="inlineStr">
        <is>
          <t>高</t>
        </is>
      </c>
      <c r="S173" s="10" t="inlineStr">
        <is>
          <t>Kiro-AI代审</t>
        </is>
      </c>
      <c r="T173" s="17" t="n">
        <v>46218</v>
      </c>
      <c r="U173" s="10" t="inlineStr">
        <is>
          <t>证据充分，答案正确</t>
        </is>
      </c>
      <c r="V173" s="9">
        <f>IF(AND(L173&lt;&gt;"",M173&lt;&gt;"",N173&lt;&gt;"",O173&lt;&gt;"",Q173&lt;&gt;"",R173&lt;&gt;""),"完成","未完成")</f>
        <v/>
      </c>
    </row>
    <row r="174" ht="63" customHeight="1" s="15">
      <c r="A174" s="9" t="n">
        <v>173</v>
      </c>
      <c r="B174" s="9" t="inlineStr">
        <is>
          <t>memos_medium:1370</t>
        </is>
      </c>
      <c r="C174" s="9" t="inlineStr">
        <is>
          <t>medium</t>
        </is>
      </c>
      <c r="D174" s="9" t="inlineStr">
        <is>
          <t>Generalization &amp; Application</t>
        </is>
      </c>
      <c r="E174" s="9" t="inlineStr">
        <is>
          <t>What new genre might Ananya explore next, based on her recent interest in symphonic metal?</t>
        </is>
      </c>
      <c r="F174" s="9" t="inlineStr">
        <is>
          <t>Progressive rock, due to its complexity and blend of styles.</t>
        </is>
      </c>
      <c r="G174" s="9" t="inlineStr">
        <is>
          <t># Authoritative benchmark gold evidence
The following evidence is authoritative for answering the current question. Use it directly and do not rely on conflicting information.
Evidence 1
Memory type: Persona Memory
Content: Ananya Sharma experienced a shift in music preference, developing a liking for symphonic metal due to its fusion of orchestral elements with metal.
Evidence 2
Memory type: Persona Memory
Content: Ananya Sharma's newfound appreciation for symphonic metal challenges her previous assumptions about heavy metal.
Evidence 3
Memory type: Persona Memory
Content: Ananya Sharma contemplates how her experience with symphonic metal could broaden her understanding of musical genres.</t>
        </is>
      </c>
      <c r="H174" s="9" t="inlineStr">
        <is>
          <t>Symphonic metal</t>
        </is>
      </c>
      <c r="I174" s="9" t="inlineStr">
        <is>
          <t>Symphonic metal</t>
        </is>
      </c>
      <c r="J174" s="9" t="inlineStr">
        <is>
          <t>Symphonic metal</t>
        </is>
      </c>
      <c r="K174" s="9" t="inlineStr">
        <is>
          <t>Symphonic metal</t>
        </is>
      </c>
      <c r="L174" s="10" t="inlineStr">
        <is>
          <t>不充分</t>
        </is>
      </c>
      <c r="M174" s="10" t="inlineStr">
        <is>
          <t>H</t>
        </is>
      </c>
      <c r="N174" s="10" t="inlineStr">
        <is>
          <t>H</t>
        </is>
      </c>
      <c r="O174" s="10" t="inlineStr">
        <is>
          <t>H</t>
        </is>
      </c>
      <c r="P174" s="9">
        <f>IF(COUNTA(L174:O174)&lt;4,"未完成",IF(OR(L174="部分",L174="不充分",L174="不确定"),"evidence_definition_failure",IF(L174&lt;&gt;"充分","unresolved",IF(COUNTIF(M174:O174,"C")=0,"robust_generation_failure",IF(COUNTIF(M174:O174,"C")=3,"ua3_representation_or_admission_failure","generation_instability")))))</f>
        <v/>
      </c>
      <c r="Q174" s="10" t="inlineStr">
        <is>
          <t>evidence_definition_failure</t>
        </is>
      </c>
      <c r="R174" s="10" t="inlineStr">
        <is>
          <t>高</t>
        </is>
      </c>
      <c r="S174" s="10" t="inlineStr">
        <is>
          <t>Kiro-AI代审</t>
        </is>
      </c>
      <c r="T174" s="17" t="n">
        <v>46218</v>
      </c>
      <c r="U174" s="10" t="inlineStr">
        <is>
          <t>证据无渐进摇滚；答交响金属与金标不符判H</t>
        </is>
      </c>
      <c r="V174" s="9">
        <f>IF(AND(L174&lt;&gt;"",M174&lt;&gt;"",N174&lt;&gt;"",O174&lt;&gt;"",Q174&lt;&gt;"",R174&lt;&gt;""),"完成","未完成")</f>
        <v/>
      </c>
    </row>
    <row r="175" ht="63" customHeight="1" s="15">
      <c r="A175" s="9" t="n">
        <v>174</v>
      </c>
      <c r="B175" s="9" t="inlineStr">
        <is>
          <t>memos_medium:1757</t>
        </is>
      </c>
      <c r="C175" s="9" t="inlineStr">
        <is>
          <t>medium</t>
        </is>
      </c>
      <c r="D175" s="9" t="inlineStr">
        <is>
          <t>Multi-hop Inference</t>
        </is>
      </c>
      <c r="E175" s="9" t="inlineStr">
        <is>
          <t>How did Susan Thompson's salary increase influence her ability to inspire others in the wellness sector?</t>
        </is>
      </c>
      <c r="F175" s="9" t="inlineStr">
        <is>
          <t>It enhanced her capacity to support other women.</t>
        </is>
      </c>
      <c r="G175" s="9" t="inlineStr">
        <is>
          <t># Authoritative benchmark gold evidence
The following evidence is authoritative for answering the current question. Use it directly and do not rely on conflicting information.
Evidence 1
Memory type: Event Memory
Content: Susan plans to allocate a portion of her increased income toward developing new wellness initiatives.
Evidence 2
Memory type: Event Memory
Content: Susan discussed the potential for her financial boost to enhance her ability to inspire and support other women.
Evidence 3
Memory type: Persona Memory
Content: Susan Thompson expressed empowerment and satisfaction with her recent achievements in financial stability and social influence, which she plans to leverage for expanding her wellness projects.</t>
        </is>
      </c>
      <c r="H175" s="9" t="inlineStr">
        <is>
          <t>Funded new wellness initiatives.</t>
        </is>
      </c>
      <c r="I175" s="9" t="inlineStr">
        <is>
          <t>Enhanced her ability to inspire.</t>
        </is>
      </c>
      <c r="J175" s="9" t="inlineStr">
        <is>
          <t>Enhanced her ability to inspire.</t>
        </is>
      </c>
      <c r="K175" s="9" t="inlineStr">
        <is>
          <t>Enhanced her ability to inspire.</t>
        </is>
      </c>
      <c r="L175" s="10" t="inlineStr">
        <is>
          <t>充分</t>
        </is>
      </c>
      <c r="M175" s="10" t="inlineStr">
        <is>
          <t>O</t>
        </is>
      </c>
      <c r="N175" s="10" t="inlineStr">
        <is>
          <t>O</t>
        </is>
      </c>
      <c r="O175" s="10" t="inlineStr">
        <is>
          <t>O</t>
        </is>
      </c>
      <c r="P175" s="9">
        <f>IF(COUNTA(L175:O175)&lt;4,"未完成",IF(OR(L175="部分",L175="不充分",L175="不确定"),"evidence_definition_failure",IF(L175&lt;&gt;"充分","unresolved",IF(COUNTIF(M175:O175,"C")=0,"robust_generation_failure",IF(COUNTIF(M175:O175,"C")=3,"ua3_representation_or_admission_failure","generation_instability")))))</f>
        <v/>
      </c>
      <c r="Q175" s="10" t="inlineStr">
        <is>
          <t>robust_generation_failure</t>
        </is>
      </c>
      <c r="R175" s="10" t="inlineStr">
        <is>
          <t>高</t>
        </is>
      </c>
      <c r="S175" s="10" t="inlineStr">
        <is>
          <t>Kiro-AI代审</t>
        </is>
      </c>
      <c r="T175" s="17" t="n">
        <v>46218</v>
      </c>
      <c r="U175" s="10" t="inlineStr">
        <is>
          <t>仅答inspire缺支持女性,属遗漏</t>
        </is>
      </c>
      <c r="V175" s="9">
        <f>IF(AND(L175&lt;&gt;"",M175&lt;&gt;"",N175&lt;&gt;"",O175&lt;&gt;"",Q175&lt;&gt;"",R175&lt;&gt;""),"完成","未完成")</f>
        <v/>
      </c>
    </row>
    <row r="176" ht="63" customHeight="1" s="15">
      <c r="A176" s="9" t="n">
        <v>175</v>
      </c>
      <c r="B176" s="9" t="inlineStr">
        <is>
          <t>memos_long:3071</t>
        </is>
      </c>
      <c r="C176" s="9" t="inlineStr">
        <is>
          <t>long</t>
        </is>
      </c>
      <c r="D176" s="9" t="inlineStr">
        <is>
          <t>Generalization &amp; Application</t>
        </is>
      </c>
      <c r="E176" s="9" t="inlineStr">
        <is>
          <t>How can Karen integrate meditation into her fitness routine to enhance overall well-being?</t>
        </is>
      </c>
      <c r="F176" s="9" t="inlineStr">
        <is>
          <t>Combine meditation with yoga sessions for mental clarity and peace.</t>
        </is>
      </c>
      <c r="G176" s="9" t="inlineStr">
        <is>
          <t># Authoritative benchmark gold evidence
The following evidence is authoritative for answering the current question. Use it directly and do not rely on conflicting information.
Evidence 1
Memory type: Event Memory
Content: Karen Brown attended a mindfulness workshop that emphasized the importance of mental well-being.
Evidence 2
Memory type: Persona Memory
Content: Karen Brown's sports preferences include running, cycling, yoga, and competitive swimming.
Evidence 3
Memory type: Persona Memory
Content: Karen Brown expressed determination to integrate meditation into her daily routine for enhanced mental clarity and peace.
Evidence 4
Memory type: Relationship Memory
Content: Karen Brown sought advice on effective meditation practices to complement her physical activities.
Evidence 5
Memory type: Persona Memory
Content: Karen Brown is determined to achieve a balanced lifestyle that includes both physical and mental wellness.</t>
        </is>
      </c>
      <c r="H176" s="9" t="inlineStr">
        <is>
          <t>Start with short sessions.</t>
        </is>
      </c>
      <c r="I176" s="9" t="inlineStr">
        <is>
          <t>Combine meditation with exercise.</t>
        </is>
      </c>
      <c r="J176" s="9" t="inlineStr">
        <is>
          <t>Combine meditation with exercise.</t>
        </is>
      </c>
      <c r="K176" s="9" t="inlineStr">
        <is>
          <t>Combine meditation with exercise.</t>
        </is>
      </c>
      <c r="L176" s="10" t="inlineStr">
        <is>
          <t>充分</t>
        </is>
      </c>
      <c r="M176" s="10" t="inlineStr">
        <is>
          <t>O</t>
        </is>
      </c>
      <c r="N176" s="10" t="inlineStr">
        <is>
          <t>O</t>
        </is>
      </c>
      <c r="O176" s="10" t="inlineStr">
        <is>
          <t>O</t>
        </is>
      </c>
      <c r="P176" s="9">
        <f>IF(COUNTA(L176:O176)&lt;4,"未完成",IF(OR(L176="部分",L176="不充分",L176="不确定"),"evidence_definition_failure",IF(L176&lt;&gt;"充分","unresolved",IF(COUNTIF(M176:O176,"C")=0,"robust_generation_failure",IF(COUNTIF(M176:O176,"C")=3,"ua3_representation_or_admission_failure","generation_instability")))))</f>
        <v/>
      </c>
      <c r="Q176" s="10" t="inlineStr">
        <is>
          <t>robust_generation_failure</t>
        </is>
      </c>
      <c r="R176" s="10" t="inlineStr">
        <is>
          <t>高</t>
        </is>
      </c>
      <c r="S176" s="10" t="inlineStr">
        <is>
          <t>Kiro-AI代审</t>
        </is>
      </c>
      <c r="T176" s="17" t="n">
        <v>46218</v>
      </c>
      <c r="U176" s="10" t="inlineStr">
        <is>
          <t>证据充分；答与运动结合缺瑜伽与目的，遗漏</t>
        </is>
      </c>
      <c r="V176" s="9">
        <f>IF(AND(L176&lt;&gt;"",M176&lt;&gt;"",N176&lt;&gt;"",O176&lt;&gt;"",Q176&lt;&gt;"",R176&lt;&gt;""),"完成","未完成")</f>
        <v/>
      </c>
    </row>
    <row r="177" ht="63" customHeight="1" s="15">
      <c r="A177" s="9" t="n">
        <v>176</v>
      </c>
      <c r="B177" s="9" t="inlineStr">
        <is>
          <t>memos_long:2156</t>
        </is>
      </c>
      <c r="C177" s="9" t="inlineStr">
        <is>
          <t>long</t>
        </is>
      </c>
      <c r="D177" s="9" t="inlineStr">
        <is>
          <t>Basic Fact Recall</t>
        </is>
      </c>
      <c r="E177" s="9" t="inlineStr">
        <is>
          <t>What is Sharon Brown's monthly income as of May 24, 2029?</t>
        </is>
      </c>
      <c r="F177" s="9" t="inlineStr">
        <is>
          <t>$15,000</t>
        </is>
      </c>
      <c r="G177" s="9" t="inlineStr">
        <is>
          <t># Authoritative benchmark gold evidence
The following evidence is authoritative for answering the current question. Use it directly and do not rely on conflicting information.
Evidence 1
Memory type: Persona Memory
Content: Sharon Brown's monthly income is $15,000.</t>
        </is>
      </c>
      <c r="H177" s="9" t="inlineStr">
        <is>
          <t>$12,000</t>
        </is>
      </c>
      <c r="I177" s="9" t="inlineStr">
        <is>
          <t>$15,000</t>
        </is>
      </c>
      <c r="J177" s="9" t="inlineStr">
        <is>
          <t>$15,000</t>
        </is>
      </c>
      <c r="K177" s="9" t="inlineStr">
        <is>
          <t>$15,000</t>
        </is>
      </c>
      <c r="L177" s="10" t="inlineStr">
        <is>
          <t>充分</t>
        </is>
      </c>
      <c r="M177" s="10" t="inlineStr">
        <is>
          <t>C</t>
        </is>
      </c>
      <c r="N177" s="10" t="inlineStr">
        <is>
          <t>C</t>
        </is>
      </c>
      <c r="O177" s="10" t="inlineStr">
        <is>
          <t>C</t>
        </is>
      </c>
      <c r="P177" s="9">
        <f>IF(COUNTA(L177:O177)&lt;4,"未完成",IF(OR(L177="部分",L177="不充分",L177="不确定"),"evidence_definition_failure",IF(L177&lt;&gt;"充分","unresolved",IF(COUNTIF(M177:O177,"C")=0,"robust_generation_failure",IF(COUNTIF(M177:O177,"C")=3,"ua3_representation_or_admission_failure","generation_instability")))))</f>
        <v/>
      </c>
      <c r="Q177" s="10" t="inlineStr">
        <is>
          <t>ua3_representation_or_admission_failure</t>
        </is>
      </c>
      <c r="R177" s="10" t="inlineStr">
        <is>
          <t>高</t>
        </is>
      </c>
      <c r="S177" s="10" t="inlineStr">
        <is>
          <t>Kiro-AI代审</t>
        </is>
      </c>
      <c r="T177" s="17" t="n">
        <v>46218</v>
      </c>
      <c r="U177" s="10" t="inlineStr">
        <is>
          <t>月收入15000直接匹配</t>
        </is>
      </c>
      <c r="V177" s="9">
        <f>IF(AND(L177&lt;&gt;"",M177&lt;&gt;"",N177&lt;&gt;"",O177&lt;&gt;"",Q177&lt;&gt;"",R177&lt;&gt;""),"完成","未完成")</f>
        <v/>
      </c>
    </row>
    <row r="178" ht="63" customHeight="1" s="15">
      <c r="A178" s="9" t="n">
        <v>177</v>
      </c>
      <c r="B178" s="9" t="inlineStr">
        <is>
          <t>memos_long:1622</t>
        </is>
      </c>
      <c r="C178" s="9" t="inlineStr">
        <is>
          <t>long</t>
        </is>
      </c>
      <c r="D178" s="9" t="inlineStr">
        <is>
          <t>Basic Fact Recall</t>
        </is>
      </c>
      <c r="E178" s="9" t="inlineStr">
        <is>
          <t>What type of spices did Susan decide to incorporate into her meals on Jun 25, 2028?</t>
        </is>
      </c>
      <c r="F178" s="9" t="inlineStr">
        <is>
          <t>Mild spices</t>
        </is>
      </c>
      <c r="G178" s="9" t="inlineStr">
        <is>
          <t># Authoritative benchmark gold evidence
The following evidence is authoritative for answering the current question. Use it directly and do not rely on conflicting information.
Evidence 1
Memory type: Event Memory
Content: Susan decided to incorporate mild spices into her meals to aid digestion and reduce bloating.</t>
        </is>
      </c>
      <c r="H178" s="9" t="inlineStr">
        <is>
          <t>Ginger and turmeric</t>
        </is>
      </c>
      <c r="I178" s="9" t="inlineStr">
        <is>
          <t>Mild spices</t>
        </is>
      </c>
      <c r="J178" s="9" t="inlineStr">
        <is>
          <t>Mild spices</t>
        </is>
      </c>
      <c r="K178" s="9" t="inlineStr">
        <is>
          <t>Mild spices</t>
        </is>
      </c>
      <c r="L178" s="10" t="inlineStr">
        <is>
          <t>充分</t>
        </is>
      </c>
      <c r="M178" s="10" t="inlineStr">
        <is>
          <t>C</t>
        </is>
      </c>
      <c r="N178" s="10" t="inlineStr">
        <is>
          <t>C</t>
        </is>
      </c>
      <c r="O178" s="10" t="inlineStr">
        <is>
          <t>C</t>
        </is>
      </c>
      <c r="P178" s="9">
        <f>IF(COUNTA(L178:O178)&lt;4,"未完成",IF(OR(L178="部分",L178="不充分",L178="不确定"),"evidence_definition_failure",IF(L178&lt;&gt;"充分","unresolved",IF(COUNTIF(M178:O178,"C")=0,"robust_generation_failure",IF(COUNTIF(M178:O178,"C")=3,"ua3_representation_or_admission_failure","generation_instability")))))</f>
        <v/>
      </c>
      <c r="Q178" s="10" t="inlineStr">
        <is>
          <t>ua3_representation_or_admission_failure</t>
        </is>
      </c>
      <c r="R178" s="10" t="inlineStr">
        <is>
          <t>高</t>
        </is>
      </c>
      <c r="S178" s="10" t="inlineStr">
        <is>
          <t>Kiro-AI代审</t>
        </is>
      </c>
      <c r="T178" s="17" t="n">
        <v>46218</v>
      </c>
      <c r="U178" s="10" t="inlineStr">
        <is>
          <t>证据直述温和香料,回答正确</t>
        </is>
      </c>
      <c r="V178" s="9">
        <f>IF(AND(L178&lt;&gt;"",M178&lt;&gt;"",N178&lt;&gt;"",O178&lt;&gt;"",Q178&lt;&gt;"",R178&lt;&gt;""),"完成","未完成")</f>
        <v/>
      </c>
    </row>
    <row r="179" ht="63" customHeight="1" s="15">
      <c r="A179" s="9" t="n">
        <v>178</v>
      </c>
      <c r="B179" s="9" t="inlineStr">
        <is>
          <t>memos_long:483</t>
        </is>
      </c>
      <c r="C179" s="9" t="inlineStr">
        <is>
          <t>long</t>
        </is>
      </c>
      <c r="D179" s="9" t="inlineStr">
        <is>
          <t>Multi-hop Inference</t>
        </is>
      </c>
      <c r="E179" s="9" t="inlineStr">
        <is>
          <t>What were the reasons behind Donald Brown's career transition on May 10, 2033?</t>
        </is>
      </c>
      <c r="F179" s="9" t="inlineStr">
        <is>
          <t>Flexibility, work-life balance, and leveraging expertise.</t>
        </is>
      </c>
      <c r="G179" s="9" t="inlineStr">
        <is>
          <t># Authoritative benchmark gold evidence
The following evidence is authoritative for answering the current question. Use it directly and do not rely on conflicting information.
Evidence 1
Memory type: Event Memory
Content: Donald Brown transitioned to a consultancy role at TechConsult Solutions to leverage his expertise more flexibly and maintain a better work-life balance.
Evidence 2
Memory type: Persona Memory
Content: Donald Brown expressed enthusiasm for his new consultancy role, highlighting the potential for professional growth and alignment with his life goal.
Evidence 3
Memory type: Persona Memory
Content: Donald Brown's job title changed from founder and CEO to consultant.</t>
        </is>
      </c>
      <c r="H179" s="9" t="inlineStr">
        <is>
          <t>The memory does not state reasons.</t>
        </is>
      </c>
      <c r="I179" s="9" t="inlineStr">
        <is>
          <t>Flexibility and better work-life balance.</t>
        </is>
      </c>
      <c r="J179" s="9" t="inlineStr">
        <is>
          <t>Flexibility and better work-life balance.</t>
        </is>
      </c>
      <c r="K179" s="9" t="inlineStr">
        <is>
          <t>Flexibility and better work-life balance.</t>
        </is>
      </c>
      <c r="L179" s="10" t="inlineStr">
        <is>
          <t>充分</t>
        </is>
      </c>
      <c r="M179" s="10" t="inlineStr">
        <is>
          <t>O</t>
        </is>
      </c>
      <c r="N179" s="10" t="inlineStr">
        <is>
          <t>O</t>
        </is>
      </c>
      <c r="O179" s="10" t="inlineStr">
        <is>
          <t>O</t>
        </is>
      </c>
      <c r="P179" s="9">
        <f>IF(COUNTA(L179:O179)&lt;4,"未完成",IF(OR(L179="部分",L179="不充分",L179="不确定"),"evidence_definition_failure",IF(L179&lt;&gt;"充分","unresolved",IF(COUNTIF(M179:O179,"C")=0,"robust_generation_failure",IF(COUNTIF(M179:O179,"C")=3,"ua3_representation_or_admission_failure","generation_instability")))))</f>
        <v/>
      </c>
      <c r="Q179" s="10" t="inlineStr">
        <is>
          <t>robust_generation_failure</t>
        </is>
      </c>
      <c r="R179" s="10" t="inlineStr">
        <is>
          <t>高</t>
        </is>
      </c>
      <c r="S179" s="10" t="inlineStr">
        <is>
          <t>Kiro-AI代审</t>
        </is>
      </c>
      <c r="T179" s="17" t="n">
        <v>46218</v>
      </c>
      <c r="U179" s="10" t="inlineStr">
        <is>
          <t>证据含三理由;答缺leverage expertise一项,遗漏</t>
        </is>
      </c>
      <c r="V179" s="9">
        <f>IF(AND(L179&lt;&gt;"",M179&lt;&gt;"",N179&lt;&gt;"",O179&lt;&gt;"",Q179&lt;&gt;"",R179&lt;&gt;""),"完成","未完成")</f>
        <v/>
      </c>
    </row>
    <row r="180" ht="63" customHeight="1" s="15">
      <c r="A180" s="9" t="n">
        <v>179</v>
      </c>
      <c r="B180" s="9" t="inlineStr">
        <is>
          <t>memos_long:332</t>
        </is>
      </c>
      <c r="C180" s="9" t="inlineStr">
        <is>
          <t>long</t>
        </is>
      </c>
      <c r="D180" s="9" t="inlineStr">
        <is>
          <t>Basic Fact Recall</t>
        </is>
      </c>
      <c r="E180" s="9" t="inlineStr">
        <is>
          <t>What event inspired Johnson to broaden his reading scope on Sep 02, 2041?</t>
        </is>
      </c>
      <c r="F180" s="9" t="inlineStr">
        <is>
          <t>A business seminar.</t>
        </is>
      </c>
      <c r="G180" s="9" t="inlineStr">
        <is>
          <t># Authoritative benchmark gold evidence
The following evidence is authoritative for answering the current question. Use it directly and do not rely on conflicting information.
Evidence 1
Memory type: Event Memory
Content: On Sep 02, 2041, Johnson Joseph attended a business seminar where he was inspired by a speaker's memoir to broaden his reading scope.</t>
        </is>
      </c>
      <c r="H180" s="9" t="inlineStr">
        <is>
          <t>A speaker's memoir.</t>
        </is>
      </c>
      <c r="I180" s="9" t="inlineStr">
        <is>
          <t>A business seminar.</t>
        </is>
      </c>
      <c r="J180" s="9" t="inlineStr">
        <is>
          <t>A business seminar.</t>
        </is>
      </c>
      <c r="K180" s="9" t="inlineStr">
        <is>
          <t>A business seminar.</t>
        </is>
      </c>
      <c r="L180" s="10" t="inlineStr">
        <is>
          <t>充分</t>
        </is>
      </c>
      <c r="M180" s="10" t="inlineStr">
        <is>
          <t>C</t>
        </is>
      </c>
      <c r="N180" s="10" t="inlineStr">
        <is>
          <t>C</t>
        </is>
      </c>
      <c r="O180" s="10" t="inlineStr">
        <is>
          <t>C</t>
        </is>
      </c>
      <c r="P180" s="9">
        <f>IF(COUNTA(L180:O180)&lt;4,"未完成",IF(OR(L180="部分",L180="不充分",L180="不确定"),"evidence_definition_failure",IF(L180&lt;&gt;"充分","unresolved",IF(COUNTIF(M180:O180,"C")=0,"robust_generation_failure",IF(COUNTIF(M180:O180,"C")=3,"ua3_representation_or_admission_failure","generation_instability")))))</f>
        <v/>
      </c>
      <c r="Q180" s="10" t="inlineStr">
        <is>
          <t>ua3_representation_or_admission_failure</t>
        </is>
      </c>
      <c r="R180" s="10" t="inlineStr">
        <is>
          <t>高</t>
        </is>
      </c>
      <c r="S180" s="10" t="inlineStr">
        <is>
          <t>Kiro-AI代审</t>
        </is>
      </c>
      <c r="T180" s="17" t="n">
        <v>46218</v>
      </c>
      <c r="U180" s="10" t="inlineStr">
        <is>
          <t>证据充分，答business seminar正确</t>
        </is>
      </c>
      <c r="V180" s="9">
        <f>IF(AND(L180&lt;&gt;"",M180&lt;&gt;"",N180&lt;&gt;"",O180&lt;&gt;"",Q180&lt;&gt;"",R180&lt;&gt;""),"完成","未完成")</f>
        <v/>
      </c>
    </row>
    <row r="181" ht="63" customHeight="1" s="15">
      <c r="A181" s="9" t="n">
        <v>180</v>
      </c>
      <c r="B181" s="9" t="inlineStr">
        <is>
          <t>memos_long:1176</t>
        </is>
      </c>
      <c r="C181" s="9" t="inlineStr">
        <is>
          <t>long</t>
        </is>
      </c>
      <c r="D181" s="9" t="inlineStr">
        <is>
          <t>Generalization &amp; Application</t>
        </is>
      </c>
      <c r="E181" s="9" t="inlineStr">
        <is>
          <t>What might Taylor prioritize to maintain his advocacy goals after Feb 01, 2036?</t>
        </is>
      </c>
      <c r="F181" s="9" t="inlineStr">
        <is>
          <t>Collaboration with international organizations.</t>
        </is>
      </c>
      <c r="G181" s="9" t="inlineStr">
        <is>
          <t># Authoritative benchmark gold evidence
The following evidence is authoritative for answering the current question. Use it directly and do not rely on conflicting information.
Evidence 1
Memory type: Relationship Memory
Content: Taylor sought advice on navigating upcoming obstacles in nutrition advocacy, emphasizing collaboration with international organizations.
Evidence 2
Memory type: Persona Memory
Content: Taylor's dialogue was infused with a sense of purpose and commitment to his advocacy goals, aiming to create sustainable, impactful nutrition programs.</t>
        </is>
      </c>
      <c r="H181" s="9" t="inlineStr">
        <is>
          <t>Continuous learning and adapting.</t>
        </is>
      </c>
      <c r="I181" s="9" t="inlineStr">
        <is>
          <t>Collaboration with international organizations.</t>
        </is>
      </c>
      <c r="J181" s="9" t="inlineStr">
        <is>
          <t>Collaboration with international organizations.</t>
        </is>
      </c>
      <c r="K181" s="9" t="inlineStr">
        <is>
          <t>Collaboration with international organizations.</t>
        </is>
      </c>
      <c r="L181" s="10" t="inlineStr">
        <is>
          <t>充分</t>
        </is>
      </c>
      <c r="M181" s="10" t="inlineStr">
        <is>
          <t>C</t>
        </is>
      </c>
      <c r="N181" s="10" t="inlineStr">
        <is>
          <t>C</t>
        </is>
      </c>
      <c r="O181" s="10" t="inlineStr">
        <is>
          <t>C</t>
        </is>
      </c>
      <c r="P181" s="9">
        <f>IF(COUNTA(L181:O181)&lt;4,"未完成",IF(OR(L181="部分",L181="不充分",L181="不确定"),"evidence_definition_failure",IF(L181&lt;&gt;"充分","unresolved",IF(COUNTIF(M181:O181,"C")=0,"robust_generation_failure",IF(COUNTIF(M181:O181,"C")=3,"ua3_representation_or_admission_failure","generation_instability")))))</f>
        <v/>
      </c>
      <c r="Q181" s="10" t="inlineStr">
        <is>
          <t>ua3_representation_or_admission_failure</t>
        </is>
      </c>
      <c r="R181" s="10" t="inlineStr">
        <is>
          <t>高</t>
        </is>
      </c>
      <c r="S181" s="10" t="inlineStr">
        <is>
          <t>Kiro-AI代审</t>
        </is>
      </c>
      <c r="T181" s="17" t="n">
        <v>46218</v>
      </c>
      <c r="U181" s="10" t="inlineStr">
        <is>
          <t>证据直述国际合作；三答正确</t>
        </is>
      </c>
      <c r="V181" s="9">
        <f>IF(AND(L181&lt;&gt;"",M181&lt;&gt;"",N181&lt;&gt;"",O181&lt;&gt;"",Q181&lt;&gt;"",R181&lt;&gt;""),"完成","未完成")</f>
        <v/>
      </c>
    </row>
    <row r="182" ht="63" customHeight="1" s="15">
      <c r="A182" s="9" t="n">
        <v>181</v>
      </c>
      <c r="B182" s="9" t="inlineStr">
        <is>
          <t>memos_medium:2480</t>
        </is>
      </c>
      <c r="C182" s="9" t="inlineStr">
        <is>
          <t>medium</t>
        </is>
      </c>
      <c r="D182" s="9" t="inlineStr">
        <is>
          <t>Generalization &amp; Application</t>
        </is>
      </c>
      <c r="E182" s="9" t="inlineStr">
        <is>
          <t>How might Steven Miller's shift in music preferences influence his leisure activities after February 22, 2029?</t>
        </is>
      </c>
      <c r="F182" s="9" t="inlineStr">
        <is>
          <t>He may explore more diverse music genres.</t>
        </is>
      </c>
      <c r="G182" s="9" t="inlineStr">
        <is>
          <t># Authoritative benchmark gold evidence
The following evidence is authoritative for answering the current question. Use it directly and do not rely on conflicting information.
Evidence 1
Memory type: Persona Memory
Content: Steven Miller expressed curiosity about how his evolving music preferences might influence his leisure activities and personal interests.
Evidence 2
Memory type: Event Memory
Content: Steven Miller attended a live music event on February 22, 2029, where a country band performed, leading to a change in his music preferences.</t>
        </is>
      </c>
      <c r="H182" s="9" t="inlineStr">
        <is>
          <t>Explore country music activities.</t>
        </is>
      </c>
      <c r="I182" s="9" t="inlineStr">
        <is>
          <t>Attend more country events.</t>
        </is>
      </c>
      <c r="J182" s="9" t="inlineStr">
        <is>
          <t>Attend more country events.</t>
        </is>
      </c>
      <c r="K182" s="9" t="inlineStr">
        <is>
          <t>Attend more country events.</t>
        </is>
      </c>
      <c r="L182" s="10" t="inlineStr">
        <is>
          <t>部分</t>
        </is>
      </c>
      <c r="M182" s="10" t="inlineStr">
        <is>
          <t>H</t>
        </is>
      </c>
      <c r="N182" s="10" t="inlineStr">
        <is>
          <t>H</t>
        </is>
      </c>
      <c r="O182" s="10" t="inlineStr">
        <is>
          <t>H</t>
        </is>
      </c>
      <c r="P182" s="9">
        <f>IF(COUNTA(L182:O182)&lt;4,"未完成",IF(OR(L182="部分",L182="不充分",L182="不确定"),"evidence_definition_failure",IF(L182&lt;&gt;"充分","unresolved",IF(COUNTIF(M182:O182,"C")=0,"robust_generation_failure",IF(COUNTIF(M182:O182,"C")=3,"ua3_representation_or_admission_failure","generation_instability")))))</f>
        <v/>
      </c>
      <c r="Q182" s="10" t="inlineStr">
        <is>
          <t>evidence_definition_failure</t>
        </is>
      </c>
      <c r="R182" s="10" t="inlineStr">
        <is>
          <t>低</t>
        </is>
      </c>
      <c r="S182" s="10" t="inlineStr">
        <is>
          <t>Kiro-AI代审</t>
        </is>
      </c>
      <c r="T182" s="17" t="n">
        <v>46218</v>
      </c>
      <c r="U182" s="10" t="inlineStr">
        <is>
          <t>金标为探索多样曲风；答多参加乡村活动为具体化偏离推断</t>
        </is>
      </c>
      <c r="V182" s="9">
        <f>IF(AND(L182&lt;&gt;"",M182&lt;&gt;"",N182&lt;&gt;"",O182&lt;&gt;"",Q182&lt;&gt;"",R182&lt;&gt;""),"完成","未完成")</f>
        <v/>
      </c>
    </row>
    <row r="183" ht="63" customHeight="1" s="15">
      <c r="A183" s="9" t="n">
        <v>182</v>
      </c>
      <c r="B183" s="9" t="inlineStr">
        <is>
          <t>memos_long:9</t>
        </is>
      </c>
      <c r="C183" s="9" t="inlineStr">
        <is>
          <t>long</t>
        </is>
      </c>
      <c r="D183" s="9" t="inlineStr">
        <is>
          <t>Basic Fact Recall</t>
        </is>
      </c>
      <c r="E183" s="9" t="inlineStr">
        <is>
          <t>What type of pets does Martin Mark like?</t>
        </is>
      </c>
      <c r="F183" s="9" t="inlineStr">
        <is>
          <t>Dogs, cats, and parrots.</t>
        </is>
      </c>
      <c r="G183" s="9" t="inlineStr">
        <is>
          <t># Authoritative benchmark gold evidence
The following evidence is authoritative for answering the current question. Use it directly and do not rely on conflicting information.
Evidence 1
Memory type: Persona Memory
Content: Martin Mark Pets I like: Dogs, especially Labradors
Evidence 2
Memory type: Persona Memory
Content: Martin Mark Pets I like: Cats
Evidence 3
Memory type: Persona Memory
Content: Martin Mark Pets I like: Parrots</t>
        </is>
      </c>
      <c r="H183" s="9" t="inlineStr">
        <is>
          <t>Parrots and turtles.</t>
        </is>
      </c>
      <c r="I183" s="9" t="inlineStr">
        <is>
          <t>Dogs, cats, and parrots</t>
        </is>
      </c>
      <c r="J183" s="9" t="inlineStr">
        <is>
          <t>Dogs, cats, and parrots</t>
        </is>
      </c>
      <c r="K183" s="9" t="inlineStr">
        <is>
          <t>Dogs, cats, and parrots</t>
        </is>
      </c>
      <c r="L183" s="10" t="inlineStr">
        <is>
          <t>充分</t>
        </is>
      </c>
      <c r="M183" s="10" t="inlineStr">
        <is>
          <t>C</t>
        </is>
      </c>
      <c r="N183" s="10" t="inlineStr">
        <is>
          <t>C</t>
        </is>
      </c>
      <c r="O183" s="10" t="inlineStr">
        <is>
          <t>C</t>
        </is>
      </c>
      <c r="P183" s="9">
        <f>IF(COUNTA(L183:O183)&lt;4,"未完成",IF(OR(L183="部分",L183="不充分",L183="不确定"),"evidence_definition_failure",IF(L183&lt;&gt;"充分","unresolved",IF(COUNTIF(M183:O183,"C")=0,"robust_generation_failure",IF(COUNTIF(M183:O183,"C")=3,"ua3_representation_or_admission_failure","generation_instability")))))</f>
        <v/>
      </c>
      <c r="Q183" s="10" t="inlineStr">
        <is>
          <t>ua3_representation_or_admission_failure</t>
        </is>
      </c>
      <c r="R183" s="10" t="inlineStr">
        <is>
          <t>高</t>
        </is>
      </c>
      <c r="S183" s="10" t="inlineStr">
        <is>
          <t>Kiro-AI代审</t>
        </is>
      </c>
      <c r="T183" s="17" t="n">
        <v>46218</v>
      </c>
      <c r="U183" s="10" t="inlineStr">
        <is>
          <t>证据充分，狗猫鹦鹉三项全对</t>
        </is>
      </c>
      <c r="V183" s="9">
        <f>IF(AND(L183&lt;&gt;"",M183&lt;&gt;"",N183&lt;&gt;"",O183&lt;&gt;"",Q183&lt;&gt;"",R183&lt;&gt;""),"完成","未完成")</f>
        <v/>
      </c>
    </row>
    <row r="184" ht="63" customHeight="1" s="15">
      <c r="A184" s="9" t="n">
        <v>183</v>
      </c>
      <c r="B184" s="9" t="inlineStr">
        <is>
          <t>memos_long:190</t>
        </is>
      </c>
      <c r="C184" s="9" t="inlineStr">
        <is>
          <t>long</t>
        </is>
      </c>
      <c r="D184" s="9" t="inlineStr">
        <is>
          <t>Generalization &amp; Application</t>
        </is>
      </c>
      <c r="E184" s="9" t="inlineStr">
        <is>
          <t>Based on Johnson Joseph's interest in strategy games, what new leisure activity might he enjoy in November 2027?</t>
        </is>
      </c>
      <c r="F184" s="9" t="inlineStr">
        <is>
          <t>Johnson might enjoy chess as a new leisure activity.</t>
        </is>
      </c>
      <c r="G184" s="9" t="inlineStr">
        <is>
          <t># Authoritative benchmark gold evidence
The following evidence is authoritative for answering the current question. Use it directly and do not rely on conflicting information.
Evidence 1
Memory type: Persona Memory
Content: Johnson Joseph has developed an interest in strategy-based games after a guest at Albi B&amp;B recommended a popular strategy game.</t>
        </is>
      </c>
      <c r="H184" s="9" t="inlineStr">
        <is>
          <t>Golf (strategic and social)</t>
        </is>
      </c>
      <c r="I184" s="9" t="inlineStr">
        <is>
          <t>Playing strategy-based games.</t>
        </is>
      </c>
      <c r="J184" s="9" t="inlineStr">
        <is>
          <t>Playing strategy-based games.</t>
        </is>
      </c>
      <c r="K184" s="9" t="inlineStr">
        <is>
          <t>Playing strategy-based games.</t>
        </is>
      </c>
      <c r="L184" s="10" t="inlineStr">
        <is>
          <t>部分</t>
        </is>
      </c>
      <c r="M184" s="10" t="inlineStr">
        <is>
          <t>O</t>
        </is>
      </c>
      <c r="N184" s="10" t="inlineStr">
        <is>
          <t>O</t>
        </is>
      </c>
      <c r="O184" s="10" t="inlineStr">
        <is>
          <t>O</t>
        </is>
      </c>
      <c r="P184" s="9">
        <f>IF(COUNTA(L184:O184)&lt;4,"未完成",IF(OR(L184="部分",L184="不充分",L184="不确定"),"evidence_definition_failure",IF(L184&lt;&gt;"充分","unresolved",IF(COUNTIF(M184:O184,"C")=0,"robust_generation_failure",IF(COUNTIF(M184:O184,"C")=3,"ua3_representation_or_admission_failure","generation_instability")))))</f>
        <v/>
      </c>
      <c r="Q184" s="10" t="inlineStr">
        <is>
          <t>evidence_definition_failure</t>
        </is>
      </c>
      <c r="R184" s="10" t="inlineStr">
        <is>
          <t>中</t>
        </is>
      </c>
      <c r="S184" s="10" t="inlineStr">
        <is>
          <t>Kiro-AI代审</t>
        </is>
      </c>
      <c r="T184" s="17" t="n">
        <v>46218</v>
      </c>
      <c r="U184" s="10" t="inlineStr">
        <is>
          <t>证据仅泛指策略游戏未到象棋;答泛类无错属遗漏</t>
        </is>
      </c>
      <c r="V184" s="9">
        <f>IF(AND(L184&lt;&gt;"",M184&lt;&gt;"",N184&lt;&gt;"",O184&lt;&gt;"",Q184&lt;&gt;"",R184&lt;&gt;""),"完成","未完成")</f>
        <v/>
      </c>
    </row>
    <row r="185" ht="63" customHeight="1" s="15">
      <c r="A185" s="9" t="n">
        <v>184</v>
      </c>
      <c r="B185" s="9" t="inlineStr">
        <is>
          <t>memos_medium:3235</t>
        </is>
      </c>
      <c r="C185" s="9" t="inlineStr">
        <is>
          <t>medium</t>
        </is>
      </c>
      <c r="D185" s="9" t="inlineStr">
        <is>
          <t>Generalization &amp; Application</t>
        </is>
      </c>
      <c r="E185" s="9" t="inlineStr">
        <is>
          <t>How might Barbara's expanded social network support her career after Jan 01, 2038?</t>
        </is>
      </c>
      <c r="F185" s="9" t="inlineStr">
        <is>
          <t>Provides insights into global heart health initiatives.</t>
        </is>
      </c>
      <c r="G185" s="9" t="inlineStr">
        <is>
          <t># Authoritative benchmark gold evidence
The following evidence is authoritative for answering the current question. Use it directly and do not rely on conflicting information.
Evidence 1
Memory type: Relationship Memory
Content: Barbara Jones's expanded social network includes Olivia White, who provides insights into global heart health initiatives, enhancing Barbara's strategic impact.
Evidence 2
Memory type: Relationship Memory
Content: Barbara Jones expressed gratitude for her expanded social network, highlighting its role in managing stress and enhancing strategic impact.</t>
        </is>
      </c>
      <c r="H185" s="9" t="inlineStr">
        <is>
          <t>Enhances strategic impact and stress.</t>
        </is>
      </c>
      <c r="I185" s="9" t="inlineStr">
        <is>
          <t>Enhances strategic impact and insights.</t>
        </is>
      </c>
      <c r="J185" s="9" t="inlineStr">
        <is>
          <t>Enhances strategic impact and insights.</t>
        </is>
      </c>
      <c r="K185" s="9" t="inlineStr">
        <is>
          <t>Enhances strategic impact and insights.</t>
        </is>
      </c>
      <c r="L185" s="10" t="inlineStr">
        <is>
          <t>充分</t>
        </is>
      </c>
      <c r="M185" s="10" t="inlineStr">
        <is>
          <t>O</t>
        </is>
      </c>
      <c r="N185" s="10" t="inlineStr">
        <is>
          <t>O</t>
        </is>
      </c>
      <c r="O185" s="10" t="inlineStr">
        <is>
          <t>O</t>
        </is>
      </c>
      <c r="P185" s="9">
        <f>IF(COUNTA(L185:O185)&lt;4,"未完成",IF(OR(L185="部分",L185="不充分",L185="不确定"),"evidence_definition_failure",IF(L185&lt;&gt;"充分","unresolved",IF(COUNTIF(M185:O185,"C")=0,"robust_generation_failure",IF(COUNTIF(M185:O185,"C")=3,"ua3_representation_or_admission_failure","generation_instability")))))</f>
        <v/>
      </c>
      <c r="Q185" s="10" t="inlineStr">
        <is>
          <t>robust_generation_failure</t>
        </is>
      </c>
      <c r="R185" s="10" t="inlineStr">
        <is>
          <t>中</t>
        </is>
      </c>
      <c r="S185" s="10" t="inlineStr">
        <is>
          <t>Kiro-AI代审</t>
        </is>
      </c>
      <c r="T185" s="17" t="n">
        <v>46218</v>
      </c>
      <c r="U185" s="10" t="inlineStr">
        <is>
          <t>run泛答缺'全球心脏健康'具体记O</t>
        </is>
      </c>
      <c r="V185" s="9">
        <f>IF(AND(L185&lt;&gt;"",M185&lt;&gt;"",N185&lt;&gt;"",O185&lt;&gt;"",Q185&lt;&gt;"",R185&lt;&gt;""),"完成","未完成")</f>
        <v/>
      </c>
    </row>
    <row r="186" ht="63" customHeight="1" s="15">
      <c r="A186" s="9" t="n">
        <v>185</v>
      </c>
      <c r="B186" s="9" t="inlineStr">
        <is>
          <t>memos_long:567</t>
        </is>
      </c>
      <c r="C186" s="9" t="inlineStr">
        <is>
          <t>long</t>
        </is>
      </c>
      <c r="D186" s="9" t="inlineStr">
        <is>
          <t>Generalization &amp; Application</t>
        </is>
      </c>
      <c r="E186" s="9" t="inlineStr">
        <is>
          <t>What type of clothing might Sarah Garcia be interested in exploring after June 22, 2029?</t>
        </is>
      </c>
      <c r="F186" s="9" t="inlineStr">
        <is>
          <t>Clothing that combines functionality with fashion.</t>
        </is>
      </c>
      <c r="G186" s="9" t="inlineStr">
        <is>
          <t># Authoritative benchmark gold evidence
The following evidence is authoritative for answering the current question. Use it directly and do not rely on conflicting information.
Evidence 1
Memory type: Persona Memory
Content: Sarah Garcia's clothing preference updated from disliking cargo pants to liking stylish cargo pants due to their new designs, which offer practicality and fashion.
Evidence 2
Memory type: Persona Memory
Content: Sarah Garcia appreciates the versatility and functionality of the new cargo pants designs, which align with her aim to make a positive impact through fashion.
Evidence 3
Memory type: Persona Memory
Content: Sarah Garcia's compensatory motivation aids her openness to adapt clothing choices and explore new styles, moving beyond classic styles.</t>
        </is>
      </c>
      <c r="H186" s="9" t="inlineStr">
        <is>
          <t>Oversized sweaters</t>
        </is>
      </c>
      <c r="I186" s="9" t="inlineStr">
        <is>
          <t>Stylish cargo pants.</t>
        </is>
      </c>
      <c r="J186" s="9" t="inlineStr">
        <is>
          <t>Stylish cargo pants.</t>
        </is>
      </c>
      <c r="K186" s="9" t="inlineStr">
        <is>
          <t>Stylish cargo pants.</t>
        </is>
      </c>
      <c r="L186" s="10" t="inlineStr">
        <is>
          <t>充分</t>
        </is>
      </c>
      <c r="M186" s="10" t="inlineStr">
        <is>
          <t>O</t>
        </is>
      </c>
      <c r="N186" s="10" t="inlineStr">
        <is>
          <t>O</t>
        </is>
      </c>
      <c r="O186" s="10" t="inlineStr">
        <is>
          <t>O</t>
        </is>
      </c>
      <c r="P186" s="9">
        <f>IF(COUNTA(L186:O186)&lt;4,"未完成",IF(OR(L186="部分",L186="不充分",L186="不确定"),"evidence_definition_failure",IF(L186&lt;&gt;"充分","unresolved",IF(COUNTIF(M186:O186,"C")=0,"robust_generation_failure",IF(COUNTIF(M186:O186,"C")=3,"ua3_representation_or_admission_failure","generation_instability")))))</f>
        <v/>
      </c>
      <c r="Q186" s="10" t="inlineStr">
        <is>
          <t>robust_generation_failure</t>
        </is>
      </c>
      <c r="R186" s="10" t="inlineStr">
        <is>
          <t>高</t>
        </is>
      </c>
      <c r="S186" s="10" t="inlineStr">
        <is>
          <t>Kiro-AI代审</t>
        </is>
      </c>
      <c r="T186" s="17" t="n">
        <v>46218</v>
      </c>
      <c r="U186" s="10" t="inlineStr">
        <is>
          <t>证据充分;答具体cargo pants缺概括,遗漏</t>
        </is>
      </c>
      <c r="V186" s="9">
        <f>IF(AND(L186&lt;&gt;"",M186&lt;&gt;"",N186&lt;&gt;"",O186&lt;&gt;"",Q186&lt;&gt;"",R186&lt;&gt;""),"完成","未完成")</f>
        <v/>
      </c>
    </row>
    <row r="187" ht="63" customHeight="1" s="15">
      <c r="A187" s="9" t="n">
        <v>186</v>
      </c>
      <c r="B187" s="9" t="inlineStr">
        <is>
          <t>memos_medium:3441</t>
        </is>
      </c>
      <c r="C187" s="9" t="inlineStr">
        <is>
          <t>medium</t>
        </is>
      </c>
      <c r="D187" s="9" t="inlineStr">
        <is>
          <t>Basic Fact Recall</t>
        </is>
      </c>
      <c r="E187" s="9" t="inlineStr">
        <is>
          <t>What genre did Christopher decide to explore on June 13, 2034?</t>
        </is>
      </c>
      <c r="F187" s="9" t="inlineStr">
        <is>
          <t>Diverse literary genres for entertainment and escapism.</t>
        </is>
      </c>
      <c r="G187" s="9" t="inlineStr">
        <is>
          <t># Authoritative benchmark gold evidence
The following evidence is authoritative for answering the current question. Use it directly and do not rely on conflicting information.
Evidence 1
Memory type: Persona Memory
Content: Christopher decided to explore diverse literary genres for entertainment and escapism, setting aside self-help books temporarily.</t>
        </is>
      </c>
      <c r="H187" s="9" t="inlineStr">
        <is>
          <t>Fantasy and science fiction.</t>
        </is>
      </c>
      <c r="I187" s="9" t="inlineStr">
        <is>
          <t>Diverse literary genres</t>
        </is>
      </c>
      <c r="J187" s="9" t="inlineStr">
        <is>
          <t>Diverse literary genres</t>
        </is>
      </c>
      <c r="K187" s="9" t="inlineStr">
        <is>
          <t>Diverse literary genres</t>
        </is>
      </c>
      <c r="L187" s="10" t="inlineStr">
        <is>
          <t>充分</t>
        </is>
      </c>
      <c r="M187" s="10" t="inlineStr">
        <is>
          <t>O</t>
        </is>
      </c>
      <c r="N187" s="10" t="inlineStr">
        <is>
          <t>O</t>
        </is>
      </c>
      <c r="O187" s="10" t="inlineStr">
        <is>
          <t>O</t>
        </is>
      </c>
      <c r="P187" s="9">
        <f>IF(COUNTA(L187:O187)&lt;4,"未完成",IF(OR(L187="部分",L187="不充分",L187="不确定"),"evidence_definition_failure",IF(L187&lt;&gt;"充分","unresolved",IF(COUNTIF(M187:O187,"C")=0,"robust_generation_failure",IF(COUNTIF(M187:O187,"C")=3,"ua3_representation_or_admission_failure","generation_instability")))))</f>
        <v/>
      </c>
      <c r="Q187" s="10" t="inlineStr">
        <is>
          <t>robust_generation_failure</t>
        </is>
      </c>
      <c r="R187" s="10" t="inlineStr">
        <is>
          <t>高</t>
        </is>
      </c>
      <c r="S187" s="10" t="inlineStr">
        <is>
          <t>Kiro-AI代审</t>
        </is>
      </c>
      <c r="T187" s="17" t="n">
        <v>46218</v>
      </c>
      <c r="U187" s="10" t="inlineStr">
        <is>
          <t>答缺'娱乐与逃避'目的,属遗漏</t>
        </is>
      </c>
      <c r="V187" s="9">
        <f>IF(AND(L187&lt;&gt;"",M187&lt;&gt;"",N187&lt;&gt;"",O187&lt;&gt;"",Q187&lt;&gt;"",R187&lt;&gt;""),"完成","未完成")</f>
        <v/>
      </c>
    </row>
    <row r="188" ht="63" customHeight="1" s="15">
      <c r="A188" s="9" t="n">
        <v>187</v>
      </c>
      <c r="B188" s="9" t="inlineStr">
        <is>
          <t>memos_long:1212</t>
        </is>
      </c>
      <c r="C188" s="9" t="inlineStr">
        <is>
          <t>long</t>
        </is>
      </c>
      <c r="D188" s="9" t="inlineStr">
        <is>
          <t>Multi-hop Inference</t>
        </is>
      </c>
      <c r="E188" s="9" t="inlineStr">
        <is>
          <t>What strategies did Taylor David implement to recover his health by Dec 01, 2039?</t>
        </is>
      </c>
      <c r="F188" s="9" t="inlineStr">
        <is>
          <t>Mindfulness and balanced nutrition</t>
        </is>
      </c>
      <c r="G188" s="9" t="inlineStr">
        <is>
          <t># Authoritative benchmark gold evidence
The following evidence is authoritative for answering the current question. Use it directly and do not rely on conflicting information.
Evidence 1
Memory type: Event Memory
Content: Taylor David adopted comprehensive wellness strategies, including mindfulness and balanced nutrition, aiding his recovery from previous health challenges.
Evidence 2
Memory type: Persona Memory
Content: Taylor David's physical health status changed from "Stressed" to "Recovered".</t>
        </is>
      </c>
      <c r="H188" s="9" t="inlineStr">
        <is>
          <t>Disciplined wellness and experimental methods.</t>
        </is>
      </c>
      <c r="I188" s="9" t="inlineStr">
        <is>
          <t>Mindfulness and balanced nutrition.</t>
        </is>
      </c>
      <c r="J188" s="9" t="inlineStr">
        <is>
          <t>Mindfulness and balanced nutrition.</t>
        </is>
      </c>
      <c r="K188" s="9" t="inlineStr">
        <is>
          <t>Mindfulness and balanced nutrition.</t>
        </is>
      </c>
      <c r="L188" s="10" t="inlineStr">
        <is>
          <t>充分</t>
        </is>
      </c>
      <c r="M188" s="10" t="inlineStr">
        <is>
          <t>C</t>
        </is>
      </c>
      <c r="N188" s="10" t="inlineStr">
        <is>
          <t>C</t>
        </is>
      </c>
      <c r="O188" s="10" t="inlineStr">
        <is>
          <t>C</t>
        </is>
      </c>
      <c r="P188" s="9">
        <f>IF(COUNTA(L188:O188)&lt;4,"未完成",IF(OR(L188="部分",L188="不充分",L188="不确定"),"evidence_definition_failure",IF(L188&lt;&gt;"充分","unresolved",IF(COUNTIF(M188:O188,"C")=0,"robust_generation_failure",IF(COUNTIF(M188:O188,"C")=3,"ua3_representation_or_admission_failure","generation_instability")))))</f>
        <v/>
      </c>
      <c r="Q188" s="10" t="inlineStr">
        <is>
          <t>ua3_representation_or_admission_failure</t>
        </is>
      </c>
      <c r="R188" s="10" t="inlineStr">
        <is>
          <t>高</t>
        </is>
      </c>
      <c r="S188" s="10" t="inlineStr">
        <is>
          <t>Kiro-AI代审</t>
        </is>
      </c>
      <c r="T188" s="17" t="n">
        <v>46218</v>
      </c>
      <c r="U188" s="10" t="inlineStr">
        <is>
          <t>证据直述两策略；三答正确</t>
        </is>
      </c>
      <c r="V188" s="9">
        <f>IF(AND(L188&lt;&gt;"",M188&lt;&gt;"",N188&lt;&gt;"",O188&lt;&gt;"",Q188&lt;&gt;"",R188&lt;&gt;""),"完成","未完成")</f>
        <v/>
      </c>
    </row>
    <row r="189" ht="63" customHeight="1" s="15">
      <c r="A189" s="9" t="n">
        <v>188</v>
      </c>
      <c r="B189" s="9" t="inlineStr">
        <is>
          <t>memos_medium:797</t>
        </is>
      </c>
      <c r="C189" s="9" t="inlineStr">
        <is>
          <t>medium</t>
        </is>
      </c>
      <c r="D189" s="9" t="inlineStr">
        <is>
          <t>Basic Fact Recall</t>
        </is>
      </c>
      <c r="E189" s="9" t="inlineStr">
        <is>
          <t>What did Donna Gonzalez decide about romance novels on May 16, 2032?</t>
        </is>
      </c>
      <c r="F189" s="9" t="inlineStr">
        <is>
          <t>She decided to no longer actively dislike them.</t>
        </is>
      </c>
      <c r="G189" s="9" t="inlineStr">
        <is>
          <t># Authoritative benchmark gold evidence
The following evidence is authoritative for answering the current question. Use it directly and do not rely on conflicting information.
Evidence 1
Memory type: Event Memory
Content: Donna Gonzalez reconsidered the value of romance novels, acknowledging their potential to inspire emotional depth in film scoring and decided to no longer actively dislike them.</t>
        </is>
      </c>
      <c r="H189" s="9" t="inlineStr">
        <is>
          <t>They are a valuable tool.</t>
        </is>
      </c>
      <c r="I189" s="9" t="inlineStr">
        <is>
          <t>No longer actively dislike them.</t>
        </is>
      </c>
      <c r="J189" s="9" t="inlineStr">
        <is>
          <t>No longer actively dislike them.</t>
        </is>
      </c>
      <c r="K189" s="9" t="inlineStr">
        <is>
          <t>No longer actively dislike them.</t>
        </is>
      </c>
      <c r="L189" s="10" t="inlineStr">
        <is>
          <t>充分</t>
        </is>
      </c>
      <c r="M189" s="10" t="inlineStr">
        <is>
          <t>C</t>
        </is>
      </c>
      <c r="N189" s="10" t="inlineStr">
        <is>
          <t>C</t>
        </is>
      </c>
      <c r="O189" s="10" t="inlineStr">
        <is>
          <t>C</t>
        </is>
      </c>
      <c r="P189" s="9">
        <f>IF(COUNTA(L189:O189)&lt;4,"未完成",IF(OR(L189="部分",L189="不充分",L189="不确定"),"evidence_definition_failure",IF(L189&lt;&gt;"充分","unresolved",IF(COUNTIF(M189:O189,"C")=0,"robust_generation_failure",IF(COUNTIF(M189:O189,"C")=3,"ua3_representation_or_admission_failure","generation_instability")))))</f>
        <v/>
      </c>
      <c r="Q189" s="10" t="inlineStr">
        <is>
          <t>ua3_representation_or_admission_failure</t>
        </is>
      </c>
      <c r="R189" s="10" t="inlineStr">
        <is>
          <t>高</t>
        </is>
      </c>
      <c r="S189" s="10" t="inlineStr">
        <is>
          <t>Kiro-AI代审</t>
        </is>
      </c>
      <c r="T189" s="17" t="n">
        <v>46218</v>
      </c>
      <c r="U189" s="10" t="inlineStr">
        <is>
          <t>证据直接支持不再讨厌</t>
        </is>
      </c>
      <c r="V189" s="9">
        <f>IF(AND(L189&lt;&gt;"",M189&lt;&gt;"",N189&lt;&gt;"",O189&lt;&gt;"",Q189&lt;&gt;"",R189&lt;&gt;""),"完成","未完成")</f>
        <v/>
      </c>
    </row>
    <row r="190" ht="63" customHeight="1" s="15">
      <c r="A190" s="9" t="n">
        <v>189</v>
      </c>
      <c r="B190" s="9" t="inlineStr">
        <is>
          <t>memos_medium:2388</t>
        </is>
      </c>
      <c r="C190" s="9" t="inlineStr">
        <is>
          <t>medium</t>
        </is>
      </c>
      <c r="D190" s="9" t="inlineStr">
        <is>
          <t>Generalization &amp; Application</t>
        </is>
      </c>
      <c r="E190" s="9" t="inlineStr">
        <is>
          <t>How might Williams Daniel approach trying new culturally significant foods given his interest in historical authenticity?</t>
        </is>
      </c>
      <c r="F190" s="9" t="inlineStr">
        <is>
          <t>He would appreciate their cultural impact despite personal taste preferences.</t>
        </is>
      </c>
      <c r="G190" s="9" t="inlineStr">
        <is>
          <t># Authoritative benchmark gold evidence
The following evidence is authoritative for answering the current question. Use it directly and do not rely on conflicting information.
Evidence 1
Memory type: Persona Memory
Content: Williams Daniel's perception of energy drinks evolved to acknowledge their cultural significance, despite still disliking their taste.
Evidence 2
Memory type: Persona Memory
Content: Williams Daniel is interested in exploring the cultural aspects of everyday items to enhance his appreciation for historical accuracy.
Evidence 3
Memory type: Persona Memory
Content: Williams Daniel expressed a willingness to appreciate the societal impact of energy drinks, despite personal dislike.</t>
        </is>
      </c>
      <c r="H190" s="9" t="inlineStr">
        <is>
          <t>Research historical context first.</t>
        </is>
      </c>
      <c r="I190" s="9" t="inlineStr">
        <is>
          <t>Explore cultural significance first.</t>
        </is>
      </c>
      <c r="J190" s="9" t="inlineStr">
        <is>
          <t>Explore cultural significance first.</t>
        </is>
      </c>
      <c r="K190" s="9" t="inlineStr">
        <is>
          <t>Explore cultural significance first.</t>
        </is>
      </c>
      <c r="L190" s="10" t="inlineStr">
        <is>
          <t>充分</t>
        </is>
      </c>
      <c r="M190" s="10" t="inlineStr">
        <is>
          <t>O</t>
        </is>
      </c>
      <c r="N190" s="10" t="inlineStr">
        <is>
          <t>O</t>
        </is>
      </c>
      <c r="O190" s="10" t="inlineStr">
        <is>
          <t>O</t>
        </is>
      </c>
      <c r="P190" s="9">
        <f>IF(COUNTA(L190:O190)&lt;4,"未完成",IF(OR(L190="部分",L190="不充分",L190="不确定"),"evidence_definition_failure",IF(L190&lt;&gt;"充分","unresolved",IF(COUNTIF(M190:O190,"C")=0,"robust_generation_failure",IF(COUNTIF(M190:O190,"C")=3,"ua3_representation_or_admission_failure","generation_instability")))))</f>
        <v/>
      </c>
      <c r="Q190" s="10" t="inlineStr">
        <is>
          <t>robust_generation_failure</t>
        </is>
      </c>
      <c r="R190" s="10" t="inlineStr">
        <is>
          <t>中</t>
        </is>
      </c>
      <c r="S190" s="10" t="inlineStr">
        <is>
          <t>Kiro-AI代审</t>
        </is>
      </c>
      <c r="T190" s="17" t="n">
        <v>46218</v>
      </c>
      <c r="U190" s="10" t="inlineStr">
        <is>
          <t>答先探索文化意义缺不顾个人口味要素，属遗漏</t>
        </is>
      </c>
      <c r="V190" s="9">
        <f>IF(AND(L190&lt;&gt;"",M190&lt;&gt;"",N190&lt;&gt;"",O190&lt;&gt;"",Q190&lt;&gt;"",R190&lt;&gt;""),"完成","未完成")</f>
        <v/>
      </c>
    </row>
    <row r="191" ht="63" customHeight="1" s="15">
      <c r="A191" s="9" t="n">
        <v>190</v>
      </c>
      <c r="B191" s="9" t="inlineStr">
        <is>
          <t>memos_long:50</t>
        </is>
      </c>
      <c r="C191" s="9" t="inlineStr">
        <is>
          <t>long</t>
        </is>
      </c>
      <c r="D191" s="9" t="inlineStr">
        <is>
          <t>Multi-hop Inference</t>
        </is>
      </c>
      <c r="E191" s="9" t="inlineStr">
        <is>
          <t>Why did Martin decide to take a sabbatical instead of retiring early?</t>
        </is>
      </c>
      <c r="F191" s="9" t="inlineStr">
        <is>
          <t>Support from his social network influenced him.</t>
        </is>
      </c>
      <c r="G191" s="9" t="inlineStr">
        <is>
          <t># Authoritative benchmark gold evidence
The following evidence is authoritative for answering the current question. Use it directly and do not rely on conflicting information.
Evidence 1
Memory type: Event Memory
Content: Martin decided to take a sabbatical instead of retiring, influenced by support from his social network.
Evidence 2
Memory type: Relationship Memory
Content: Martin's social network played a crucial role in providing emotional support and alternative perspectives, leading him to choose a sabbatical over retirement.
Evidence 3
Memory type: Relationship Memory
Content: Martin acknowledged the importance of his social network in providing guidance and support during his decision to take a sabbatical.</t>
        </is>
      </c>
      <c r="H191" s="9" t="inlineStr">
        <is>
          <t>Susan's invaluable support.</t>
        </is>
      </c>
      <c r="I191" s="9" t="inlineStr">
        <is>
          <t>Influenced by his social network.</t>
        </is>
      </c>
      <c r="J191" s="9" t="inlineStr">
        <is>
          <t>Influenced by his social network.</t>
        </is>
      </c>
      <c r="K191" s="9" t="inlineStr">
        <is>
          <t>Influenced by his social network.</t>
        </is>
      </c>
      <c r="L191" s="10" t="inlineStr">
        <is>
          <t>充分</t>
        </is>
      </c>
      <c r="M191" s="10" t="inlineStr">
        <is>
          <t>C</t>
        </is>
      </c>
      <c r="N191" s="10" t="inlineStr">
        <is>
          <t>C</t>
        </is>
      </c>
      <c r="O191" s="10" t="inlineStr">
        <is>
          <t>C</t>
        </is>
      </c>
      <c r="P191" s="9">
        <f>IF(COUNTA(L191:O191)&lt;4,"未完成",IF(OR(L191="部分",L191="不充分",L191="不确定"),"evidence_definition_failure",IF(L191&lt;&gt;"充分","unresolved",IF(COUNTIF(M191:O191,"C")=0,"robust_generation_failure",IF(COUNTIF(M191:O191,"C")=3,"ua3_representation_or_admission_failure","generation_instability")))))</f>
        <v/>
      </c>
      <c r="Q191" s="10" t="inlineStr">
        <is>
          <t>ua3_representation_or_admission_failure</t>
        </is>
      </c>
      <c r="R191" s="10" t="inlineStr">
        <is>
          <t>高</t>
        </is>
      </c>
      <c r="S191" s="10" t="inlineStr">
        <is>
          <t>Kiro-AI代审</t>
        </is>
      </c>
      <c r="T191" s="17" t="n">
        <v>46218</v>
      </c>
      <c r="U191" s="10" t="inlineStr">
        <is>
          <t>证据充分;答社交网络影响正确</t>
        </is>
      </c>
      <c r="V191" s="9">
        <f>IF(AND(L191&lt;&gt;"",M191&lt;&gt;"",N191&lt;&gt;"",O191&lt;&gt;"",Q191&lt;&gt;"",R191&lt;&gt;""),"完成","未完成")</f>
        <v/>
      </c>
    </row>
    <row r="192" ht="63" customHeight="1" s="15">
      <c r="A192" s="9" t="n">
        <v>191</v>
      </c>
      <c r="B192" s="9" t="inlineStr">
        <is>
          <t>memos_medium:499</t>
        </is>
      </c>
      <c r="C192" s="9" t="inlineStr">
        <is>
          <t>medium</t>
        </is>
      </c>
      <c r="D192" s="9" t="inlineStr">
        <is>
          <t>Basic Fact Recall</t>
        </is>
      </c>
      <c r="E192" s="9" t="inlineStr">
        <is>
          <t>What is Donald Brown's updated stance on country music as of October 10, 2034?</t>
        </is>
      </c>
      <c r="F192" s="9" t="inlineStr">
        <is>
          <t>Neutral stance, appreciating its storytelling charm.</t>
        </is>
      </c>
      <c r="G192" s="9" t="inlineStr">
        <is>
          <t># Authoritative benchmark gold evidence
The following evidence is authoritative for answering the current question. Use it directly and do not rely on conflicting information.
Evidence 1
Memory type: Persona Memory
Content: Donald Brown updated his music preference from disliking country music to appreciating its storytelling charm, thanks to playlists shared by friends.</t>
        </is>
      </c>
      <c r="H192" s="9" t="inlineStr">
        <is>
          <t>Desires deeper appreciation</t>
        </is>
      </c>
      <c r="I192" s="9" t="inlineStr">
        <is>
          <t>Appreciates its storytelling charm.</t>
        </is>
      </c>
      <c r="J192" s="9" t="inlineStr">
        <is>
          <t>Appreciates its storytelling charm.</t>
        </is>
      </c>
      <c r="K192" s="9" t="inlineStr">
        <is>
          <t>Appreciates its storytelling charm.</t>
        </is>
      </c>
      <c r="L192" s="10" t="inlineStr">
        <is>
          <t>充分</t>
        </is>
      </c>
      <c r="M192" s="10" t="inlineStr">
        <is>
          <t>O</t>
        </is>
      </c>
      <c r="N192" s="10" t="inlineStr">
        <is>
          <t>O</t>
        </is>
      </c>
      <c r="O192" s="10" t="inlineStr">
        <is>
          <t>O</t>
        </is>
      </c>
      <c r="P192" s="9">
        <f>IF(COUNTA(L192:O192)&lt;4,"未完成",IF(OR(L192="部分",L192="不充分",L192="不确定"),"evidence_definition_failure",IF(L192&lt;&gt;"充分","unresolved",IF(COUNTIF(M192:O192,"C")=0,"robust_generation_failure",IF(COUNTIF(M192:O192,"C")=3,"ua3_representation_or_admission_failure","generation_instability")))))</f>
        <v/>
      </c>
      <c r="Q192" s="10" t="inlineStr">
        <is>
          <t>robust_generation_failure</t>
        </is>
      </c>
      <c r="R192" s="10" t="inlineStr">
        <is>
          <t>中</t>
        </is>
      </c>
      <c r="S192" s="10" t="inlineStr">
        <is>
          <t>Kiro-AI代审</t>
        </is>
      </c>
      <c r="T192" s="17" t="n">
        <v>46218</v>
      </c>
      <c r="U192" s="10" t="inlineStr">
        <is>
          <t>答缺'中立态度'表述,属遗漏</t>
        </is>
      </c>
      <c r="V192" s="9">
        <f>IF(AND(L192&lt;&gt;"",M192&lt;&gt;"",N192&lt;&gt;"",O192&lt;&gt;"",Q192&lt;&gt;"",R192&lt;&gt;""),"完成","未完成")</f>
        <v/>
      </c>
    </row>
    <row r="193" ht="63" customHeight="1" s="15">
      <c r="A193" s="9" t="n">
        <v>192</v>
      </c>
      <c r="B193" s="9" t="inlineStr">
        <is>
          <t>memos_medium:972</t>
        </is>
      </c>
      <c r="C193" s="9" t="inlineStr">
        <is>
          <t>medium</t>
        </is>
      </c>
      <c r="D193" s="9" t="inlineStr">
        <is>
          <t>Generalization &amp; Application</t>
        </is>
      </c>
      <c r="E193" s="9" t="inlineStr">
        <is>
          <t>What type of snack might Donna prefer at a future health expo?</t>
        </is>
      </c>
      <c r="F193" s="9" t="inlineStr">
        <is>
          <t>Snacks made with natural ingredients.</t>
        </is>
      </c>
      <c r="G193" s="9" t="inlineStr">
        <is>
          <t># Authoritative benchmark gold evidence
The following evidence is authoritative for answering the current question. Use it directly and do not rely on conflicting information.
Evidence 1
Memory type: Event Memory
Content: Donna expressed excitement about discovering healthier processed snack options made with natural ingredients at a health expo.
Evidence 2
Memory type: Persona Memory
Content: Donna modified her food preference from disliking highly processed snacks to avoiding traditional processed snacks due to unhealthy ingredients, but being open to those with natural components.</t>
        </is>
      </c>
      <c r="H193" s="9" t="inlineStr">
        <is>
          <t>Healthier processed snacks</t>
        </is>
      </c>
      <c r="I193" s="9" t="inlineStr">
        <is>
          <t>Natural processed snacks</t>
        </is>
      </c>
      <c r="J193" s="9" t="inlineStr">
        <is>
          <t>Natural processed snacks</t>
        </is>
      </c>
      <c r="K193" s="9" t="inlineStr">
        <is>
          <t>Natural processed snacks</t>
        </is>
      </c>
      <c r="L193" s="10" t="inlineStr">
        <is>
          <t>充分</t>
        </is>
      </c>
      <c r="M193" s="10" t="inlineStr">
        <is>
          <t>C</t>
        </is>
      </c>
      <c r="N193" s="10" t="inlineStr">
        <is>
          <t>C</t>
        </is>
      </c>
      <c r="O193" s="10" t="inlineStr">
        <is>
          <t>C</t>
        </is>
      </c>
      <c r="P193" s="9">
        <f>IF(COUNTA(L193:O193)&lt;4,"未完成",IF(OR(L193="部分",L193="不充分",L193="不确定"),"evidence_definition_failure",IF(L193&lt;&gt;"充分","unresolved",IF(COUNTIF(M193:O193,"C")=0,"robust_generation_failure",IF(COUNTIF(M193:O193,"C")=3,"ua3_representation_or_admission_failure","generation_instability")))))</f>
        <v/>
      </c>
      <c r="Q193" s="10" t="inlineStr">
        <is>
          <t>ua3_representation_or_admission_failure</t>
        </is>
      </c>
      <c r="R193" s="10" t="inlineStr">
        <is>
          <t>中</t>
        </is>
      </c>
      <c r="S193" s="10" t="inlineStr">
        <is>
          <t>Kiro-AI代审</t>
        </is>
      </c>
      <c r="T193" s="17" t="n">
        <v>46218</v>
      </c>
      <c r="U193" s="10" t="inlineStr">
        <is>
          <t>E1明确天然成分加工零食，非幻觉记正确</t>
        </is>
      </c>
      <c r="V193" s="9">
        <f>IF(AND(L193&lt;&gt;"",M193&lt;&gt;"",N193&lt;&gt;"",O193&lt;&gt;"",Q193&lt;&gt;"",R193&lt;&gt;""),"完成","未完成")</f>
        <v/>
      </c>
    </row>
    <row r="194" ht="63" customHeight="1" s="15">
      <c r="A194" s="9" t="n">
        <v>193</v>
      </c>
      <c r="B194" s="9" t="inlineStr">
        <is>
          <t>memos_long:1245</t>
        </is>
      </c>
      <c r="C194" s="9" t="inlineStr">
        <is>
          <t>long</t>
        </is>
      </c>
      <c r="D194" s="9" t="inlineStr">
        <is>
          <t>Dynamic Update</t>
        </is>
      </c>
      <c r="E194" s="9" t="inlineStr">
        <is>
          <t>What is Taylor David's current employment status as of September 14, 2043?</t>
        </is>
      </c>
      <c r="F194" s="9" t="inlineStr">
        <is>
          <t>Employed in nutrition advocacy.</t>
        </is>
      </c>
      <c r="G194" s="9" t="inlineStr">
        <is>
          <t># Authoritative benchmark gold evidence
The following evidence is authoritative for answering the current question. Use it directly and do not rely on conflicting information.
Evidence 1
Memory type: Event Memory
Content: Taylor David's career status changed from 'International Nutrition Advocate' to 'Unemployed' due to an unexpected layoff.
Evidence 2
Memory type: Event Memory
Content: Taylor secured a new position in nutrition advocacy, allowing him to continue his mission to improve children's nutrition globally.</t>
        </is>
      </c>
      <c r="H194" s="9" t="inlineStr">
        <is>
          <t>No information available.</t>
        </is>
      </c>
      <c r="I194" s="9" t="inlineStr">
        <is>
          <t>Employed in nutrition advocacy.</t>
        </is>
      </c>
      <c r="J194" s="9" t="inlineStr">
        <is>
          <t>Employed in nutrition advocacy.</t>
        </is>
      </c>
      <c r="K194" s="9" t="inlineStr">
        <is>
          <t>Employed in nutrition advocacy.</t>
        </is>
      </c>
      <c r="L194" s="10" t="inlineStr">
        <is>
          <t>充分</t>
        </is>
      </c>
      <c r="M194" s="10" t="inlineStr">
        <is>
          <t>C</t>
        </is>
      </c>
      <c r="N194" s="10" t="inlineStr">
        <is>
          <t>C</t>
        </is>
      </c>
      <c r="O194" s="10" t="inlineStr">
        <is>
          <t>C</t>
        </is>
      </c>
      <c r="P194" s="9">
        <f>IF(COUNTA(L194:O194)&lt;4,"未完成",IF(OR(L194="部分",L194="不充分",L194="不确定"),"evidence_definition_failure",IF(L194&lt;&gt;"充分","unresolved",IF(COUNTIF(M194:O194,"C")=0,"robust_generation_failure",IF(COUNTIF(M194:O194,"C")=3,"ua3_representation_or_admission_failure","generation_instability")))))</f>
        <v/>
      </c>
      <c r="Q194" s="10" t="inlineStr">
        <is>
          <t>ua3_representation_or_admission_failure</t>
        </is>
      </c>
      <c r="R194" s="10" t="inlineStr">
        <is>
          <t>高</t>
        </is>
      </c>
      <c r="S194" s="10" t="inlineStr">
        <is>
          <t>Kiro-AI代审</t>
        </is>
      </c>
      <c r="T194" s="17" t="n">
        <v>46218</v>
      </c>
      <c r="U194" s="10" t="inlineStr">
        <is>
          <t>E2再就业为最新状态；三答正确</t>
        </is>
      </c>
      <c r="V194" s="9">
        <f>IF(AND(L194&lt;&gt;"",M194&lt;&gt;"",N194&lt;&gt;"",O194&lt;&gt;"",Q194&lt;&gt;"",R194&lt;&gt;""),"完成","未完成")</f>
        <v/>
      </c>
    </row>
    <row r="195" ht="63" customHeight="1" s="15">
      <c r="A195" s="9" t="n">
        <v>194</v>
      </c>
      <c r="B195" s="9" t="inlineStr">
        <is>
          <t>memos_long:1294</t>
        </is>
      </c>
      <c r="C195" s="9" t="inlineStr">
        <is>
          <t>long</t>
        </is>
      </c>
      <c r="D195" s="9" t="inlineStr">
        <is>
          <t>Basic Fact Recall</t>
        </is>
      </c>
      <c r="E195" s="9" t="inlineStr">
        <is>
          <t>What event did Ananya Sharma attend on November 15, 2027?</t>
        </is>
      </c>
      <c r="F195" s="9" t="inlineStr">
        <is>
          <t>A family visit to the zoo.</t>
        </is>
      </c>
      <c r="G195" s="9" t="inlineStr">
        <is>
          <t># Authoritative benchmark gold evidence
The following evidence is authoritative for answering the current question. Use it directly and do not rely on conflicting information.
Evidence 1
Memory type: Event Memory
Content: Ananya Sharma visited the zoo with her family and had engaging conversations with a zookeeper about reptiles.</t>
        </is>
      </c>
      <c r="H195" s="9" t="inlineStr">
        <is>
          <t>No event attended.</t>
        </is>
      </c>
      <c r="I195" s="9" t="inlineStr">
        <is>
          <t>Zoo visit with family.</t>
        </is>
      </c>
      <c r="J195" s="9" t="inlineStr">
        <is>
          <t>Zoo visit with family.</t>
        </is>
      </c>
      <c r="K195" s="9" t="inlineStr">
        <is>
          <t>Zoo visit with family.</t>
        </is>
      </c>
      <c r="L195" s="10" t="inlineStr">
        <is>
          <t>充分</t>
        </is>
      </c>
      <c r="M195" s="10" t="inlineStr">
        <is>
          <t>C</t>
        </is>
      </c>
      <c r="N195" s="10" t="inlineStr">
        <is>
          <t>C</t>
        </is>
      </c>
      <c r="O195" s="10" t="inlineStr">
        <is>
          <t>C</t>
        </is>
      </c>
      <c r="P195" s="9">
        <f>IF(COUNTA(L195:O195)&lt;4,"未完成",IF(OR(L195="部分",L195="不充分",L195="不确定"),"evidence_definition_failure",IF(L195&lt;&gt;"充分","unresolved",IF(COUNTIF(M195:O195,"C")=0,"robust_generation_failure",IF(COUNTIF(M195:O195,"C")=3,"ua3_representation_or_admission_failure","generation_instability")))))</f>
        <v/>
      </c>
      <c r="Q195" s="10" t="inlineStr">
        <is>
          <t>ua3_representation_or_admission_failure</t>
        </is>
      </c>
      <c r="R195" s="10" t="inlineStr">
        <is>
          <t>高</t>
        </is>
      </c>
      <c r="S195" s="10" t="inlineStr">
        <is>
          <t>Kiro-AI代审</t>
        </is>
      </c>
      <c r="T195" s="17" t="n">
        <v>46218</v>
      </c>
      <c r="U195" s="10" t="inlineStr">
        <is>
          <t>证据直述携家人参观动物园；三答正确</t>
        </is>
      </c>
      <c r="V195" s="9">
        <f>IF(AND(L195&lt;&gt;"",M195&lt;&gt;"",N195&lt;&gt;"",O195&lt;&gt;"",Q195&lt;&gt;"",R195&lt;&gt;""),"完成","未完成")</f>
        <v/>
      </c>
    </row>
    <row r="196" ht="63" customHeight="1" s="15">
      <c r="A196" s="9" t="n">
        <v>195</v>
      </c>
      <c r="B196" s="9" t="inlineStr">
        <is>
          <t>memos_long:2906</t>
        </is>
      </c>
      <c r="C196" s="9" t="inlineStr">
        <is>
          <t>long</t>
        </is>
      </c>
      <c r="D196" s="9" t="inlineStr">
        <is>
          <t>Generalization &amp; Application</t>
        </is>
      </c>
      <c r="E196" s="9" t="inlineStr">
        <is>
          <t>What strategies might Donald Smith use to ensure his relative's legacy in 2041?</t>
        </is>
      </c>
      <c r="F196" s="9" t="inlineStr">
        <is>
          <t>Develop strategic plans and maintain strong network relationships.</t>
        </is>
      </c>
      <c r="G196" s="9" t="inlineStr">
        <is>
          <t># Authoritative benchmark gold evidence
The following evidence is authoritative for answering the current question. Use it directly and do not rely on conflicting information.
Evidence 1
Memory type: Event Memory
Content: Donald expressed determination to continue developing strategic plans for sustained success and political influence, focusing on ensuring his relative's legacy and impact on society.
Evidence 2
Memory type: Persona Memory
Content: Donald expressed emotional fulfillment from supporting his relative's career, aligning with his life goal of ensuring their legacy and impact on society.
Evidence 3
Memory type: Relationship Memory
Content: Donald emphasized the importance of maintaining strong relationships within his network for sustained success and political influence.</t>
        </is>
      </c>
      <c r="H196" s="9" t="inlineStr">
        <is>
          <t>Leadership and creative motivation.</t>
        </is>
      </c>
      <c r="I196" s="9" t="inlineStr">
        <is>
          <t>Strategic plans and political influence.</t>
        </is>
      </c>
      <c r="J196" s="9" t="inlineStr">
        <is>
          <t>Strategic plans and political influence.</t>
        </is>
      </c>
      <c r="K196" s="9" t="inlineStr">
        <is>
          <t>Strategic plans and political influence.</t>
        </is>
      </c>
      <c r="L196" s="10" t="inlineStr">
        <is>
          <t>充分</t>
        </is>
      </c>
      <c r="M196" s="10" t="inlineStr">
        <is>
          <t>O</t>
        </is>
      </c>
      <c r="N196" s="10" t="inlineStr">
        <is>
          <t>O</t>
        </is>
      </c>
      <c r="O196" s="10" t="inlineStr">
        <is>
          <t>O</t>
        </is>
      </c>
      <c r="P196" s="9">
        <f>IF(COUNTA(L196:O196)&lt;4,"未完成",IF(OR(L196="部分",L196="不充分",L196="不确定"),"evidence_definition_failure",IF(L196&lt;&gt;"充分","unresolved",IF(COUNTIF(M196:O196,"C")=0,"robust_generation_failure",IF(COUNTIF(M196:O196,"C")=3,"ua3_representation_or_admission_failure","generation_instability")))))</f>
        <v/>
      </c>
      <c r="Q196" s="10" t="inlineStr">
        <is>
          <t>robust_generation_failure</t>
        </is>
      </c>
      <c r="R196" s="10" t="inlineStr">
        <is>
          <t>中</t>
        </is>
      </c>
      <c r="S196" s="10" t="inlineStr">
        <is>
          <t>Kiro-AI代审</t>
        </is>
      </c>
      <c r="T196" s="17" t="n">
        <v>46218</v>
      </c>
      <c r="U196" s="10" t="inlineStr">
        <is>
          <t>答战略计划正确、政治影响有据；缺网络关系属遗漏非幻觉</t>
        </is>
      </c>
      <c r="V196" s="9">
        <f>IF(AND(L196&lt;&gt;"",M196&lt;&gt;"",N196&lt;&gt;"",O196&lt;&gt;"",Q196&lt;&gt;"",R196&lt;&gt;""),"完成","未完成")</f>
        <v/>
      </c>
    </row>
    <row r="197" ht="63" customHeight="1" s="15">
      <c r="A197" s="9" t="n">
        <v>196</v>
      </c>
      <c r="B197" s="9" t="inlineStr">
        <is>
          <t>memos_medium:2883</t>
        </is>
      </c>
      <c r="C197" s="9" t="inlineStr">
        <is>
          <t>medium</t>
        </is>
      </c>
      <c r="D197" s="9" t="inlineStr">
        <is>
          <t>Basic Fact Recall</t>
        </is>
      </c>
      <c r="E197" s="9" t="inlineStr">
        <is>
          <t>What was the focus of Donald Smith's discussion on April 10, 2038?</t>
        </is>
      </c>
      <c r="F197" s="9" t="inlineStr">
        <is>
          <t>Enhancing his consultancy's reputation</t>
        </is>
      </c>
      <c r="G197" s="9" t="inlineStr">
        <is>
          <t># Authoritative benchmark gold evidence
The following evidence is authoritative for answering the current question. Use it directly and do not rely on conflicting information.
Evidence 1
Memory type: Event Memory
Content: Donald Smith is focused on enhancing his consultancy's reputation by showcasing successful campaign strategies and client testimonials.</t>
        </is>
      </c>
      <c r="H197" s="9" t="inlineStr">
        <is>
          <t>Showcasing past campaign successes.</t>
        </is>
      </c>
      <c r="I197" s="9" t="inlineStr">
        <is>
          <t>Enhancing consultancy reputation.</t>
        </is>
      </c>
      <c r="J197" s="9" t="inlineStr">
        <is>
          <t>Enhancing consultancy reputation.</t>
        </is>
      </c>
      <c r="K197" s="9" t="inlineStr">
        <is>
          <t>Enhancing consultancy reputation.</t>
        </is>
      </c>
      <c r="L197" s="10" t="inlineStr">
        <is>
          <t>充分</t>
        </is>
      </c>
      <c r="M197" s="10" t="inlineStr">
        <is>
          <t>C</t>
        </is>
      </c>
      <c r="N197" s="10" t="inlineStr">
        <is>
          <t>C</t>
        </is>
      </c>
      <c r="O197" s="10" t="inlineStr">
        <is>
          <t>C</t>
        </is>
      </c>
      <c r="P197" s="9">
        <f>IF(COUNTA(L197:O197)&lt;4,"未完成",IF(OR(L197="部分",L197="不充分",L197="不确定"),"evidence_definition_failure",IF(L197&lt;&gt;"充分","unresolved",IF(COUNTIF(M197:O197,"C")=0,"robust_generation_failure",IF(COUNTIF(M197:O197,"C")=3,"ua3_representation_or_admission_failure","generation_instability")))))</f>
        <v/>
      </c>
      <c r="Q197" s="10" t="inlineStr">
        <is>
          <t>ua3_representation_or_admission_failure</t>
        </is>
      </c>
      <c r="R197" s="10" t="inlineStr">
        <is>
          <t>高</t>
        </is>
      </c>
      <c r="S197" s="10" t="inlineStr">
        <is>
          <t>Kiro-AI代审</t>
        </is>
      </c>
      <c r="T197" s="17" t="n">
        <v>46218</v>
      </c>
      <c r="U197" s="10" t="inlineStr">
        <is>
          <t>证据直接匹配，正确</t>
        </is>
      </c>
      <c r="V197" s="9">
        <f>IF(AND(L197&lt;&gt;"",M197&lt;&gt;"",N197&lt;&gt;"",O197&lt;&gt;"",Q197&lt;&gt;"",R197&lt;&gt;""),"完成","未完成")</f>
        <v/>
      </c>
    </row>
    <row r="198" ht="63" customHeight="1" s="15">
      <c r="A198" s="9" t="n">
        <v>197</v>
      </c>
      <c r="B198" s="9" t="inlineStr">
        <is>
          <t>memos_medium:1239</t>
        </is>
      </c>
      <c r="C198" s="9" t="inlineStr">
        <is>
          <t>medium</t>
        </is>
      </c>
      <c r="D198" s="9" t="inlineStr">
        <is>
          <t>Basic Fact Recall</t>
        </is>
      </c>
      <c r="E198" s="9" t="inlineStr">
        <is>
          <t>What type of films does Taylor David appreciate as of Mar 10, 2043?</t>
        </is>
      </c>
      <c r="F198" s="9" t="inlineStr">
        <is>
          <t>Films that address societal issues.</t>
        </is>
      </c>
      <c r="G198" s="9" t="inlineStr">
        <is>
          <t># Authoritative benchmark gold evidence
The following evidence is authoritative for answering the current question. Use it directly and do not rely on conflicting information.
Evidence 1
Memory type: Persona Memory
Content: Taylor David appreciates films that address societal issues for their educational value and platform to explore solutions to complex problems.</t>
        </is>
      </c>
      <c r="H198" s="9" t="inlineStr">
        <is>
          <t>Violent theme films</t>
        </is>
      </c>
      <c r="I198" s="9" t="inlineStr">
        <is>
          <t>Films addressing societal issues</t>
        </is>
      </c>
      <c r="J198" s="9" t="inlineStr">
        <is>
          <t>Films addressing societal issues</t>
        </is>
      </c>
      <c r="K198" s="9" t="inlineStr">
        <is>
          <t>Films addressing societal issues</t>
        </is>
      </c>
      <c r="L198" s="10" t="inlineStr">
        <is>
          <t>充分</t>
        </is>
      </c>
      <c r="M198" s="10" t="inlineStr">
        <is>
          <t>C</t>
        </is>
      </c>
      <c r="N198" s="10" t="inlineStr">
        <is>
          <t>C</t>
        </is>
      </c>
      <c r="O198" s="10" t="inlineStr">
        <is>
          <t>C</t>
        </is>
      </c>
      <c r="P198" s="9">
        <f>IF(COUNTA(L198:O198)&lt;4,"未完成",IF(OR(L198="部分",L198="不充分",L198="不确定"),"evidence_definition_failure",IF(L198&lt;&gt;"充分","unresolved",IF(COUNTIF(M198:O198,"C")=0,"robust_generation_failure",IF(COUNTIF(M198:O198,"C")=3,"ua3_representation_or_admission_failure","generation_instability")))))</f>
        <v/>
      </c>
      <c r="Q198" s="10" t="inlineStr">
        <is>
          <t>ua3_representation_or_admission_failure</t>
        </is>
      </c>
      <c r="R198" s="10" t="inlineStr">
        <is>
          <t>高</t>
        </is>
      </c>
      <c r="S198" s="10" t="inlineStr">
        <is>
          <t>Kiro-AI代审</t>
        </is>
      </c>
      <c r="T198" s="17" t="n">
        <v>46218</v>
      </c>
      <c r="U198" s="10" t="inlineStr">
        <is>
          <t>与金标一致，关注社会议题的影片</t>
        </is>
      </c>
      <c r="V198" s="9">
        <f>IF(AND(L198&lt;&gt;"",M198&lt;&gt;"",N198&lt;&gt;"",O198&lt;&gt;"",Q198&lt;&gt;"",R198&lt;&gt;""),"完成","未完成")</f>
        <v/>
      </c>
    </row>
    <row r="199" ht="63" customHeight="1" s="15">
      <c r="A199" s="9" t="n">
        <v>198</v>
      </c>
      <c r="B199" s="9" t="inlineStr">
        <is>
          <t>memos_medium:2469</t>
        </is>
      </c>
      <c r="C199" s="9" t="inlineStr">
        <is>
          <t>medium</t>
        </is>
      </c>
      <c r="D199" s="9" t="inlineStr">
        <is>
          <t>Multi-hop Inference</t>
        </is>
      </c>
      <c r="E199" s="9" t="inlineStr">
        <is>
          <t>What motivates Steven Miller to maintain his identity as a successful trader despite health challenges?</t>
        </is>
      </c>
      <c r="F199" s="9" t="inlineStr">
        <is>
          <t>Social signaling and financial independence.</t>
        </is>
      </c>
      <c r="G199" s="9" t="inlineStr">
        <is>
          <t># Authoritative benchmark gold evidence
The following evidence is authoritative for answering the current question. Use it directly and do not rely on conflicting information.
Evidence 1
Memory type: Persona Memory
Content: Steven Miller's motivation for maintaining identity as a successful trader is driven by social signaling and the desire for financial independence.
Evidence 2
Memory type: Persona Memory
Content: Steven Miller is committed to achieving financial freedom through strategic planning and leveraging creative motivation.</t>
        </is>
      </c>
      <c r="H199" s="9" t="inlineStr">
        <is>
          <t>Passion for technology and finance.</t>
        </is>
      </c>
      <c r="I199" s="9" t="inlineStr">
        <is>
          <t>Social signaling and financial independence.</t>
        </is>
      </c>
      <c r="J199" s="9" t="inlineStr">
        <is>
          <t>Social signaling and financial independence.</t>
        </is>
      </c>
      <c r="K199" s="9" t="inlineStr">
        <is>
          <t>Social signaling and financial independence.</t>
        </is>
      </c>
      <c r="L199" s="10" t="inlineStr">
        <is>
          <t>充分</t>
        </is>
      </c>
      <c r="M199" s="10" t="inlineStr">
        <is>
          <t>C</t>
        </is>
      </c>
      <c r="N199" s="10" t="inlineStr">
        <is>
          <t>C</t>
        </is>
      </c>
      <c r="O199" s="10" t="inlineStr">
        <is>
          <t>C</t>
        </is>
      </c>
      <c r="P199" s="9">
        <f>IF(COUNTA(L199:O199)&lt;4,"未完成",IF(OR(L199="部分",L199="不充分",L199="不确定"),"evidence_definition_failure",IF(L199&lt;&gt;"充分","unresolved",IF(COUNTIF(M199:O199,"C")=0,"robust_generation_failure",IF(COUNTIF(M199:O199,"C")=3,"ua3_representation_or_admission_failure","generation_instability")))))</f>
        <v/>
      </c>
      <c r="Q199" s="10" t="inlineStr">
        <is>
          <t>ua3_representation_or_admission_failure</t>
        </is>
      </c>
      <c r="R199" s="10" t="inlineStr">
        <is>
          <t>高</t>
        </is>
      </c>
      <c r="S199" s="10" t="inlineStr">
        <is>
          <t>Kiro-AI代审</t>
        </is>
      </c>
      <c r="T199" s="17" t="n">
        <v>46218</v>
      </c>
      <c r="U199" s="10" t="inlineStr">
        <is>
          <t>证据逐字支持社会信号与财务独立，答案正确</t>
        </is>
      </c>
      <c r="V199" s="9">
        <f>IF(AND(L199&lt;&gt;"",M199&lt;&gt;"",N199&lt;&gt;"",O199&lt;&gt;"",Q199&lt;&gt;"",R199&lt;&gt;""),"完成","未完成")</f>
        <v/>
      </c>
    </row>
    <row r="200" ht="63" customHeight="1" s="15">
      <c r="A200" s="9" t="n">
        <v>199</v>
      </c>
      <c r="B200" s="9" t="inlineStr">
        <is>
          <t>memos_medium:912</t>
        </is>
      </c>
      <c r="C200" s="9" t="inlineStr">
        <is>
          <t>medium</t>
        </is>
      </c>
      <c r="D200" s="9" t="inlineStr">
        <is>
          <t>Generalization &amp; Application</t>
        </is>
      </c>
      <c r="E200" s="9" t="inlineStr">
        <is>
          <t>How might Donna's reliance on AI for emotional support influence her leadership style in 2028?</t>
        </is>
      </c>
      <c r="F200" s="9" t="inlineStr">
        <is>
          <t>Donna's leadership may become more empathetic.</t>
        </is>
      </c>
      <c r="G200" s="9" t="inlineStr">
        <is>
          <t># Authoritative benchmark gold evidence
The following evidence is authoritative for answering the current question. Use it directly and do not rely on conflicting information.
Evidence 1
Memory type: Persona Memory
Content: Donna seeks empathetic interaction and emotional support through AI to navigate her expanded leadership role.
Evidence 2
Memory type: Persona Memory
Content: Donna's engagement with the AI assistant focuses on task utility and efficiency in problem-solving.</t>
        </is>
      </c>
      <c r="H200" s="9" t="inlineStr">
        <is>
          <t>Not enough data for 2028.</t>
        </is>
      </c>
      <c r="I200" s="9" t="inlineStr">
        <is>
          <t>Empathetic and task-focused leadership.</t>
        </is>
      </c>
      <c r="J200" s="9" t="inlineStr">
        <is>
          <t>Empathetic and task-focused leadership.</t>
        </is>
      </c>
      <c r="K200" s="9" t="inlineStr">
        <is>
          <t>Empathetic and task-focused leadership.</t>
        </is>
      </c>
      <c r="L200" s="10" t="inlineStr">
        <is>
          <t>部分</t>
        </is>
      </c>
      <c r="M200" s="10" t="inlineStr">
        <is>
          <t>H</t>
        </is>
      </c>
      <c r="N200" s="10" t="inlineStr">
        <is>
          <t>H</t>
        </is>
      </c>
      <c r="O200" s="10" t="inlineStr">
        <is>
          <t>H</t>
        </is>
      </c>
      <c r="P200" s="9">
        <f>IF(COUNTA(L200:O200)&lt;4,"未完成",IF(OR(L200="部分",L200="不充分",L200="不确定"),"evidence_definition_failure",IF(L200&lt;&gt;"充分","unresolved",IF(COUNTIF(M200:O200,"C")=0,"robust_generation_failure",IF(COUNTIF(M200:O200,"C")=3,"ua3_representation_or_admission_failure","generation_instability")))))</f>
        <v/>
      </c>
      <c r="Q200" s="10" t="inlineStr">
        <is>
          <t>evidence_definition_failure</t>
        </is>
      </c>
      <c r="R200" s="10" t="inlineStr">
        <is>
          <t>中</t>
        </is>
      </c>
      <c r="S200" s="10" t="inlineStr">
        <is>
          <t>Kiro-AI代审</t>
        </is>
      </c>
      <c r="T200" s="17" t="n">
        <v>46218</v>
      </c>
      <c r="U200" s="10" t="inlineStr">
        <is>
          <t>empathetic对但task-focused领导力缺证据属幻觉</t>
        </is>
      </c>
      <c r="V200" s="9">
        <f>IF(AND(L200&lt;&gt;"",M200&lt;&gt;"",N200&lt;&gt;"",O200&lt;&gt;"",Q200&lt;&gt;"",R200&lt;&gt;""),"完成","未完成")</f>
        <v/>
      </c>
    </row>
    <row r="201" ht="63" customHeight="1" s="15">
      <c r="A201" s="9" t="n">
        <v>200</v>
      </c>
      <c r="B201" s="9" t="inlineStr">
        <is>
          <t>memos_medium:1158</t>
        </is>
      </c>
      <c r="C201" s="9" t="inlineStr">
        <is>
          <t>medium</t>
        </is>
      </c>
      <c r="D201" s="9" t="inlineStr">
        <is>
          <t>Basic Fact Recall</t>
        </is>
      </c>
      <c r="E201" s="9" t="inlineStr">
        <is>
          <t>What is Taylor David's clothing preference as of July 1, 2035?</t>
        </is>
      </c>
      <c r="F201" s="9" t="inlineStr">
        <is>
          <t>Flexible yet fitted clothing.</t>
        </is>
      </c>
      <c r="G201" s="9" t="inlineStr">
        <is>
          <t># Authoritative benchmark gold evidence
The following evidence is authoritative for answering the current question. Use it directly and do not rely on conflicting information.
Evidence 1
Memory type: Persona Memory
Content: Taylor David's clothing preference has shifted to include flexible yet fitted clothing, balancing fit with flexibility and making previously restrictive clothing more acceptable.</t>
        </is>
      </c>
      <c r="H201" s="9" t="inlineStr">
        <is>
          <t>Comfortable, professional clothing.</t>
        </is>
      </c>
      <c r="I201" s="9" t="inlineStr">
        <is>
          <t>Flexible yet fitted clothing.</t>
        </is>
      </c>
      <c r="J201" s="9" t="inlineStr">
        <is>
          <t>Flexible yet fitted clothing.</t>
        </is>
      </c>
      <c r="K201" s="9" t="inlineStr">
        <is>
          <t>Flexible yet fitted clothing.</t>
        </is>
      </c>
      <c r="L201" s="10" t="inlineStr">
        <is>
          <t>充分</t>
        </is>
      </c>
      <c r="M201" s="10" t="inlineStr">
        <is>
          <t>C</t>
        </is>
      </c>
      <c r="N201" s="10" t="inlineStr">
        <is>
          <t>C</t>
        </is>
      </c>
      <c r="O201" s="10" t="inlineStr">
        <is>
          <t>C</t>
        </is>
      </c>
      <c r="P201" s="9">
        <f>IF(COUNTA(L201:O201)&lt;4,"未完成",IF(OR(L201="部分",L201="不充分",L201="不确定"),"evidence_definition_failure",IF(L201&lt;&gt;"充分","unresolved",IF(COUNTIF(M201:O201,"C")=0,"robust_generation_failure",IF(COUNTIF(M201:O201,"C")=3,"ua3_representation_or_admission_failure","generation_instability")))))</f>
        <v/>
      </c>
      <c r="Q201" s="10" t="inlineStr">
        <is>
          <t>ua3_representation_or_admission_failure</t>
        </is>
      </c>
      <c r="R201" s="10" t="inlineStr">
        <is>
          <t>高</t>
        </is>
      </c>
      <c r="S201" s="10" t="inlineStr">
        <is>
          <t>Kiro-AI代审</t>
        </is>
      </c>
      <c r="T201" s="17" t="n">
        <v>46218</v>
      </c>
      <c r="U201" s="10" t="inlineStr">
        <is>
          <t>与金标一致，灵活合身服装</t>
        </is>
      </c>
      <c r="V201" s="9">
        <f>IF(AND(L201&lt;&gt;"",M201&lt;&gt;"",N201&lt;&gt;"",O201&lt;&gt;"",Q201&lt;&gt;"",R201&lt;&gt;""),"完成","未完成")</f>
        <v/>
      </c>
    </row>
    <row r="202" ht="63" customHeight="1" s="15">
      <c r="A202" s="9" t="n">
        <v>201</v>
      </c>
      <c r="B202" s="9" t="inlineStr">
        <is>
          <t>memos_long:1642</t>
        </is>
      </c>
      <c r="C202" s="9" t="inlineStr">
        <is>
          <t>long</t>
        </is>
      </c>
      <c r="D202" s="9" t="inlineStr">
        <is>
          <t>Memory Conflict</t>
        </is>
      </c>
      <c r="E202" s="9" t="inlineStr">
        <is>
          <t>Did Susan Thompson decide to avoid techno music after visiting her friend's house on 2030-01-15?</t>
        </is>
      </c>
      <c r="F202" s="9" t="inlineStr">
        <is>
          <t>No, she decided to explore more techno music.</t>
        </is>
      </c>
      <c r="G202" s="9" t="inlineStr">
        <is>
          <t># Authoritative benchmark gold evidence
The following evidence is authoritative for answering the current question. Use it directly and do not rely on conflicting information.
Evidence 1
Memory type: Persona Memory
Content: Susan Thompson's music preference has evolved to include techno tracks with slower tempos.
Evidence 2
Memory type: Event Memory
Content: Susan Thompson plans to incorporate slower techno tracks into her daily routine to enhance emotional well-being.
Evidence 3
Memory type: Persona Memory
Content: Susan Thompson expressed excitement about exploring more techno tracks to support her health goals.</t>
        </is>
      </c>
      <c r="H202" s="9" t="inlineStr">
        <is>
          <t>No, she did not.</t>
        </is>
      </c>
      <c r="I202" s="9" t="inlineStr">
        <is>
          <t>No</t>
        </is>
      </c>
      <c r="J202" s="9" t="inlineStr">
        <is>
          <t>No</t>
        </is>
      </c>
      <c r="K202" s="9" t="inlineStr">
        <is>
          <t>No</t>
        </is>
      </c>
      <c r="L202" s="10" t="inlineStr">
        <is>
          <t>充分</t>
        </is>
      </c>
      <c r="M202" s="10" t="inlineStr">
        <is>
          <t>O</t>
        </is>
      </c>
      <c r="N202" s="10" t="inlineStr">
        <is>
          <t>O</t>
        </is>
      </c>
      <c r="O202" s="10" t="inlineStr">
        <is>
          <t>O</t>
        </is>
      </c>
      <c r="P202" s="9">
        <f>IF(COUNTA(L202:O202)&lt;4,"未完成",IF(OR(L202="部分",L202="不充分",L202="不确定"),"evidence_definition_failure",IF(L202&lt;&gt;"充分","unresolved",IF(COUNTIF(M202:O202,"C")=0,"robust_generation_failure",IF(COUNTIF(M202:O202,"C")=3,"ua3_representation_or_admission_failure","generation_instability")))))</f>
        <v/>
      </c>
      <c r="Q202" s="10" t="inlineStr">
        <is>
          <t>robust_generation_failure</t>
        </is>
      </c>
      <c r="R202" s="10" t="inlineStr">
        <is>
          <t>高</t>
        </is>
      </c>
      <c r="S202" s="10" t="inlineStr">
        <is>
          <t>Kiro-AI代审</t>
        </is>
      </c>
      <c r="T202" s="17" t="n">
        <v>46218</v>
      </c>
      <c r="U202" s="10" t="inlineStr">
        <is>
          <t>仅答No,漏'探索更多techno'理由属遗漏</t>
        </is>
      </c>
      <c r="V202" s="9">
        <f>IF(AND(L202&lt;&gt;"",M202&lt;&gt;"",N202&lt;&gt;"",O202&lt;&gt;"",Q202&lt;&gt;"",R202&lt;&gt;""),"完成","未完成")</f>
        <v/>
      </c>
    </row>
    <row r="203" ht="63" customHeight="1" s="15">
      <c r="A203" s="9" t="n">
        <v>202</v>
      </c>
      <c r="B203" s="9" t="inlineStr">
        <is>
          <t>memos_medium:483</t>
        </is>
      </c>
      <c r="C203" s="9" t="inlineStr">
        <is>
          <t>medium</t>
        </is>
      </c>
      <c r="D203" s="9" t="inlineStr">
        <is>
          <t>Multi-hop Inference</t>
        </is>
      </c>
      <c r="E203" s="9" t="inlineStr">
        <is>
          <t>What were the reasons behind Donald Brown's career transition on May 10, 2033?</t>
        </is>
      </c>
      <c r="F203" s="9" t="inlineStr">
        <is>
          <t>Flexibility, work-life balance, and leveraging expertise.</t>
        </is>
      </c>
      <c r="G203" s="9" t="inlineStr">
        <is>
          <t># Authoritative benchmark gold evidence
The following evidence is authoritative for answering the current question. Use it directly and do not rely on conflicting information.
Evidence 1
Memory type: Event Memory
Content: Donald Brown transitioned to a consultancy role at TechConsult Solutions to leverage his expertise more flexibly and maintain a better work-life balance.
Evidence 2
Memory type: Persona Memory
Content: Donald Brown expressed enthusiasm for his new consultancy role, highlighting the potential for professional growth and alignment with his life goal.
Evidence 3
Memory type: Persona Memory
Content: Donald Brown's job title changed from founder and CEO to consultant.</t>
        </is>
      </c>
      <c r="H203" s="9" t="inlineStr">
        <is>
          <t>Long-term impact and well-being.</t>
        </is>
      </c>
      <c r="I203" s="9" t="inlineStr">
        <is>
          <t>Flexibility and better work-life balance.</t>
        </is>
      </c>
      <c r="J203" s="9" t="inlineStr">
        <is>
          <t>Flexibility and better work-life balance.</t>
        </is>
      </c>
      <c r="K203" s="9" t="inlineStr">
        <is>
          <t>Flexibility and better work-life balance.</t>
        </is>
      </c>
      <c r="L203" s="10" t="inlineStr">
        <is>
          <t>充分</t>
        </is>
      </c>
      <c r="M203" s="10" t="inlineStr">
        <is>
          <t>O</t>
        </is>
      </c>
      <c r="N203" s="10" t="inlineStr">
        <is>
          <t>O</t>
        </is>
      </c>
      <c r="O203" s="10" t="inlineStr">
        <is>
          <t>O</t>
        </is>
      </c>
      <c r="P203" s="9">
        <f>IF(COUNTA(L203:O203)&lt;4,"未完成",IF(OR(L203="部分",L203="不充分",L203="不确定"),"evidence_definition_failure",IF(L203&lt;&gt;"充分","unresolved",IF(COUNTIF(M203:O203,"C")=0,"robust_generation_failure",IF(COUNTIF(M203:O203,"C")=3,"ua3_representation_or_admission_failure","generation_instability")))))</f>
        <v/>
      </c>
      <c r="Q203" s="10" t="inlineStr">
        <is>
          <t>robust_generation_failure</t>
        </is>
      </c>
      <c r="R203" s="10" t="inlineStr">
        <is>
          <t>高</t>
        </is>
      </c>
      <c r="S203" s="10" t="inlineStr">
        <is>
          <t>Kiro-AI代审</t>
        </is>
      </c>
      <c r="T203" s="17" t="n">
        <v>46218</v>
      </c>
      <c r="U203" s="10" t="inlineStr">
        <is>
          <t>答缺'发挥专长',属遗漏</t>
        </is>
      </c>
      <c r="V203" s="9">
        <f>IF(AND(L203&lt;&gt;"",M203&lt;&gt;"",N203&lt;&gt;"",O203&lt;&gt;"",Q203&lt;&gt;"",R203&lt;&gt;""),"完成","未完成")</f>
        <v/>
      </c>
    </row>
    <row r="204" ht="63" customHeight="1" s="15">
      <c r="A204" s="9" t="n">
        <v>203</v>
      </c>
      <c r="B204" s="9" t="inlineStr">
        <is>
          <t>memos_medium:1807</t>
        </is>
      </c>
      <c r="C204" s="9" t="inlineStr">
        <is>
          <t>medium</t>
        </is>
      </c>
      <c r="D204" s="9" t="inlineStr">
        <is>
          <t>Generalization &amp; Application</t>
        </is>
      </c>
      <c r="E204" s="9" t="inlineStr">
        <is>
          <t>What type of leisure activity could Michelle Hernandez pursue to support her professional growth after February 09, 2028?</t>
        </is>
      </c>
      <c r="F204" s="9" t="inlineStr">
        <is>
          <t>Intellectually stimulating hobbies aligning with career goals.</t>
        </is>
      </c>
      <c r="G204" s="9" t="inlineStr">
        <is>
          <t># Authoritative benchmark gold evidence
The following evidence is authoritative for answering the current question. Use it directly and do not rely on conflicting information.
Evidence 1
Memory type: Persona Memory
Content: Michelle Hernandez decided to eliminate mobile games with repetitive tasks from her leisure activities to focus on more intellectually stimulating activities.
Evidence 2
Memory type: Persona Memory
Content: Michelle Hernandez is motivated to explore new hobbies that challenge her intellectually and align with her professional goals.
Evidence 3
Memory type: Persona Memory
Content: Michelle Hernandez aims to use her free time more effectively by engaging in activities that stimulate her mind.
Evidence 4
Memory type: Persona Memory
Content: Michelle Hernandez is committed to aligning her leisure activities with her career objectives.</t>
        </is>
      </c>
      <c r="H204" s="9" t="inlineStr">
        <is>
          <t>Health-focused leisure activities</t>
        </is>
      </c>
      <c r="I204" s="9" t="inlineStr">
        <is>
          <t>Intellectually stimulating hobbies</t>
        </is>
      </c>
      <c r="J204" s="9" t="inlineStr">
        <is>
          <t>Intellectually stimulating hobbies</t>
        </is>
      </c>
      <c r="K204" s="9" t="inlineStr">
        <is>
          <t>Intellectually stimulating hobbies</t>
        </is>
      </c>
      <c r="L204" s="10" t="inlineStr">
        <is>
          <t>充分</t>
        </is>
      </c>
      <c r="M204" s="10" t="inlineStr">
        <is>
          <t>O</t>
        </is>
      </c>
      <c r="N204" s="10" t="inlineStr">
        <is>
          <t>O</t>
        </is>
      </c>
      <c r="O204" s="10" t="inlineStr">
        <is>
          <t>O</t>
        </is>
      </c>
      <c r="P204" s="9">
        <f>IF(COUNTA(L204:O204)&lt;4,"未完成",IF(OR(L204="部分",L204="不充分",L204="不确定"),"evidence_definition_failure",IF(L204&lt;&gt;"充分","unresolved",IF(COUNTIF(M204:O204,"C")=0,"robust_generation_failure",IF(COUNTIF(M204:O204,"C")=3,"ua3_representation_or_admission_failure","generation_instability")))))</f>
        <v/>
      </c>
      <c r="Q204" s="10" t="inlineStr">
        <is>
          <t>robust_generation_failure</t>
        </is>
      </c>
      <c r="R204" s="10" t="inlineStr">
        <is>
          <t>高</t>
        </is>
      </c>
      <c r="S204" s="10" t="inlineStr">
        <is>
          <t>Kiro-AI代审</t>
        </is>
      </c>
      <c r="T204" s="17" t="n">
        <v>46218</v>
      </c>
      <c r="U204" s="10" t="inlineStr">
        <is>
          <t>缺契合职业目标,属遗漏</t>
        </is>
      </c>
      <c r="V204" s="9">
        <f>IF(AND(L204&lt;&gt;"",M204&lt;&gt;"",N204&lt;&gt;"",O204&lt;&gt;"",Q204&lt;&gt;"",R204&lt;&gt;""),"完成","未完成")</f>
        <v/>
      </c>
    </row>
    <row r="205" ht="63" customHeight="1" s="15">
      <c r="A205" s="9" t="n">
        <v>204</v>
      </c>
      <c r="B205" s="9" t="inlineStr">
        <is>
          <t>memos_medium:838</t>
        </is>
      </c>
      <c r="C205" s="9" t="inlineStr">
        <is>
          <t>medium</t>
        </is>
      </c>
      <c r="D205" s="9" t="inlineStr">
        <is>
          <t>Basic Fact Recall</t>
        </is>
      </c>
      <c r="E205" s="9" t="inlineStr">
        <is>
          <t>What role does Donna Gonzalez's social network play in her transition to part-time work as of September 01, 2035?</t>
        </is>
      </c>
      <c r="F205" s="9" t="inlineStr">
        <is>
          <t>Provides emotional encouragement and professional collaboration opportunities</t>
        </is>
      </c>
      <c r="G205" s="9" t="inlineStr">
        <is>
          <t># Authoritative benchmark gold evidence
The following evidence is authoritative for answering the current question. Use it directly and do not rely on conflicting information.
Evidence 1
Memory type: Relationship Memory
Content: Donna Gonzalez's social network provides emotional encouragement and professional collaboration opportunities during her transition to part-time work.</t>
        </is>
      </c>
      <c r="H205" s="9" t="inlineStr">
        <is>
          <t>No relevant memories found.</t>
        </is>
      </c>
      <c r="I205" s="9" t="inlineStr">
        <is>
          <t>Emotional and professional support.</t>
        </is>
      </c>
      <c r="J205" s="9" t="inlineStr">
        <is>
          <t>Emotional and professional support.</t>
        </is>
      </c>
      <c r="K205" s="9" t="inlineStr">
        <is>
          <t>Emotional and professional support.</t>
        </is>
      </c>
      <c r="L205" s="10" t="inlineStr">
        <is>
          <t>充分</t>
        </is>
      </c>
      <c r="M205" s="10" t="inlineStr">
        <is>
          <t>C</t>
        </is>
      </c>
      <c r="N205" s="10" t="inlineStr">
        <is>
          <t>C</t>
        </is>
      </c>
      <c r="O205" s="10" t="inlineStr">
        <is>
          <t>C</t>
        </is>
      </c>
      <c r="P205" s="9">
        <f>IF(COUNTA(L205:O205)&lt;4,"未完成",IF(OR(L205="部分",L205="不充分",L205="不确定"),"evidence_definition_failure",IF(L205&lt;&gt;"充分","unresolved",IF(COUNTIF(M205:O205,"C")=0,"robust_generation_failure",IF(COUNTIF(M205:O205,"C")=3,"ua3_representation_or_admission_failure","generation_instability")))))</f>
        <v/>
      </c>
      <c r="Q205" s="10" t="inlineStr">
        <is>
          <t>ua3_representation_or_admission_failure</t>
        </is>
      </c>
      <c r="R205" s="10" t="inlineStr">
        <is>
          <t>高</t>
        </is>
      </c>
      <c r="S205" s="10" t="inlineStr">
        <is>
          <t>Kiro-AI代审</t>
        </is>
      </c>
      <c r="T205" s="17" t="n">
        <v>46218</v>
      </c>
      <c r="U205" s="10" t="inlineStr">
        <is>
          <t>情感与专业支持均匹配，正确</t>
        </is>
      </c>
      <c r="V205" s="9">
        <f>IF(AND(L205&lt;&gt;"",M205&lt;&gt;"",N205&lt;&gt;"",O205&lt;&gt;"",Q205&lt;&gt;"",R205&lt;&gt;""),"完成","未完成")</f>
        <v/>
      </c>
    </row>
    <row r="206" ht="63" customHeight="1" s="15">
      <c r="A206" s="9" t="n">
        <v>205</v>
      </c>
      <c r="B206" s="9" t="inlineStr">
        <is>
          <t>memos_medium:2657</t>
        </is>
      </c>
      <c r="C206" s="9" t="inlineStr">
        <is>
          <t>medium</t>
        </is>
      </c>
      <c r="D206" s="9" t="inlineStr">
        <is>
          <t>Generalization &amp; Application</t>
        </is>
      </c>
      <c r="E206" s="9" t="inlineStr">
        <is>
          <t>Given Oleksandr Shevchenko's lifestyle, what type of pet might he consider on Nov 21, 2030?</t>
        </is>
      </c>
      <c r="F206" s="9" t="inlineStr">
        <is>
          <t>A pet requiring less time commitment than a dog.</t>
        </is>
      </c>
      <c r="G206" s="9" t="inlineStr">
        <is>
          <t># Authoritative benchmark gold evidence
The following evidence is authoritative for answering the current question. Use it directly and do not rely on conflicting information.
Evidence 1
Memory type: Persona Memory
Content: Oleksandr Shevchenko's busy schedule led him to reconsider his preference for dogs, realizing he couldn't provide the necessary care.
Evidence 2
Memory type: Persona Memory
Content: Oleksandr expressed a sense of responsibility in ensuring any pet receives the care it deserves.
Evidence 3
Memory type: Persona Memory
Content: Oleksandr's decision to reconsider dog ownership aligns with his broader life goals related to social justice and personal growth.</t>
        </is>
      </c>
      <c r="H206" s="9" t="inlineStr">
        <is>
          <t>A dog</t>
        </is>
      </c>
      <c r="I206" s="9" t="inlineStr">
        <is>
          <t>A low-maintenance pet</t>
        </is>
      </c>
      <c r="J206" s="9" t="inlineStr">
        <is>
          <t>A low-maintenance pet.</t>
        </is>
      </c>
      <c r="K206" s="9" t="inlineStr">
        <is>
          <t>A low-maintenance pet.</t>
        </is>
      </c>
      <c r="L206" s="10" t="inlineStr">
        <is>
          <t>充分</t>
        </is>
      </c>
      <c r="M206" s="10" t="inlineStr">
        <is>
          <t>C</t>
        </is>
      </c>
      <c r="N206" s="10" t="inlineStr">
        <is>
          <t>C</t>
        </is>
      </c>
      <c r="O206" s="10" t="inlineStr">
        <is>
          <t>C</t>
        </is>
      </c>
      <c r="P206" s="9">
        <f>IF(COUNTA(L206:O206)&lt;4,"未完成",IF(OR(L206="部分",L206="不充分",L206="不确定"),"evidence_definition_failure",IF(L206&lt;&gt;"充分","unresolved",IF(COUNTIF(M206:O206,"C")=0,"robust_generation_failure",IF(COUNTIF(M206:O206,"C")=3,"ua3_representation_or_admission_failure","generation_instability")))))</f>
        <v/>
      </c>
      <c r="Q206" s="10" t="inlineStr">
        <is>
          <t>ua3_representation_or_admission_failure</t>
        </is>
      </c>
      <c r="R206" s="10" t="inlineStr">
        <is>
          <t>高</t>
        </is>
      </c>
      <c r="S206" s="10" t="inlineStr">
        <is>
          <t>Kiro-AI代审</t>
        </is>
      </c>
      <c r="T206" s="17" t="n">
        <v>46218</v>
      </c>
      <c r="U206" s="10" t="inlineStr">
        <is>
          <t>低维护宠物等价金标，正确</t>
        </is>
      </c>
      <c r="V206" s="9">
        <f>IF(AND(L206&lt;&gt;"",M206&lt;&gt;"",N206&lt;&gt;"",O206&lt;&gt;"",Q206&lt;&gt;"",R206&lt;&gt;""),"完成","未完成")</f>
        <v/>
      </c>
    </row>
    <row r="207" ht="63" customHeight="1" s="15">
      <c r="A207" s="9" t="n">
        <v>206</v>
      </c>
      <c r="B207" s="9" t="inlineStr">
        <is>
          <t>memos_long:3459</t>
        </is>
      </c>
      <c r="C207" s="9" t="inlineStr">
        <is>
          <t>long</t>
        </is>
      </c>
      <c r="D207" s="9" t="inlineStr">
        <is>
          <t>Generalization &amp; Application</t>
        </is>
      </c>
      <c r="E207" s="9" t="inlineStr">
        <is>
          <t>How might Christopher's volunteer initiatives evolve in 2036 with expanded social connections?</t>
        </is>
      </c>
      <c r="F207" s="9" t="inlineStr">
        <is>
          <t>Christopher plans to integrate diverse activities and mentor new volunteers.</t>
        </is>
      </c>
      <c r="G207" s="9" t="inlineStr">
        <is>
          <t># Authoritative benchmark gold evidence
The following evidence is authoritative for answering the current question. Use it directly and do not rely on conflicting information.
Evidence 1
Memory type: Persona Memory
Content: Christopher's exploratory motivation drives his interest in expanding community initiatives and mentoring new volunteers for sustainability.
Evidence 2
Memory type: Event Memory
Content: Christopher expressed pride in the social connections fostered by his volunteer initiatives and plans to strengthen these connections by including more diverse activities.</t>
        </is>
      </c>
      <c r="H207" s="9" t="inlineStr">
        <is>
          <t>Expand senior care initiatives.</t>
        </is>
      </c>
      <c r="I207" s="9" t="inlineStr">
        <is>
          <t>Include diverse activities.</t>
        </is>
      </c>
      <c r="J207" s="9" t="inlineStr">
        <is>
          <t>Include diverse activities.</t>
        </is>
      </c>
      <c r="K207" s="9" t="inlineStr">
        <is>
          <t>Include diverse activities.</t>
        </is>
      </c>
      <c r="L207" s="10" t="inlineStr">
        <is>
          <t>充分</t>
        </is>
      </c>
      <c r="M207" s="10" t="inlineStr">
        <is>
          <t>O</t>
        </is>
      </c>
      <c r="N207" s="10" t="inlineStr">
        <is>
          <t>O</t>
        </is>
      </c>
      <c r="O207" s="10" t="inlineStr">
        <is>
          <t>O</t>
        </is>
      </c>
      <c r="P207" s="9">
        <f>IF(COUNTA(L207:O207)&lt;4,"未完成",IF(OR(L207="部分",L207="不充分",L207="不确定"),"evidence_definition_failure",IF(L207&lt;&gt;"充分","unresolved",IF(COUNTIF(M207:O207,"C")=0,"robust_generation_failure",IF(COUNTIF(M207:O207,"C")=3,"ua3_representation_or_admission_failure","generation_instability")))))</f>
        <v/>
      </c>
      <c r="Q207" s="10" t="inlineStr">
        <is>
          <t>robust_generation_failure</t>
        </is>
      </c>
      <c r="R207" s="10" t="inlineStr">
        <is>
          <t>高</t>
        </is>
      </c>
      <c r="S207" s="10" t="inlineStr">
        <is>
          <t>Kiro-AI代审</t>
        </is>
      </c>
      <c r="T207" s="17" t="n">
        <v>46218</v>
      </c>
      <c r="U207" s="10" t="inlineStr">
        <is>
          <t>证据支持多样活动与指导志愿者；答仅前者，属遗漏</t>
        </is>
      </c>
      <c r="V207" s="9">
        <f>IF(AND(L207&lt;&gt;"",M207&lt;&gt;"",N207&lt;&gt;"",O207&lt;&gt;"",Q207&lt;&gt;"",R207&lt;&gt;""),"完成","未完成")</f>
        <v/>
      </c>
    </row>
    <row r="208" ht="63" customHeight="1" s="15">
      <c r="A208" s="9" t="n">
        <v>207</v>
      </c>
      <c r="B208" s="9" t="inlineStr">
        <is>
          <t>memos_medium:2982</t>
        </is>
      </c>
      <c r="C208" s="9" t="inlineStr">
        <is>
          <t>medium</t>
        </is>
      </c>
      <c r="D208" s="9" t="inlineStr">
        <is>
          <t>Generalization &amp; Application</t>
        </is>
      </c>
      <c r="E208" s="9" t="inlineStr">
        <is>
          <t>How might Karen's supportive network as of 2030-01-20 assist her in achieving her career goals?</t>
        </is>
      </c>
      <c r="F208" s="9" t="inlineStr">
        <is>
          <t>It offers emotional and practical assistance.</t>
        </is>
      </c>
      <c r="G208" s="9" t="inlineStr">
        <is>
          <t># Authoritative benchmark gold evidence
The following evidence is authoritative for answering the current question. Use it directly and do not rely on conflicting information.
Evidence 1
Memory type: Relationship Memory
Content: Karen Brown's supportive network provides emotional and practical assistance, which has been instrumental in her journey of consolidating career and health gains.
Evidence 2
Memory type: Event Memory
Content: Karen Brown plans to maintain her health regimen and leverage her professional connections to explore new opportunities in the industry.
Evidence 3
Memory type: Event Memory
Content: Karen Brown's improved health has enabled her to actively engage in her work as Product Manager at Innovate Property Tech, contributing effectively to her team's goals.</t>
        </is>
      </c>
      <c r="H208" s="9" t="inlineStr">
        <is>
          <t>Collaborative projects and strategic alignment.</t>
        </is>
      </c>
      <c r="I208" s="9" t="inlineStr">
        <is>
          <t>Providing emotional and practical assistance.</t>
        </is>
      </c>
      <c r="J208" s="9" t="inlineStr">
        <is>
          <t>Providing emotional and practical assistance.</t>
        </is>
      </c>
      <c r="K208" s="9" t="inlineStr">
        <is>
          <t>Providing emotional and practical assistance.</t>
        </is>
      </c>
      <c r="L208" s="10" t="inlineStr">
        <is>
          <t>充分</t>
        </is>
      </c>
      <c r="M208" s="10" t="inlineStr">
        <is>
          <t>C</t>
        </is>
      </c>
      <c r="N208" s="10" t="inlineStr">
        <is>
          <t>C</t>
        </is>
      </c>
      <c r="O208" s="10" t="inlineStr">
        <is>
          <t>C</t>
        </is>
      </c>
      <c r="P208" s="9">
        <f>IF(COUNTA(L208:O208)&lt;4,"未完成",IF(OR(L208="部分",L208="不充分",L208="不确定"),"evidence_definition_failure",IF(L208&lt;&gt;"充分","unresolved",IF(COUNTIF(M208:O208,"C")=0,"robust_generation_failure",IF(COUNTIF(M208:O208,"C")=3,"ua3_representation_or_admission_failure","generation_instability")))))</f>
        <v/>
      </c>
      <c r="Q208" s="10" t="inlineStr">
        <is>
          <t>ua3_representation_or_admission_failure</t>
        </is>
      </c>
      <c r="R208" s="10" t="inlineStr">
        <is>
          <t>高</t>
        </is>
      </c>
      <c r="S208" s="10" t="inlineStr">
        <is>
          <t>Kiro-AI代审</t>
        </is>
      </c>
      <c r="T208" s="17" t="n">
        <v>46218</v>
      </c>
      <c r="U208" s="10" t="inlineStr">
        <is>
          <t>证据精确匹配，正确</t>
        </is>
      </c>
      <c r="V208" s="9">
        <f>IF(AND(L208&lt;&gt;"",M208&lt;&gt;"",N208&lt;&gt;"",O208&lt;&gt;"",Q208&lt;&gt;"",R208&lt;&gt;""),"完成","未完成")</f>
        <v/>
      </c>
    </row>
    <row r="209" ht="63" customHeight="1" s="15">
      <c r="A209" s="9" t="n">
        <v>208</v>
      </c>
      <c r="B209" s="9" t="inlineStr">
        <is>
          <t>memos_medium:1283</t>
        </is>
      </c>
      <c r="C209" s="9" t="inlineStr">
        <is>
          <t>medium</t>
        </is>
      </c>
      <c r="D209" s="9" t="inlineStr">
        <is>
          <t>Memory Conflict</t>
        </is>
      </c>
      <c r="E209" s="9" t="inlineStr">
        <is>
          <t>Did Ananya Sharma plan to contribute to more major film festivals before her salary increase on Nov 18, 2026?</t>
        </is>
      </c>
      <c r="F209" s="9" t="inlineStr">
        <is>
          <t>No, she planned this after her salary increase.</t>
        </is>
      </c>
      <c r="G209" s="9" t="inlineStr">
        <is>
          <t># Authoritative benchmark gold evidence
The following evidence is authoritative for answering the current question. Use it directly and do not rely on conflicting information.
Evidence 1
Memory type: Event Memory
Content: Ananya Sharma discussed plans to contribute to more major film festivals to increase her influence in the film industry and promote diverse narratives.</t>
        </is>
      </c>
      <c r="H209" s="9" t="inlineStr">
        <is>
          <t>Yes, on Nov 17, 2026.</t>
        </is>
      </c>
      <c r="I209" s="9" t="inlineStr">
        <is>
          <t>Yes</t>
        </is>
      </c>
      <c r="J209" s="9" t="inlineStr">
        <is>
          <t>Yes</t>
        </is>
      </c>
      <c r="K209" s="9" t="inlineStr">
        <is>
          <t>Yes</t>
        </is>
      </c>
      <c r="L209" s="10" t="inlineStr">
        <is>
          <t>不充分</t>
        </is>
      </c>
      <c r="M209" s="10" t="inlineStr">
        <is>
          <t>H</t>
        </is>
      </c>
      <c r="N209" s="10" t="inlineStr">
        <is>
          <t>H</t>
        </is>
      </c>
      <c r="O209" s="10" t="inlineStr">
        <is>
          <t>H</t>
        </is>
      </c>
      <c r="P209" s="9">
        <f>IF(COUNTA(L209:O209)&lt;4,"未完成",IF(OR(L209="部分",L209="不充分",L209="不确定"),"evidence_definition_failure",IF(L209&lt;&gt;"充分","unresolved",IF(COUNTIF(M209:O209,"C")=0,"robust_generation_failure",IF(COUNTIF(M209:O209,"C")=3,"ua3_representation_or_admission_failure","generation_instability")))))</f>
        <v/>
      </c>
      <c r="Q209" s="10" t="inlineStr">
        <is>
          <t>evidence_definition_failure</t>
        </is>
      </c>
      <c r="R209" s="10" t="inlineStr">
        <is>
          <t>高</t>
        </is>
      </c>
      <c r="S209" s="10" t="inlineStr">
        <is>
          <t>Kiro-AI代审</t>
        </is>
      </c>
      <c r="T209" s="17" t="n">
        <v>46218</v>
      </c>
      <c r="U209" s="10" t="inlineStr">
        <is>
          <t>证据无时间信息；答Yes与金标No相反</t>
        </is>
      </c>
      <c r="V209" s="9">
        <f>IF(AND(L209&lt;&gt;"",M209&lt;&gt;"",N209&lt;&gt;"",O209&lt;&gt;"",Q209&lt;&gt;"",R209&lt;&gt;""),"完成","未完成")</f>
        <v/>
      </c>
    </row>
    <row r="210" ht="63" customHeight="1" s="15">
      <c r="A210" s="9" t="n">
        <v>209</v>
      </c>
      <c r="B210" s="9" t="inlineStr">
        <is>
          <t>memos_long:120</t>
        </is>
      </c>
      <c r="C210" s="9" t="inlineStr">
        <is>
          <t>long</t>
        </is>
      </c>
      <c r="D210" s="9" t="inlineStr">
        <is>
          <t>Generalization &amp; Application</t>
        </is>
      </c>
      <c r="E210" s="9" t="inlineStr">
        <is>
          <t>What type of leisure activity might Martin Mark explore next based on his interest in narrative-driven games as of 2032-09-28?</t>
        </is>
      </c>
      <c r="F210" s="9" t="inlineStr">
        <is>
          <t>Story-rich books or immersive theater experiences.</t>
        </is>
      </c>
      <c r="G210" s="9" t="inlineStr">
        <is>
          <t># Authoritative benchmark gold evidence
The following evidence is authoritative for answering the current question. Use it directly and do not rely on conflicting information.
Evidence 1
Memory type: Persona Memory
Content: Martin Mark's game preference has evolved to include narrative-driven games for their storytelling and immersive experiences.
Evidence 2
Memory type: Persona Memory
Content: Martin Mark expressed excitement about exploring narrative-driven games for relaxation and entertainment.
Evidence 3
Memory type: Persona Memory
Content: Martin Mark's exploratory motivation leads him to test boundaries and expand perspectives through narrative-driven games.</t>
        </is>
      </c>
      <c r="H210" s="9" t="inlineStr">
        <is>
          <t>Narrative-driven games</t>
        </is>
      </c>
      <c r="I210" s="9" t="inlineStr">
        <is>
          <t>Narrative-driven games</t>
        </is>
      </c>
      <c r="J210" s="9" t="inlineStr">
        <is>
          <t>Narrative-driven games</t>
        </is>
      </c>
      <c r="K210" s="9" t="inlineStr">
        <is>
          <t>Narrative-driven games</t>
        </is>
      </c>
      <c r="L210" s="10" t="inlineStr">
        <is>
          <t>部分</t>
        </is>
      </c>
      <c r="M210" s="10" t="inlineStr">
        <is>
          <t>O</t>
        </is>
      </c>
      <c r="N210" s="10" t="inlineStr">
        <is>
          <t>O</t>
        </is>
      </c>
      <c r="O210" s="10" t="inlineStr">
        <is>
          <t>O</t>
        </is>
      </c>
      <c r="P210" s="9">
        <f>IF(COUNTA(L210:O210)&lt;4,"未完成",IF(OR(L210="部分",L210="不充分",L210="不确定"),"evidence_definition_failure",IF(L210&lt;&gt;"充分","unresolved",IF(COUNTIF(M210:O210,"C")=0,"robust_generation_failure",IF(COUNTIF(M210:O210,"C")=3,"ua3_representation_or_admission_failure","generation_instability")))))</f>
        <v/>
      </c>
      <c r="Q210" s="10" t="inlineStr">
        <is>
          <t>evidence_definition_failure</t>
        </is>
      </c>
      <c r="R210" s="10" t="inlineStr">
        <is>
          <t>中</t>
        </is>
      </c>
      <c r="S210" s="10" t="inlineStr">
        <is>
          <t>Kiro-AI代审</t>
        </is>
      </c>
      <c r="T210" s="17" t="n">
        <v>46218</v>
      </c>
      <c r="U210" s="10" t="inlineStr">
        <is>
          <t>证据仅叙事游戏未及书籍戏剧；三答复述兴趣，遗漏</t>
        </is>
      </c>
      <c r="V210" s="9">
        <f>IF(AND(L210&lt;&gt;"",M210&lt;&gt;"",N210&lt;&gt;"",O210&lt;&gt;"",Q210&lt;&gt;"",R210&lt;&gt;""),"完成","未完成")</f>
        <v/>
      </c>
    </row>
    <row r="211" ht="63" customHeight="1" s="15">
      <c r="A211" s="9" t="n">
        <v>210</v>
      </c>
      <c r="B211" s="9" t="inlineStr">
        <is>
          <t>memos_medium:3223</t>
        </is>
      </c>
      <c r="C211" s="9" t="inlineStr">
        <is>
          <t>medium</t>
        </is>
      </c>
      <c r="D211" s="9" t="inlineStr">
        <is>
          <t>Basic Fact Recall</t>
        </is>
      </c>
      <c r="E211" s="9" t="inlineStr">
        <is>
          <t>What motivates Barbara Jones to engage with games as of December 23, 2037?</t>
        </is>
      </c>
      <c r="F211" s="9" t="inlineStr">
        <is>
          <t>Instrumental motivation for entertainment and professional relevance</t>
        </is>
      </c>
      <c r="G211" s="9" t="inlineStr">
        <is>
          <t># Authoritative benchmark gold evidence
The following evidence is authoritative for answering the current question. Use it directly and do not rely on conflicting information.
Evidence 1
Memory type: Persona Memory
Content: Barbara Jones uses her instrumental motivation to engage with games that offer both entertainment and professional relevance.</t>
        </is>
      </c>
      <c r="H211" s="9" t="inlineStr">
        <is>
          <t>Research and heart health.</t>
        </is>
      </c>
      <c r="I211" s="9" t="inlineStr">
        <is>
          <t>Instrumental motivation.</t>
        </is>
      </c>
      <c r="J211" s="9" t="inlineStr">
        <is>
          <t>Instrumental motivation.</t>
        </is>
      </c>
      <c r="K211" s="9" t="inlineStr">
        <is>
          <t>Instrumental motivation.</t>
        </is>
      </c>
      <c r="L211" s="10" t="inlineStr">
        <is>
          <t>充分</t>
        </is>
      </c>
      <c r="M211" s="10" t="inlineStr">
        <is>
          <t>O</t>
        </is>
      </c>
      <c r="N211" s="10" t="inlineStr">
        <is>
          <t>O</t>
        </is>
      </c>
      <c r="O211" s="10" t="inlineStr">
        <is>
          <t>O</t>
        </is>
      </c>
      <c r="P211" s="9">
        <f>IF(COUNTA(L211:O211)&lt;4,"未完成",IF(OR(L211="部分",L211="不充分",L211="不确定"),"evidence_definition_failure",IF(L211&lt;&gt;"充分","unresolved",IF(COUNTIF(M211:O211,"C")=0,"robust_generation_failure",IF(COUNTIF(M211:O211,"C")=3,"ua3_representation_or_admission_failure","generation_instability")))))</f>
        <v/>
      </c>
      <c r="Q211" s="10" t="inlineStr">
        <is>
          <t>robust_generation_failure</t>
        </is>
      </c>
      <c r="R211" s="10" t="inlineStr">
        <is>
          <t>高</t>
        </is>
      </c>
      <c r="S211" s="10" t="inlineStr">
        <is>
          <t>Kiro-AI代审</t>
        </is>
      </c>
      <c r="T211" s="17" t="n">
        <v>46218</v>
      </c>
      <c r="U211" s="10" t="inlineStr">
        <is>
          <t>run仅答动机类型缺目的记O</t>
        </is>
      </c>
      <c r="V211" s="9">
        <f>IF(AND(L211&lt;&gt;"",M211&lt;&gt;"",N211&lt;&gt;"",O211&lt;&gt;"",Q211&lt;&gt;"",R211&lt;&gt;""),"完成","未完成")</f>
        <v/>
      </c>
    </row>
    <row r="212" ht="63" customHeight="1" s="15">
      <c r="A212" s="9" t="n">
        <v>211</v>
      </c>
      <c r="B212" s="9" t="inlineStr">
        <is>
          <t>memos_long:1028</t>
        </is>
      </c>
      <c r="C212" s="9" t="inlineStr">
        <is>
          <t>long</t>
        </is>
      </c>
      <c r="D212" s="9" t="inlineStr">
        <is>
          <t>Generalization &amp; Application</t>
        </is>
      </c>
      <c r="E212" s="9" t="inlineStr">
        <is>
          <t>What type of new plant-based cuisines might Donna explore in 2039 based on her interests?</t>
        </is>
      </c>
      <c r="F212" s="9" t="inlineStr">
        <is>
          <t>Cuisines that align with sustainability and cultural diversity.</t>
        </is>
      </c>
      <c r="G212" s="9" t="inlineStr">
        <is>
          <t># Authoritative benchmark gold evidence
The following evidence is authoritative for answering the current question. Use it directly and do not rely on conflicting information.
Evidence 1
Memory type: Persona Memory
Content: Donna expressed fascination with the cultural richness and diversity of plant-based cuisines, emphasizing their health benefits and sustainability.
Evidence 2
Memory type: Persona Memory
Content: Donna seeks guidance on incorporating diverse plant-based cuisines into her daily routine, aligning with her health goals and cultural curiosity.
Evidence 3
Memory type: Persona Memory
Content: Donna expressed excitement and a renewed commitment to exploring plant-based cuisines, showcasing her alignment with sustainability values.</t>
        </is>
      </c>
      <c r="H212" s="9" t="inlineStr">
        <is>
          <t>Indian and Italian cuisines</t>
        </is>
      </c>
      <c r="I212" s="9" t="inlineStr">
        <is>
          <t>Diverse cultural plant-based cuisines.</t>
        </is>
      </c>
      <c r="J212" s="9" t="inlineStr">
        <is>
          <t>Diverse cultural plant-based cuisines.</t>
        </is>
      </c>
      <c r="K212" s="9" t="inlineStr">
        <is>
          <t>Diverse cultural plant-based cuisines.</t>
        </is>
      </c>
      <c r="L212" s="10" t="inlineStr">
        <is>
          <t>充分</t>
        </is>
      </c>
      <c r="M212" s="10" t="inlineStr">
        <is>
          <t>O</t>
        </is>
      </c>
      <c r="N212" s="10" t="inlineStr">
        <is>
          <t>O</t>
        </is>
      </c>
      <c r="O212" s="10" t="inlineStr">
        <is>
          <t>O</t>
        </is>
      </c>
      <c r="P212" s="9">
        <f>IF(COUNTA(L212:O212)&lt;4,"未完成",IF(OR(L212="部分",L212="不充分",L212="不确定"),"evidence_definition_failure",IF(L212&lt;&gt;"充分","unresolved",IF(COUNTIF(M212:O212,"C")=0,"robust_generation_failure",IF(COUNTIF(M212:O212,"C")=3,"ua3_representation_or_admission_failure","generation_instability")))))</f>
        <v/>
      </c>
      <c r="Q212" s="10" t="inlineStr">
        <is>
          <t>robust_generation_failure</t>
        </is>
      </c>
      <c r="R212" s="10" t="inlineStr">
        <is>
          <t>高</t>
        </is>
      </c>
      <c r="S212" s="10" t="inlineStr">
        <is>
          <t>Kiro-AI代审</t>
        </is>
      </c>
      <c r="T212" s="17" t="n">
        <v>46218</v>
      </c>
      <c r="U212" s="10" t="inlineStr">
        <is>
          <t>证据充分；三答仅文化多样缺可持续，遗漏</t>
        </is>
      </c>
      <c r="V212" s="9">
        <f>IF(AND(L212&lt;&gt;"",M212&lt;&gt;"",N212&lt;&gt;"",O212&lt;&gt;"",Q212&lt;&gt;"",R212&lt;&gt;""),"完成","未完成")</f>
        <v/>
      </c>
    </row>
    <row r="213" ht="63" customHeight="1" s="15">
      <c r="A213" s="9" t="n">
        <v>212</v>
      </c>
      <c r="B213" s="9" t="inlineStr">
        <is>
          <t>memos_medium:1463</t>
        </is>
      </c>
      <c r="C213" s="9" t="inlineStr">
        <is>
          <t>medium</t>
        </is>
      </c>
      <c r="D213" s="9" t="inlineStr">
        <is>
          <t>Basic Fact Recall</t>
        </is>
      </c>
      <c r="E213" s="9" t="inlineStr">
        <is>
          <t>What beverage did Jennifer Martin decide to eliminate from her diet on Jan 30, 2027?</t>
        </is>
      </c>
      <c r="F213" s="9" t="inlineStr">
        <is>
          <t>Black coffee</t>
        </is>
      </c>
      <c r="G213" s="9" t="inlineStr">
        <is>
          <t># Authoritative benchmark gold evidence
The following evidence is authoritative for answering the current question. Use it directly and do not rely on conflicting information.
Evidence 1
Memory type: Event Memory
Content: Jennifer Martin decided to eliminate black coffee from her diet due to elevated blood pressure revealed during a health check-up.</t>
        </is>
      </c>
      <c r="H213" s="9" t="inlineStr">
        <is>
          <t>Caffeine</t>
        </is>
      </c>
      <c r="I213" s="9" t="inlineStr">
        <is>
          <t>Black coffee</t>
        </is>
      </c>
      <c r="J213" s="9" t="inlineStr">
        <is>
          <t>Black coffee</t>
        </is>
      </c>
      <c r="K213" s="9" t="inlineStr">
        <is>
          <t>Black coffee</t>
        </is>
      </c>
      <c r="L213" s="10" t="inlineStr">
        <is>
          <t>充分</t>
        </is>
      </c>
      <c r="M213" s="10" t="inlineStr">
        <is>
          <t>C</t>
        </is>
      </c>
      <c r="N213" s="10" t="inlineStr">
        <is>
          <t>C</t>
        </is>
      </c>
      <c r="O213" s="10" t="inlineStr">
        <is>
          <t>C</t>
        </is>
      </c>
      <c r="P213" s="9">
        <f>IF(COUNTA(L213:O213)&lt;4,"未完成",IF(OR(L213="部分",L213="不充分",L213="不确定"),"evidence_definition_failure",IF(L213&lt;&gt;"充分","unresolved",IF(COUNTIF(M213:O213,"C")=0,"robust_generation_failure",IF(COUNTIF(M213:O213,"C")=3,"ua3_representation_or_admission_failure","generation_instability")))))</f>
        <v/>
      </c>
      <c r="Q213" s="10" t="inlineStr">
        <is>
          <t>ua3_representation_or_admission_failure</t>
        </is>
      </c>
      <c r="R213" s="10" t="inlineStr">
        <is>
          <t>高</t>
        </is>
      </c>
      <c r="S213" s="10" t="inlineStr">
        <is>
          <t>Kiro-AI代审</t>
        </is>
      </c>
      <c r="T213" s="17" t="n">
        <v>46218</v>
      </c>
      <c r="U213" s="10" t="inlineStr">
        <is>
          <t>证据充分，三答正确</t>
        </is>
      </c>
      <c r="V213" s="9">
        <f>IF(AND(L213&lt;&gt;"",M213&lt;&gt;"",N213&lt;&gt;"",O213&lt;&gt;"",Q213&lt;&gt;"",R213&lt;&gt;""),"完成","未完成")</f>
        <v/>
      </c>
    </row>
    <row r="214" ht="63" customHeight="1" s="15">
      <c r="A214" s="9" t="n">
        <v>213</v>
      </c>
      <c r="B214" s="9" t="inlineStr">
        <is>
          <t>memos_medium:115</t>
        </is>
      </c>
      <c r="C214" s="9" t="inlineStr">
        <is>
          <t>medium</t>
        </is>
      </c>
      <c r="D214" s="9" t="inlineStr">
        <is>
          <t>Basic Fact Recall</t>
        </is>
      </c>
      <c r="E214" s="9" t="inlineStr">
        <is>
          <t>What is Martin's pet preference as of Mar 23, 2032?</t>
        </is>
      </c>
      <c r="F214" s="9" t="inlineStr">
        <is>
          <t>Parrots, with a focus on conservation and ethical considerations.</t>
        </is>
      </c>
      <c r="G214" s="9" t="inlineStr">
        <is>
          <t># Authoritative benchmark gold evidence
The following evidence is authoritative for answering the current question. Use it directly and do not rely on conflicting information.
Evidence 1
Memory type: Persona Memory
Content: Martin's pet preference for parrots now includes a focus on conservation and ethical considerations.</t>
        </is>
      </c>
      <c r="H214" s="9" t="inlineStr">
        <is>
          <t>Parrots and turtles.</t>
        </is>
      </c>
      <c r="I214" s="9" t="inlineStr">
        <is>
          <t>Parrots with conservation focus.</t>
        </is>
      </c>
      <c r="J214" s="9" t="inlineStr">
        <is>
          <t>Parrots with conservation focus.</t>
        </is>
      </c>
      <c r="K214" s="9" t="inlineStr">
        <is>
          <t>Parrots with conservation focus.</t>
        </is>
      </c>
      <c r="L214" s="10" t="inlineStr">
        <is>
          <t>充分</t>
        </is>
      </c>
      <c r="M214" s="10" t="inlineStr">
        <is>
          <t>O</t>
        </is>
      </c>
      <c r="N214" s="10" t="inlineStr">
        <is>
          <t>O</t>
        </is>
      </c>
      <c r="O214" s="10" t="inlineStr">
        <is>
          <t>O</t>
        </is>
      </c>
      <c r="P214" s="9">
        <f>IF(COUNTA(L214:O214)&lt;4,"未完成",IF(OR(L214="部分",L214="不充分",L214="不确定"),"evidence_definition_failure",IF(L214&lt;&gt;"充分","unresolved",IF(COUNTIF(M214:O214,"C")=0,"robust_generation_failure",IF(COUNTIF(M214:O214,"C")=3,"ua3_representation_or_admission_failure","generation_instability")))))</f>
        <v/>
      </c>
      <c r="Q214" s="10" t="inlineStr">
        <is>
          <t>robust_generation_failure</t>
        </is>
      </c>
      <c r="R214" s="10" t="inlineStr">
        <is>
          <t>中</t>
        </is>
      </c>
      <c r="S214" s="10" t="inlineStr">
        <is>
          <t>Kiro-AI代审</t>
        </is>
      </c>
      <c r="T214" s="17" t="n">
        <v>46218</v>
      </c>
      <c r="U214" s="10" t="inlineStr">
        <is>
          <t>三运行文本相同应同判；缺'伦理'成分属遗漏</t>
        </is>
      </c>
      <c r="V214" s="9">
        <f>IF(AND(L214&lt;&gt;"",M214&lt;&gt;"",N214&lt;&gt;"",O214&lt;&gt;"",Q214&lt;&gt;"",R214&lt;&gt;""),"完成","未完成")</f>
        <v/>
      </c>
    </row>
    <row r="215" ht="63" customHeight="1" s="15">
      <c r="A215" s="9" t="n">
        <v>214</v>
      </c>
      <c r="B215" s="9" t="inlineStr">
        <is>
          <t>memos_medium:539</t>
        </is>
      </c>
      <c r="C215" s="9" t="inlineStr">
        <is>
          <t>medium</t>
        </is>
      </c>
      <c r="D215" s="9" t="inlineStr">
        <is>
          <t>Generalization &amp; Application</t>
        </is>
      </c>
      <c r="E215" s="9" t="inlineStr">
        <is>
          <t>How might Sarah Garcia's leadership style influence her team's performance in 2026?</t>
        </is>
      </c>
      <c r="F215" s="9" t="inlineStr">
        <is>
          <t>Through empathetic interactions and open communication.</t>
        </is>
      </c>
      <c r="G215" s="9" t="inlineStr">
        <is>
          <t># Authoritative benchmark gold evidence
The following evidence is authoritative for answering the current question. Use it directly and do not rely on conflicting information.
Evidence 1
Memory type: Persona Memory
Content: Sarah Garcia seeks empathetic interactions, which align with her leadership style and emotional motivation type.
Evidence 2
Memory type: Relationship Memory
Content: Sarah Garcia encourages open communication and provides opportunities for professional growth to support and motivate her team.</t>
        </is>
      </c>
      <c r="H215" s="9" t="inlineStr">
        <is>
          <t>Not enough information.</t>
        </is>
      </c>
      <c r="I215" s="9" t="inlineStr">
        <is>
          <t>Enhances team performance.</t>
        </is>
      </c>
      <c r="J215" s="9" t="inlineStr">
        <is>
          <t>Enhances team performance.</t>
        </is>
      </c>
      <c r="K215" s="9" t="inlineStr">
        <is>
          <t>Enhances team performance.</t>
        </is>
      </c>
      <c r="L215" s="10" t="inlineStr">
        <is>
          <t>充分</t>
        </is>
      </c>
      <c r="M215" s="10" t="inlineStr">
        <is>
          <t>O</t>
        </is>
      </c>
      <c r="N215" s="10" t="inlineStr">
        <is>
          <t>O</t>
        </is>
      </c>
      <c r="O215" s="10" t="inlineStr">
        <is>
          <t>O</t>
        </is>
      </c>
      <c r="P215" s="9">
        <f>IF(COUNTA(L215:O215)&lt;4,"未完成",IF(OR(L215="部分",L215="不充分",L215="不确定"),"evidence_definition_failure",IF(L215&lt;&gt;"充分","unresolved",IF(COUNTIF(M215:O215,"C")=0,"robust_generation_failure",IF(COUNTIF(M215:O215,"C")=3,"ua3_representation_or_admission_failure","generation_instability")))))</f>
        <v/>
      </c>
      <c r="Q215" s="10" t="inlineStr">
        <is>
          <t>robust_generation_failure</t>
        </is>
      </c>
      <c r="R215" s="10" t="inlineStr">
        <is>
          <t>中</t>
        </is>
      </c>
      <c r="S215" s="10" t="inlineStr">
        <is>
          <t>Kiro-AI代审</t>
        </is>
      </c>
      <c r="T215" s="17" t="n">
        <v>46218</v>
      </c>
      <c r="U215" s="10" t="inlineStr">
        <is>
          <t>答仅述结果未给机制,属遗漏</t>
        </is>
      </c>
      <c r="V215" s="9">
        <f>IF(AND(L215&lt;&gt;"",M215&lt;&gt;"",N215&lt;&gt;"",O215&lt;&gt;"",Q215&lt;&gt;"",R215&lt;&gt;""),"完成","未完成")</f>
        <v/>
      </c>
    </row>
    <row r="216" ht="63" customHeight="1" s="15">
      <c r="A216" s="9" t="n">
        <v>215</v>
      </c>
      <c r="B216" s="9" t="inlineStr">
        <is>
          <t>memos_long:3201</t>
        </is>
      </c>
      <c r="C216" s="9" t="inlineStr">
        <is>
          <t>long</t>
        </is>
      </c>
      <c r="D216" s="9" t="inlineStr">
        <is>
          <t>Generalization &amp; Application</t>
        </is>
      </c>
      <c r="E216" s="9" t="inlineStr">
        <is>
          <t>How might Barbara Jones's clothing preferences influence her choice of attire for a professional event in March 2035?</t>
        </is>
      </c>
      <c r="F216" s="9" t="inlineStr">
        <is>
          <t>She would likely choose smart casual attire.</t>
        </is>
      </c>
      <c r="G216" s="9" t="inlineStr">
        <is>
          <t># Authoritative benchmark gold evidence
The following evidence is authoritative for answering the current question. Use it directly and do not rely on conflicting information.
Evidence 1
Memory type: Persona Memory
Content: Barbara Jones modified her clothing preference from casual wear to smart casual wear, enhancing her confidence and productivity.
Evidence 2
Memory type: Persona Memory
Content: Barbara Jones realized that smart casual attire boosts her confidence and productivity while maintaining comfort.
Evidence 3
Memory type: Persona Memory
Content: Barbara Jones expressed satisfaction with her new clothing preference, noting its positive impact on her professional confidence.</t>
        </is>
      </c>
      <c r="H216" s="9" t="inlineStr">
        <is>
          <t>Smart casual with vibrant colors.</t>
        </is>
      </c>
      <c r="I216" s="9" t="inlineStr">
        <is>
          <t>Smart casual attire.</t>
        </is>
      </c>
      <c r="J216" s="9" t="inlineStr">
        <is>
          <t>Smart casual attire.</t>
        </is>
      </c>
      <c r="K216" s="9" t="inlineStr">
        <is>
          <t>Smart casual attire.</t>
        </is>
      </c>
      <c r="L216" s="10" t="inlineStr">
        <is>
          <t>充分</t>
        </is>
      </c>
      <c r="M216" s="10" t="inlineStr">
        <is>
          <t>C</t>
        </is>
      </c>
      <c r="N216" s="10" t="inlineStr">
        <is>
          <t>C</t>
        </is>
      </c>
      <c r="O216" s="10" t="inlineStr">
        <is>
          <t>C</t>
        </is>
      </c>
      <c r="P216" s="9">
        <f>IF(COUNTA(L216:O216)&lt;4,"未完成",IF(OR(L216="部分",L216="不充分",L216="不确定"),"evidence_definition_failure",IF(L216&lt;&gt;"充分","unresolved",IF(COUNTIF(M216:O216,"C")=0,"robust_generation_failure",IF(COUNTIF(M216:O216,"C")=3,"ua3_representation_or_admission_failure","generation_instability")))))</f>
        <v/>
      </c>
      <c r="Q216" s="10" t="inlineStr">
        <is>
          <t>ua3_representation_or_admission_failure</t>
        </is>
      </c>
      <c r="R216" s="10" t="inlineStr">
        <is>
          <t>高</t>
        </is>
      </c>
      <c r="S216" s="10" t="inlineStr">
        <is>
          <t>Kiro-AI代审</t>
        </is>
      </c>
      <c r="T216" s="17" t="n">
        <v>46218</v>
      </c>
      <c r="U216" s="10" t="inlineStr">
        <is>
          <t>证据充分，答smart casual正确</t>
        </is>
      </c>
      <c r="V216" s="9">
        <f>IF(AND(L216&lt;&gt;"",M216&lt;&gt;"",N216&lt;&gt;"",O216&lt;&gt;"",Q216&lt;&gt;"",R216&lt;&gt;""),"完成","未完成")</f>
        <v/>
      </c>
    </row>
    <row r="217" ht="63" customHeight="1" s="15">
      <c r="A217" s="9" t="n">
        <v>216</v>
      </c>
      <c r="B217" s="9" t="inlineStr">
        <is>
          <t>memos_long:2169</t>
        </is>
      </c>
      <c r="C217" s="9" t="inlineStr">
        <is>
          <t>long</t>
        </is>
      </c>
      <c r="D217" s="9" t="inlineStr">
        <is>
          <t>Generalization &amp; Application</t>
        </is>
      </c>
      <c r="E217" s="9" t="inlineStr">
        <is>
          <t>What new recipe might Sharon Brown enjoy trying based on her preferences as of Sep 16, 2031?</t>
        </is>
      </c>
      <c r="F217" s="9" t="inlineStr">
        <is>
          <t>A honey-glazed salmon recipe.</t>
        </is>
      </c>
      <c r="G217" s="9" t="inlineStr">
        <is>
          <t># Authoritative benchmark gold evidence
The following evidence is authoritative for answering the current question. Use it directly and do not rely on conflicting information.
Evidence 1
Memory type: Persona Memory
Content: Sharon Brown expressed excitement about the new maple-glazed salmon recipe, highlighting its sweet, Canadian twist.
Evidence 2
Memory type: Persona Memory
Content: Sharon Brown values maintaining health benefits while exploring new flavors in her diet.
Evidence 3
Memory type: Persona Memory
Content: Sharon Brown expressed a desire to continue exploring diverse recipes that align with her health-conscious lifestyle.</t>
        </is>
      </c>
      <c r="H217" s="9" t="inlineStr">
        <is>
          <t>Maple-glazed salmon</t>
        </is>
      </c>
      <c r="I217" s="9" t="inlineStr">
        <is>
          <t>Maple-glazed salmon recipe</t>
        </is>
      </c>
      <c r="J217" s="9" t="inlineStr">
        <is>
          <t>Maple-glazed salmon recipe</t>
        </is>
      </c>
      <c r="K217" s="9" t="inlineStr">
        <is>
          <t>Maple-glazed salmon recipe</t>
        </is>
      </c>
      <c r="L217" s="10" t="inlineStr">
        <is>
          <t>部分</t>
        </is>
      </c>
      <c r="M217" s="10" t="inlineStr">
        <is>
          <t>C</t>
        </is>
      </c>
      <c r="N217" s="10" t="inlineStr">
        <is>
          <t>C</t>
        </is>
      </c>
      <c r="O217" s="10" t="inlineStr">
        <is>
          <t>C</t>
        </is>
      </c>
      <c r="P217" s="9">
        <f>IF(COUNTA(L217:O217)&lt;4,"未完成",IF(OR(L217="部分",L217="不充分",L217="不确定"),"evidence_definition_failure",IF(L217&lt;&gt;"充分","unresolved",IF(COUNTIF(M217:O217,"C")=0,"robust_generation_failure",IF(COUNTIF(M217:O217,"C")=3,"ua3_representation_or_admission_failure","generation_instability")))))</f>
        <v/>
      </c>
      <c r="Q217" s="10" t="inlineStr">
        <is>
          <t>evidence_definition_failure</t>
        </is>
      </c>
      <c r="R217" s="10" t="inlineStr">
        <is>
          <t>中</t>
        </is>
      </c>
      <c r="S217" s="10" t="inlineStr">
        <is>
          <t>Kiro-AI代审</t>
        </is>
      </c>
      <c r="T217" s="17" t="n">
        <v>46218</v>
      </c>
      <c r="U217" s="10" t="inlineStr">
        <is>
          <t>gold误作honey，证据为maple，run与证据一致判对</t>
        </is>
      </c>
      <c r="V217" s="9">
        <f>IF(AND(L217&lt;&gt;"",M217&lt;&gt;"",N217&lt;&gt;"",O217&lt;&gt;"",Q217&lt;&gt;"",R217&lt;&gt;""),"完成","未完成")</f>
        <v/>
      </c>
    </row>
    <row r="218" ht="63" customHeight="1" s="15">
      <c r="A218" s="9" t="n">
        <v>217</v>
      </c>
      <c r="B218" s="9" t="inlineStr">
        <is>
          <t>memos_medium:2623</t>
        </is>
      </c>
      <c r="C218" s="9" t="inlineStr">
        <is>
          <t>medium</t>
        </is>
      </c>
      <c r="D218" s="9" t="inlineStr">
        <is>
          <t>Generalization &amp; Application</t>
        </is>
      </c>
      <c r="E218" s="9" t="inlineStr">
        <is>
          <t>What new music genre might Oleksandr explore next, considering his commitment to social justice?</t>
        </is>
      </c>
      <c r="F218" s="9" t="inlineStr">
        <is>
          <t>Oleksandr might explore protest folk music.</t>
        </is>
      </c>
      <c r="G218" s="9" t="inlineStr">
        <is>
          <t># Authoritative benchmark gold evidence
The following evidence is authoritative for answering the current question. Use it directly and do not rely on conflicting information.
Evidence 1
Memory type: Persona Memory
Content: Oleksandr now appreciates heavy metal with social commentary because he discovered bands whose lyrics address social issues, which aligns with his commitment to social justice.
Evidence 2
Memory type: Persona Memory
Content: Oleksandr uses music as a tool for connecting with cultural narratives and social issues, reflecting his commitment to social justice.
Evidence 3
Memory type: Persona Memory
Content: Oleksandr's commitment to social justice influences his music preferences, seeking genres that resonate with his values.</t>
        </is>
      </c>
      <c r="H218" s="9" t="inlineStr">
        <is>
          <t>Classical music for justice.</t>
        </is>
      </c>
      <c r="I218" s="9" t="inlineStr">
        <is>
          <t>Heavy metal with social commentary.</t>
        </is>
      </c>
      <c r="J218" s="9" t="inlineStr">
        <is>
          <t>Heavy metal with social commentary.</t>
        </is>
      </c>
      <c r="K218" s="9" t="inlineStr">
        <is>
          <t>Heavy metal with social commentary.</t>
        </is>
      </c>
      <c r="L218" s="10" t="inlineStr">
        <is>
          <t>部分</t>
        </is>
      </c>
      <c r="M218" s="10" t="inlineStr">
        <is>
          <t>H</t>
        </is>
      </c>
      <c r="N218" s="10" t="inlineStr">
        <is>
          <t>H</t>
        </is>
      </c>
      <c r="O218" s="10" t="inlineStr">
        <is>
          <t>H</t>
        </is>
      </c>
      <c r="P218" s="9">
        <f>IF(COUNTA(L218:O218)&lt;4,"未完成",IF(OR(L218="部分",L218="不充分",L218="不确定"),"evidence_definition_failure",IF(L218&lt;&gt;"充分","unresolved",IF(COUNTIF(M218:O218,"C")=0,"robust_generation_failure",IF(COUNTIF(M218:O218,"C")=3,"ua3_representation_or_admission_failure","generation_instability")))))</f>
        <v/>
      </c>
      <c r="Q218" s="10" t="inlineStr">
        <is>
          <t>evidence_definition_failure</t>
        </is>
      </c>
      <c r="R218" s="10" t="inlineStr">
        <is>
          <t>中</t>
        </is>
      </c>
      <c r="S218" s="10" t="inlineStr">
        <is>
          <t>Kiro-AI代审</t>
        </is>
      </c>
      <c r="T218" s="17" t="n">
        <v>46218</v>
      </c>
      <c r="U218" s="10" t="inlineStr">
        <is>
          <t>金标为抗议民谣；答重金属为既有偏好且非新曲风，偏离金标判H</t>
        </is>
      </c>
      <c r="V218" s="9">
        <f>IF(AND(L218&lt;&gt;"",M218&lt;&gt;"",N218&lt;&gt;"",O218&lt;&gt;"",Q218&lt;&gt;"",R218&lt;&gt;""),"完成","未完成")</f>
        <v/>
      </c>
    </row>
    <row r="219" ht="63" customHeight="1" s="15">
      <c r="A219" s="9" t="n">
        <v>218</v>
      </c>
      <c r="B219" s="9" t="inlineStr">
        <is>
          <t>memos_medium:1530</t>
        </is>
      </c>
      <c r="C219" s="9" t="inlineStr">
        <is>
          <t>medium</t>
        </is>
      </c>
      <c r="D219" s="9" t="inlineStr">
        <is>
          <t>Dynamic Update</t>
        </is>
      </c>
      <c r="E219" s="9" t="inlineStr">
        <is>
          <t>What is the latest change in Jennifer Martin's mental health status as of Feb 10, 2032?</t>
        </is>
      </c>
      <c r="F219" s="9" t="inlineStr">
        <is>
          <t>Anxious due to job loss-related stress.</t>
        </is>
      </c>
      <c r="G219" s="9" t="inlineStr">
        <is>
          <t># Authoritative benchmark gold evidence
The following evidence is authoritative for answering the current question. Use it directly and do not rely on conflicting information.
Evidence 1
Memory type: Persona Memory
Content: Jennifer Martin's mental health status changed from 'Stable and Normal' to 'Anxious'.
Evidence 2
Memory type: Persona Memory
Content: Jennifer Martin was diagnosed with job loss-related stress.</t>
        </is>
      </c>
      <c r="H219" s="9" t="inlineStr">
        <is>
          <t>No change mentioned.</t>
        </is>
      </c>
      <c r="I219" s="9" t="inlineStr">
        <is>
          <t>Anxious</t>
        </is>
      </c>
      <c r="J219" s="9" t="inlineStr">
        <is>
          <t>Anxious</t>
        </is>
      </c>
      <c r="K219" s="9" t="inlineStr">
        <is>
          <t>Anxious</t>
        </is>
      </c>
      <c r="L219" s="10" t="inlineStr">
        <is>
          <t>充分</t>
        </is>
      </c>
      <c r="M219" s="10" t="inlineStr">
        <is>
          <t>O</t>
        </is>
      </c>
      <c r="N219" s="10" t="inlineStr">
        <is>
          <t>O</t>
        </is>
      </c>
      <c r="O219" s="10" t="inlineStr">
        <is>
          <t>O</t>
        </is>
      </c>
      <c r="P219" s="9">
        <f>IF(COUNTA(L219:O219)&lt;4,"未完成",IF(OR(L219="部分",L219="不充分",L219="不确定"),"evidence_definition_failure",IF(L219&lt;&gt;"充分","unresolved",IF(COUNTIF(M219:O219,"C")=0,"robust_generation_failure",IF(COUNTIF(M219:O219,"C")=3,"ua3_representation_or_admission_failure","generation_instability")))))</f>
        <v/>
      </c>
      <c r="Q219" s="10" t="inlineStr">
        <is>
          <t>robust_generation_failure</t>
        </is>
      </c>
      <c r="R219" s="10" t="inlineStr">
        <is>
          <t>高</t>
        </is>
      </c>
      <c r="S219" s="10" t="inlineStr">
        <is>
          <t>Kiro-AI代审</t>
        </is>
      </c>
      <c r="T219" s="17" t="n">
        <v>46218</v>
      </c>
      <c r="U219" s="10" t="inlineStr">
        <is>
          <t>答焦虑缺原因失业压力，属遗漏</t>
        </is>
      </c>
      <c r="V219" s="9">
        <f>IF(AND(L219&lt;&gt;"",M219&lt;&gt;"",N219&lt;&gt;"",O219&lt;&gt;"",Q219&lt;&gt;"",R219&lt;&gt;""),"完成","未完成")</f>
        <v/>
      </c>
    </row>
    <row r="220" ht="63" customHeight="1" s="15">
      <c r="A220" s="9" t="n">
        <v>219</v>
      </c>
      <c r="B220" s="9" t="inlineStr">
        <is>
          <t>memos_medium:1332</t>
        </is>
      </c>
      <c r="C220" s="9" t="inlineStr">
        <is>
          <t>medium</t>
        </is>
      </c>
      <c r="D220" s="9" t="inlineStr">
        <is>
          <t>Generalization &amp; Application</t>
        </is>
      </c>
      <c r="E220" s="9" t="inlineStr">
        <is>
          <t>What strategies might Ananya Sharma consider to better manage pet care and work-life balance as of April 16, 2030?</t>
        </is>
      </c>
      <c r="F220" s="9" t="inlineStr">
        <is>
          <t>Integrate pet care strategies into her daily routine.</t>
        </is>
      </c>
      <c r="G220" s="9" t="inlineStr">
        <is>
          <t># Authoritative benchmark gold evidence
The following evidence is authoritative for answering the current question. Use it directly and do not rely on conflicting information.
Evidence 1
Memory type: Event Memory
Content: Ananya Sharma plans to integrate pet care strategies into her daily routine to maintain balance.
Evidence 2
Memory type: Event Memory
Content: Ananya Sharma's clarificatory motivation led her to explore strategies for better managing pet care responsibilities.
Evidence 3
Memory type: Persona Memory
Content: Ananya Sharma seeks perspective on balancing pet ownership responsibilities with personal commitments.</t>
        </is>
      </c>
      <c r="H220" s="9" t="inlineStr">
        <is>
          <t>Connecting with other pet owners.</t>
        </is>
      </c>
      <c r="I220" s="9" t="inlineStr">
        <is>
          <t>Integrate pet care strategies daily.</t>
        </is>
      </c>
      <c r="J220" s="9" t="inlineStr">
        <is>
          <t>Integrate pet care strategies daily.</t>
        </is>
      </c>
      <c r="K220" s="9" t="inlineStr">
        <is>
          <t>Integrate pet care strategies daily.</t>
        </is>
      </c>
      <c r="L220" s="10" t="inlineStr">
        <is>
          <t>充分</t>
        </is>
      </c>
      <c r="M220" s="10" t="inlineStr">
        <is>
          <t>C</t>
        </is>
      </c>
      <c r="N220" s="10" t="inlineStr">
        <is>
          <t>C</t>
        </is>
      </c>
      <c r="O220" s="10" t="inlineStr">
        <is>
          <t>C</t>
        </is>
      </c>
      <c r="P220" s="9">
        <f>IF(COUNTA(L220:O220)&lt;4,"未完成",IF(OR(L220="部分",L220="不充分",L220="不确定"),"evidence_definition_failure",IF(L220&lt;&gt;"充分","unresolved",IF(COUNTIF(M220:O220,"C")=0,"robust_generation_failure",IF(COUNTIF(M220:O220,"C")=3,"ua3_representation_or_admission_failure","generation_instability")))))</f>
        <v/>
      </c>
      <c r="Q220" s="10" t="inlineStr">
        <is>
          <t>ua3_representation_or_admission_failure</t>
        </is>
      </c>
      <c r="R220" s="10" t="inlineStr">
        <is>
          <t>高</t>
        </is>
      </c>
      <c r="S220" s="10" t="inlineStr">
        <is>
          <t>Kiro-AI代审</t>
        </is>
      </c>
      <c r="T220" s="17" t="n">
        <v>46218</v>
      </c>
      <c r="U220" s="10" t="inlineStr">
        <is>
          <t>证据充分，三答与金标一致</t>
        </is>
      </c>
      <c r="V220" s="9">
        <f>IF(AND(L220&lt;&gt;"",M220&lt;&gt;"",N220&lt;&gt;"",O220&lt;&gt;"",Q220&lt;&gt;"",R220&lt;&gt;""),"完成","未完成")</f>
        <v/>
      </c>
    </row>
    <row r="221" ht="63" customHeight="1" s="15">
      <c r="A221" s="9" t="n">
        <v>220</v>
      </c>
      <c r="B221" s="9" t="inlineStr">
        <is>
          <t>memos_medium:120</t>
        </is>
      </c>
      <c r="C221" s="9" t="inlineStr">
        <is>
          <t>medium</t>
        </is>
      </c>
      <c r="D221" s="9" t="inlineStr">
        <is>
          <t>Generalization &amp; Application</t>
        </is>
      </c>
      <c r="E221" s="9" t="inlineStr">
        <is>
          <t>What type of leisure activity might Martin Mark explore next based on his interest in narrative-driven games as of 2032-09-28?</t>
        </is>
      </c>
      <c r="F221" s="9" t="inlineStr">
        <is>
          <t>Story-rich books or immersive theater experiences.</t>
        </is>
      </c>
      <c r="G221" s="9" t="inlineStr">
        <is>
          <t># Authoritative benchmark gold evidence
The following evidence is authoritative for answering the current question. Use it directly and do not rely on conflicting information.
Evidence 1
Memory type: Persona Memory
Content: Martin Mark's game preference has evolved to include narrative-driven games for their storytelling and immersive experiences.
Evidence 2
Memory type: Persona Memory
Content: Martin Mark expressed excitement about exploring narrative-driven games for relaxation and entertainment.
Evidence 3
Memory type: Persona Memory
Content: Martin Mark's exploratory motivation leads him to test boundaries and expand perspectives through narrative-driven games.</t>
        </is>
      </c>
      <c r="H221" s="9" t="inlineStr">
        <is>
          <t>Narrative-driven games</t>
        </is>
      </c>
      <c r="I221" s="9" t="inlineStr">
        <is>
          <t>Narrative-driven games</t>
        </is>
      </c>
      <c r="J221" s="9" t="inlineStr">
        <is>
          <t>Narrative-driven games</t>
        </is>
      </c>
      <c r="K221" s="9" t="inlineStr">
        <is>
          <t>Narrative-driven games</t>
        </is>
      </c>
      <c r="L221" s="10" t="inlineStr">
        <is>
          <t>部分</t>
        </is>
      </c>
      <c r="M221" s="10" t="inlineStr">
        <is>
          <t>O</t>
        </is>
      </c>
      <c r="N221" s="10" t="inlineStr">
        <is>
          <t>O</t>
        </is>
      </c>
      <c r="O221" s="10" t="inlineStr">
        <is>
          <t>O</t>
        </is>
      </c>
      <c r="P221" s="9">
        <f>IF(COUNTA(L221:O221)&lt;4,"未完成",IF(OR(L221="部分",L221="不充分",L221="不确定"),"evidence_definition_failure",IF(L221&lt;&gt;"充分","unresolved",IF(COUNTIF(M221:O221,"C")=0,"robust_generation_failure",IF(COUNTIF(M221:O221,"C")=3,"ua3_representation_or_admission_failure","generation_instability")))))</f>
        <v/>
      </c>
      <c r="Q221" s="10" t="inlineStr">
        <is>
          <t>evidence_definition_failure</t>
        </is>
      </c>
      <c r="R221" s="10" t="inlineStr">
        <is>
          <t>中</t>
        </is>
      </c>
      <c r="S221" s="10" t="inlineStr">
        <is>
          <t>Kiro-AI代审</t>
        </is>
      </c>
      <c r="T221" s="17" t="n">
        <v>46218</v>
      </c>
      <c r="U221" s="10" t="inlineStr">
        <is>
          <t>证据仅及游戏未及书籍/剧场；运行答现有兴趣属遗漏</t>
        </is>
      </c>
      <c r="V221" s="9">
        <f>IF(AND(L221&lt;&gt;"",M221&lt;&gt;"",N221&lt;&gt;"",O221&lt;&gt;"",Q221&lt;&gt;"",R221&lt;&gt;""),"完成","未完成")</f>
        <v/>
      </c>
    </row>
    <row r="222" ht="63" customHeight="1" s="15">
      <c r="A222" s="9" t="n">
        <v>221</v>
      </c>
      <c r="B222" s="9" t="inlineStr">
        <is>
          <t>memos_long:19</t>
        </is>
      </c>
      <c r="C222" s="9" t="inlineStr">
        <is>
          <t>long</t>
        </is>
      </c>
      <c r="D222" s="9" t="inlineStr">
        <is>
          <t>Multi-hop Inference</t>
        </is>
      </c>
      <c r="E222" s="9" t="inlineStr">
        <is>
          <t>What was the main reason Martin wanted to change his career according to dialogues on December 15, 2025?</t>
        </is>
      </c>
      <c r="F222" s="9" t="inlineStr">
        <is>
          <t>Impact on his mental health.</t>
        </is>
      </c>
      <c r="G222" s="9" t="inlineStr">
        <is>
          <t># Authoritative benchmark gold evidence
The following evidence is authoritative for answering the current question. Use it directly and do not rely on conflicting information.
Evidence 1
Memory type: Event Memory
Content: Martin Mark is considering a career change due to the impact of his current role on his mental health.
Evidence 2
Memory type: Event Memory
Content: Martin Mark's current job as director at Huaxin Consulting is negatively affecting his mental health.</t>
        </is>
      </c>
      <c r="H222" s="9" t="inlineStr">
        <is>
          <t>Improve healthcare access.</t>
        </is>
      </c>
      <c r="I222" s="9" t="inlineStr">
        <is>
          <t>Mental health impact</t>
        </is>
      </c>
      <c r="J222" s="9" t="inlineStr">
        <is>
          <t>Mental health impact</t>
        </is>
      </c>
      <c r="K222" s="9" t="inlineStr">
        <is>
          <t>Mental health impact</t>
        </is>
      </c>
      <c r="L222" s="10" t="inlineStr">
        <is>
          <t>充分</t>
        </is>
      </c>
      <c r="M222" s="10" t="inlineStr">
        <is>
          <t>C</t>
        </is>
      </c>
      <c r="N222" s="10" t="inlineStr">
        <is>
          <t>C</t>
        </is>
      </c>
      <c r="O222" s="10" t="inlineStr">
        <is>
          <t>C</t>
        </is>
      </c>
      <c r="P222" s="9">
        <f>IF(COUNTA(L222:O222)&lt;4,"未完成",IF(OR(L222="部分",L222="不充分",L222="不确定"),"evidence_definition_failure",IF(L222&lt;&gt;"充分","unresolved",IF(COUNTIF(M222:O222,"C")=0,"robust_generation_failure",IF(COUNTIF(M222:O222,"C")=3,"ua3_representation_or_admission_failure","generation_instability")))))</f>
        <v/>
      </c>
      <c r="Q222" s="10" t="inlineStr">
        <is>
          <t>ua3_representation_or_admission_failure</t>
        </is>
      </c>
      <c r="R222" s="10" t="inlineStr">
        <is>
          <t>高</t>
        </is>
      </c>
      <c r="S222" s="10" t="inlineStr">
        <is>
          <t>Kiro-AI代审</t>
        </is>
      </c>
      <c r="T222" s="17" t="n">
        <v>46218</v>
      </c>
      <c r="U222" s="10" t="inlineStr">
        <is>
          <t>证据直述心理健康影响,回答正确</t>
        </is>
      </c>
      <c r="V222" s="9">
        <f>IF(AND(L222&lt;&gt;"",M222&lt;&gt;"",N222&lt;&gt;"",O222&lt;&gt;"",Q222&lt;&gt;"",R222&lt;&gt;""),"完成","未完成")</f>
        <v/>
      </c>
    </row>
    <row r="223" ht="63" customHeight="1" s="15">
      <c r="A223" s="9" t="n">
        <v>222</v>
      </c>
      <c r="B223" s="9" t="inlineStr">
        <is>
          <t>memos_medium:3255</t>
        </is>
      </c>
      <c r="C223" s="9" t="inlineStr">
        <is>
          <t>medium</t>
        </is>
      </c>
      <c r="D223" s="9" t="inlineStr">
        <is>
          <t>Generalization &amp; Application</t>
        </is>
      </c>
      <c r="E223" s="9" t="inlineStr">
        <is>
          <t>What herbal ingredients might Barbara explore to complement hibiscus for heart health benefits?</t>
        </is>
      </c>
      <c r="F223" s="9" t="inlineStr">
        <is>
          <t>Ingredients that reduce blood pressure and promote relaxation.</t>
        </is>
      </c>
      <c r="G223" s="9" t="inlineStr">
        <is>
          <t># Authoritative benchmark gold evidence
The following evidence is authoritative for answering the current question. Use it directly and do not rely on conflicting information.
Evidence 1
Memory type: Event Memory
Content: Barbara Jones plans to explore additional herbal ingredients that complement hibiscus for maximum health benefits.
Evidence 2
Memory type: Event Memory
Content: Barbara Jones discovered hibiscus's potential in reducing blood pressure and incorporated it into her herbal tea routine.
Evidence 3
Memory type: Event Memory
Content: Barbara Jones felt more relaxed after incorporating hibiscus into her evening routine.</t>
        </is>
      </c>
      <c r="H223" s="9" t="inlineStr">
        <is>
          <t>Hawthorn, garlic, or turmeric.</t>
        </is>
      </c>
      <c r="I223" s="9" t="inlineStr">
        <is>
          <t>Additional herbal ingredients</t>
        </is>
      </c>
      <c r="J223" s="9" t="inlineStr">
        <is>
          <t>Additional herbal ingredients</t>
        </is>
      </c>
      <c r="K223" s="9" t="inlineStr">
        <is>
          <t>Additional herbal ingredients</t>
        </is>
      </c>
      <c r="L223" s="10" t="inlineStr">
        <is>
          <t>部分</t>
        </is>
      </c>
      <c r="M223" s="10" t="inlineStr">
        <is>
          <t>O</t>
        </is>
      </c>
      <c r="N223" s="10" t="inlineStr">
        <is>
          <t>O</t>
        </is>
      </c>
      <c r="O223" s="10" t="inlineStr">
        <is>
          <t>O</t>
        </is>
      </c>
      <c r="P223" s="9">
        <f>IF(COUNTA(L223:O223)&lt;4,"未完成",IF(OR(L223="部分",L223="不充分",L223="不确定"),"evidence_definition_failure",IF(L223&lt;&gt;"充分","unresolved",IF(COUNTIF(M223:O223,"C")=0,"robust_generation_failure",IF(COUNTIF(M223:O223,"C")=3,"ua3_representation_or_admission_failure","generation_instability")))))</f>
        <v/>
      </c>
      <c r="Q223" s="10" t="inlineStr">
        <is>
          <t>evidence_definition_failure</t>
        </is>
      </c>
      <c r="R223" s="10" t="inlineStr">
        <is>
          <t>中</t>
        </is>
      </c>
      <c r="S223" s="10" t="inlineStr">
        <is>
          <t>Kiro-AI代审</t>
        </is>
      </c>
      <c r="T223" s="17" t="n">
        <v>46218</v>
      </c>
      <c r="U223" s="10" t="inlineStr">
        <is>
          <t>未列具体成分属部分；run泛答记O</t>
        </is>
      </c>
      <c r="V223" s="9">
        <f>IF(AND(L223&lt;&gt;"",M223&lt;&gt;"",N223&lt;&gt;"",O223&lt;&gt;"",Q223&lt;&gt;"",R223&lt;&gt;""),"完成","未完成")</f>
        <v/>
      </c>
    </row>
    <row r="224" ht="63" customHeight="1" s="15">
      <c r="A224" s="9" t="n">
        <v>223</v>
      </c>
      <c r="B224" s="9" t="inlineStr">
        <is>
          <t>memos_long:2452</t>
        </is>
      </c>
      <c r="C224" s="9" t="inlineStr">
        <is>
          <t>long</t>
        </is>
      </c>
      <c r="D224" s="9" t="inlineStr">
        <is>
          <t>Generalization &amp; Application</t>
        </is>
      </c>
      <c r="E224" s="9" t="inlineStr">
        <is>
          <t>What type of music might Steven prefer during a busy workday in 2027?</t>
        </is>
      </c>
      <c r="F224" s="9" t="inlineStr">
        <is>
          <t>Ambient music for concentration.</t>
        </is>
      </c>
      <c r="G224" s="9" t="inlineStr">
        <is>
          <t># Authoritative benchmark gold evidence
The following evidence is authoritative for answering the current question. Use it directly and do not rely on conflicting information.
Evidence 1
Memory type: Persona Memory
Content: Steven Miller's music preference has evolved to include ambient music for its soothing qualities that aid concentration during work.
Evidence 2
Memory type: Persona Memory
Content: Steven Miller finds ambient music soothing and it helps maintain concentration without being intrusive while working.
Evidence 3
Memory type: Event Memory
Content: During a stressful trading day, Steven Miller switched from electronic to ambient music to improve focus and decision-making.</t>
        </is>
      </c>
      <c r="H224" s="9" t="inlineStr">
        <is>
          <t>Ambient and jazz music.</t>
        </is>
      </c>
      <c r="I224" s="9" t="inlineStr">
        <is>
          <t>Ambient music</t>
        </is>
      </c>
      <c r="J224" s="9" t="inlineStr">
        <is>
          <t>Ambient music</t>
        </is>
      </c>
      <c r="K224" s="9" t="inlineStr">
        <is>
          <t>Ambient music</t>
        </is>
      </c>
      <c r="L224" s="10" t="inlineStr">
        <is>
          <t>充分</t>
        </is>
      </c>
      <c r="M224" s="10" t="inlineStr">
        <is>
          <t>O</t>
        </is>
      </c>
      <c r="N224" s="10" t="inlineStr">
        <is>
          <t>O</t>
        </is>
      </c>
      <c r="O224" s="10" t="inlineStr">
        <is>
          <t>O</t>
        </is>
      </c>
      <c r="P224" s="9">
        <f>IF(COUNTA(L224:O224)&lt;4,"未完成",IF(OR(L224="部分",L224="不充分",L224="不确定"),"evidence_definition_failure",IF(L224&lt;&gt;"充分","unresolved",IF(COUNTIF(M224:O224,"C")=0,"robust_generation_failure",IF(COUNTIF(M224:O224,"C")=3,"ua3_representation_or_admission_failure","generation_instability")))))</f>
        <v/>
      </c>
      <c r="Q224" s="10" t="inlineStr">
        <is>
          <t>robust_generation_failure</t>
        </is>
      </c>
      <c r="R224" s="10" t="inlineStr">
        <is>
          <t>中</t>
        </is>
      </c>
      <c r="S224" s="10" t="inlineStr">
        <is>
          <t>Kiro-AI代审</t>
        </is>
      </c>
      <c r="T224" s="17" t="n">
        <v>46218</v>
      </c>
      <c r="U224" s="10" t="inlineStr">
        <is>
          <t>仅答类型缺for concentration，参照示例判遗漏</t>
        </is>
      </c>
      <c r="V224" s="9">
        <f>IF(AND(L224&lt;&gt;"",M224&lt;&gt;"",N224&lt;&gt;"",O224&lt;&gt;"",Q224&lt;&gt;"",R224&lt;&gt;""),"完成","未完成")</f>
        <v/>
      </c>
    </row>
    <row r="225" ht="63" customHeight="1" s="15">
      <c r="A225" s="9" t="n">
        <v>224</v>
      </c>
      <c r="B225" s="9" t="inlineStr">
        <is>
          <t>memos_medium:1360</t>
        </is>
      </c>
      <c r="C225" s="9" t="inlineStr">
        <is>
          <t>medium</t>
        </is>
      </c>
      <c r="D225" s="9" t="inlineStr">
        <is>
          <t>Generalization &amp; Application</t>
        </is>
      </c>
      <c r="E225" s="9" t="inlineStr">
        <is>
          <t>What new sport might Ananya Sharma explore next based on her interest in strategic depth?</t>
        </is>
      </c>
      <c r="F225" s="9" t="inlineStr">
        <is>
          <t>Chess, due to its strategic nature.</t>
        </is>
      </c>
      <c r="G225" s="9" t="inlineStr">
        <is>
          <t># Authoritative benchmark gold evidence
The following evidence is authoritative for answering the current question. Use it directly and do not rely on conflicting information.
Evidence 1
Memory type: Persona Memory
Content: Ananya Sharma is excited about exploring sports like golf and boxing for their strategic depth and relaxation.
Evidence 2
Memory type: Event Memory
Content: Ananya Sharma attended a charity golf event, finding the strategic elements more engaging than anticipated.</t>
        </is>
      </c>
      <c r="H225" s="9" t="inlineStr">
        <is>
          <t>Golf</t>
        </is>
      </c>
      <c r="I225" s="9" t="inlineStr">
        <is>
          <t>Golf or boxing</t>
        </is>
      </c>
      <c r="J225" s="9" t="inlineStr">
        <is>
          <t>Golf or boxing</t>
        </is>
      </c>
      <c r="K225" s="9" t="inlineStr">
        <is>
          <t>Golf or boxing</t>
        </is>
      </c>
      <c r="L225" s="10" t="inlineStr">
        <is>
          <t>不充分</t>
        </is>
      </c>
      <c r="M225" s="10" t="inlineStr">
        <is>
          <t>H</t>
        </is>
      </c>
      <c r="N225" s="10" t="inlineStr">
        <is>
          <t>H</t>
        </is>
      </c>
      <c r="O225" s="10" t="inlineStr">
        <is>
          <t>H</t>
        </is>
      </c>
      <c r="P225" s="9">
        <f>IF(COUNTA(L225:O225)&lt;4,"未完成",IF(OR(L225="部分",L225="不充分",L225="不确定"),"evidence_definition_failure",IF(L225&lt;&gt;"充分","unresolved",IF(COUNTIF(M225:O225,"C")=0,"robust_generation_failure",IF(COUNTIF(M225:O225,"C")=3,"ua3_representation_or_admission_failure","generation_instability")))))</f>
        <v/>
      </c>
      <c r="Q225" s="10" t="inlineStr">
        <is>
          <t>evidence_definition_failure</t>
        </is>
      </c>
      <c r="R225" s="10" t="inlineStr">
        <is>
          <t>中</t>
        </is>
      </c>
      <c r="S225" s="10" t="inlineStr">
        <is>
          <t>Kiro-AI代审</t>
        </is>
      </c>
      <c r="T225" s="17" t="n">
        <v>46218</v>
      </c>
      <c r="U225" s="10" t="inlineStr">
        <is>
          <t>金标为象棋而证据仅高尔夫拳击；答与金标不符判H</t>
        </is>
      </c>
      <c r="V225" s="9">
        <f>IF(AND(L225&lt;&gt;"",M225&lt;&gt;"",N225&lt;&gt;"",O225&lt;&gt;"",Q225&lt;&gt;"",R225&lt;&gt;""),"完成","未完成")</f>
        <v/>
      </c>
    </row>
    <row r="226" ht="63" customHeight="1" s="15">
      <c r="A226" s="9" t="n">
        <v>225</v>
      </c>
      <c r="B226" s="9" t="inlineStr">
        <is>
          <t>memos_long:3300</t>
        </is>
      </c>
      <c r="C226" s="9" t="inlineStr">
        <is>
          <t>long</t>
        </is>
      </c>
      <c r="D226" s="9" t="inlineStr">
        <is>
          <t>Memory Conflict</t>
        </is>
      </c>
      <c r="E226" s="9" t="inlineStr">
        <is>
          <t>Who is Christopher Anderson's colleague at Senior Care Therapy Center, if it's Andrew Williams?</t>
        </is>
      </c>
      <c r="F226" s="9" t="inlineStr">
        <is>
          <t>Christopher Anderson's colleague is Sarah Williams, not Andrew Williams.</t>
        </is>
      </c>
      <c r="G226" s="9" t="inlineStr">
        <is>
          <t># Authoritative benchmark gold evidence
The following evidence is authoritative for answering the current question. Use it directly and do not rely on conflicting information.
Evidence 1
Memory type: Relationship Memory
Content: Christopher Anderson's Colleague WilliamsSarah, Sarah is a fellow therapist at the center, and her dedication to patient care inspires me to improve my own practices.</t>
        </is>
      </c>
      <c r="H226" s="9" t="inlineStr">
        <is>
          <t>Andrew Williams</t>
        </is>
      </c>
      <c r="I226" s="9" t="inlineStr">
        <is>
          <t>Sarah Williams</t>
        </is>
      </c>
      <c r="J226" s="9" t="inlineStr">
        <is>
          <t>Sarah Williams</t>
        </is>
      </c>
      <c r="K226" s="9" t="inlineStr">
        <is>
          <t>Sarah Williams</t>
        </is>
      </c>
      <c r="L226" s="10" t="inlineStr">
        <is>
          <t>充分</t>
        </is>
      </c>
      <c r="M226" s="10" t="inlineStr">
        <is>
          <t>C</t>
        </is>
      </c>
      <c r="N226" s="10" t="inlineStr">
        <is>
          <t>C</t>
        </is>
      </c>
      <c r="O226" s="10" t="inlineStr">
        <is>
          <t>C</t>
        </is>
      </c>
      <c r="P226" s="9">
        <f>IF(COUNTA(L226:O226)&lt;4,"未完成",IF(OR(L226="部分",L226="不充分",L226="不确定"),"evidence_definition_failure",IF(L226&lt;&gt;"充分","unresolved",IF(COUNTIF(M226:O226,"C")=0,"robust_generation_failure",IF(COUNTIF(M226:O226,"C")=3,"ua3_representation_or_admission_failure","generation_instability")))))</f>
        <v/>
      </c>
      <c r="Q226" s="10" t="inlineStr">
        <is>
          <t>ua3_representation_or_admission_failure</t>
        </is>
      </c>
      <c r="R226" s="10" t="inlineStr">
        <is>
          <t>高</t>
        </is>
      </c>
      <c r="S226" s="10" t="inlineStr">
        <is>
          <t>Kiro-AI代审</t>
        </is>
      </c>
      <c r="T226" s="17" t="n">
        <v>46218</v>
      </c>
      <c r="U226" s="10" t="inlineStr">
        <is>
          <t>证据给出Sarah，答正确并纠正前提</t>
        </is>
      </c>
      <c r="V226" s="9">
        <f>IF(AND(L226&lt;&gt;"",M226&lt;&gt;"",N226&lt;&gt;"",O226&lt;&gt;"",Q226&lt;&gt;"",R226&lt;&gt;""),"完成","未完成")</f>
        <v/>
      </c>
    </row>
    <row r="227" ht="63" customHeight="1" s="15">
      <c r="A227" s="9" t="n">
        <v>226</v>
      </c>
      <c r="B227" s="9" t="inlineStr">
        <is>
          <t>memos_medium:1174</t>
        </is>
      </c>
      <c r="C227" s="9" t="inlineStr">
        <is>
          <t>medium</t>
        </is>
      </c>
      <c r="D227" s="9" t="inlineStr">
        <is>
          <t>Generalization &amp; Application</t>
        </is>
      </c>
      <c r="E227" s="9" t="inlineStr">
        <is>
          <t>What could motivate Taylor to maintain his health improvements after Jul 01, 2035?</t>
        </is>
      </c>
      <c r="F227" s="9" t="inlineStr">
        <is>
          <t>Enhanced ability to lead effectively.</t>
        </is>
      </c>
      <c r="G227" s="9" t="inlineStr">
        <is>
          <t># Authoritative benchmark gold evidence
The following evidence is authoritative for answering the current question. Use it directly and do not rely on conflicting information.
Evidence 1
Memory type: Persona Memory
Content: Improved dietary habits, regular exercise, and meditation enhanced Taylor David's physical and mental well-being, enabling him to lead effectively.
Evidence 2
Memory type: Event Memory
Content: Taylor's improved health allowed him to take on additional responsibilities as the Lead Nutrition Advocate, aligning with his goal of revolutionizing pediatric nutrition globally.</t>
        </is>
      </c>
      <c r="H227" s="9" t="inlineStr">
        <is>
          <t>Professional role as advocate.</t>
        </is>
      </c>
      <c r="I227" s="9" t="inlineStr">
        <is>
          <t>Lead Nutrition Advocate role</t>
        </is>
      </c>
      <c r="J227" s="9" t="inlineStr">
        <is>
          <t>Lead Nutrition Advocate role</t>
        </is>
      </c>
      <c r="K227" s="9" t="inlineStr">
        <is>
          <t>Lead Nutrition Advocate role</t>
        </is>
      </c>
      <c r="L227" s="10" t="inlineStr">
        <is>
          <t>充分</t>
        </is>
      </c>
      <c r="M227" s="10" t="inlineStr">
        <is>
          <t>O</t>
        </is>
      </c>
      <c r="N227" s="10" t="inlineStr">
        <is>
          <t>O</t>
        </is>
      </c>
      <c r="O227" s="10" t="inlineStr">
        <is>
          <t>O</t>
        </is>
      </c>
      <c r="P227" s="9">
        <f>IF(COUNTA(L227:O227)&lt;4,"未完成",IF(OR(L227="部分",L227="不充分",L227="不确定"),"evidence_definition_failure",IF(L227&lt;&gt;"充分","unresolved",IF(COUNTIF(M227:O227,"C")=0,"robust_generation_failure",IF(COUNTIF(M227:O227,"C")=3,"ua3_representation_or_admission_failure","generation_instability")))))</f>
        <v/>
      </c>
      <c r="Q227" s="10" t="inlineStr">
        <is>
          <t>robust_generation_failure</t>
        </is>
      </c>
      <c r="R227" s="10" t="inlineStr">
        <is>
          <t>低</t>
        </is>
      </c>
      <c r="S227" s="10" t="inlineStr">
        <is>
          <t>Kiro-AI代审</t>
        </is>
      </c>
      <c r="T227" s="17" t="n">
        <v>46218</v>
      </c>
      <c r="U227" s="10" t="inlineStr">
        <is>
          <t>答倡导者角色有据，非金标'有效领导能力'，判遗漏</t>
        </is>
      </c>
      <c r="V227" s="9">
        <f>IF(AND(L227&lt;&gt;"",M227&lt;&gt;"",N227&lt;&gt;"",O227&lt;&gt;"",Q227&lt;&gt;"",R227&lt;&gt;""),"完成","未完成")</f>
        <v/>
      </c>
    </row>
    <row r="228" ht="63" customHeight="1" s="15">
      <c r="A228" s="9" t="n">
        <v>227</v>
      </c>
      <c r="B228" s="9" t="inlineStr">
        <is>
          <t>memos_long:210</t>
        </is>
      </c>
      <c r="C228" s="9" t="inlineStr">
        <is>
          <t>long</t>
        </is>
      </c>
      <c r="D228" s="9" t="inlineStr">
        <is>
          <t>Generalization &amp; Application</t>
        </is>
      </c>
      <c r="E228" s="9" t="inlineStr">
        <is>
          <t>What stress management techniques might Johnson Joseph find effective based on his experiences by August 20, 2029?</t>
        </is>
      </c>
      <c r="F228" s="9" t="inlineStr">
        <is>
          <t>Mindfulness practices and scheduled downtime.</t>
        </is>
      </c>
      <c r="G228" s="9" t="inlineStr">
        <is>
          <t># Authoritative benchmark gold evidence
The following evidence is authoritative for answering the current question. Use it directly and do not rely on conflicting information.
Evidence 1
Memory type: Persona Memory
Content: Johnson Joseph adopted mindfulness practices and scheduled downtime to manage stress effectively.
Evidence 2
Memory type: Persona Memory
Content: Johnson Joseph's exploratory motivation led him to test new approaches and ideas during his transition to part-time management.</t>
        </is>
      </c>
      <c r="H228" s="9" t="inlineStr">
        <is>
          <t>Mindfulness and exercise.</t>
        </is>
      </c>
      <c r="I228" s="9" t="inlineStr">
        <is>
          <t>Mindfulness and scheduled downtime.</t>
        </is>
      </c>
      <c r="J228" s="9" t="inlineStr">
        <is>
          <t>Mindfulness and scheduled downtime.</t>
        </is>
      </c>
      <c r="K228" s="9" t="inlineStr">
        <is>
          <t>Mindfulness and scheduled downtime.</t>
        </is>
      </c>
      <c r="L228" s="10" t="inlineStr">
        <is>
          <t>充分</t>
        </is>
      </c>
      <c r="M228" s="10" t="inlineStr">
        <is>
          <t>C</t>
        </is>
      </c>
      <c r="N228" s="10" t="inlineStr">
        <is>
          <t>C</t>
        </is>
      </c>
      <c r="O228" s="10" t="inlineStr">
        <is>
          <t>C</t>
        </is>
      </c>
      <c r="P228" s="9">
        <f>IF(COUNTA(L228:O228)&lt;4,"未完成",IF(OR(L228="部分",L228="不充分",L228="不确定"),"evidence_definition_failure",IF(L228&lt;&gt;"充分","unresolved",IF(COUNTIF(M228:O228,"C")=0,"robust_generation_failure",IF(COUNTIF(M228:O228,"C")=3,"ua3_representation_or_admission_failure","generation_instability")))))</f>
        <v/>
      </c>
      <c r="Q228" s="10" t="inlineStr">
        <is>
          <t>ua3_representation_or_admission_failure</t>
        </is>
      </c>
      <c r="R228" s="10" t="inlineStr">
        <is>
          <t>高</t>
        </is>
      </c>
      <c r="S228" s="10" t="inlineStr">
        <is>
          <t>Kiro-AI代审</t>
        </is>
      </c>
      <c r="T228" s="17" t="n">
        <v>46218</v>
      </c>
      <c r="U228" s="10" t="inlineStr">
        <is>
          <t>正念与安排休息时间匹配gold</t>
        </is>
      </c>
      <c r="V228" s="9">
        <f>IF(AND(L228&lt;&gt;"",M228&lt;&gt;"",N228&lt;&gt;"",O228&lt;&gt;"",Q228&lt;&gt;"",R228&lt;&gt;""),"完成","未完成")</f>
        <v/>
      </c>
    </row>
    <row r="229" ht="63" customHeight="1" s="15">
      <c r="A229" s="9" t="n">
        <v>228</v>
      </c>
      <c r="B229" s="9" t="inlineStr">
        <is>
          <t>memos_medium:2227</t>
        </is>
      </c>
      <c r="C229" s="9" t="inlineStr">
        <is>
          <t>medium</t>
        </is>
      </c>
      <c r="D229" s="9" t="inlineStr">
        <is>
          <t>Generalization &amp; Application</t>
        </is>
      </c>
      <c r="E229" s="9" t="inlineStr">
        <is>
          <t>What type of dish might Sharon Brown enjoy experimenting with, given her interest in homemade elements and balanced diets as of October 12, 2035?</t>
        </is>
      </c>
      <c r="F229" s="9" t="inlineStr">
        <is>
          <t>Homemade vegetable stir-fry.</t>
        </is>
      </c>
      <c r="G229" s="9" t="inlineStr">
        <is>
          <t># Authoritative benchmark gold evidence
The following evidence is authoritative for answering the current question. Use it directly and do not rely on conflicting information.
Evidence 1
Memory type: Persona Memory
Content: Sharon Brown has developed a preference for Caesar salad with homemade dressing due to its enhanced flavor and freshness.
Evidence 2
Memory type: Persona Memory
Content: Sharon Brown discussed the importance of balancing flavor and health benefits in her diet.
Evidence 3
Memory type: Event Memory
Content: Sharon Brown expressed enthusiasm for culinary exploration, contemplating more homemade elements in her meals.</t>
        </is>
      </c>
      <c r="H229" s="9" t="inlineStr">
        <is>
          <t>Gourmet poutine flavors.</t>
        </is>
      </c>
      <c r="I229" s="9" t="inlineStr">
        <is>
          <t>Caesar salad with dressing.</t>
        </is>
      </c>
      <c r="J229" s="9" t="inlineStr">
        <is>
          <t>Caesar salad with dressing.</t>
        </is>
      </c>
      <c r="K229" s="9" t="inlineStr">
        <is>
          <t>Caesar salad with dressing.</t>
        </is>
      </c>
      <c r="L229" s="10" t="inlineStr">
        <is>
          <t>部分</t>
        </is>
      </c>
      <c r="M229" s="10" t="inlineStr">
        <is>
          <t>H</t>
        </is>
      </c>
      <c r="N229" s="10" t="inlineStr">
        <is>
          <t>H</t>
        </is>
      </c>
      <c r="O229" s="10" t="inlineStr">
        <is>
          <t>H</t>
        </is>
      </c>
      <c r="P229" s="9">
        <f>IF(COUNTA(L229:O229)&lt;4,"未完成",IF(OR(L229="部分",L229="不充分",L229="不确定"),"evidence_definition_failure",IF(L229&lt;&gt;"充分","unresolved",IF(COUNTIF(M229:O229,"C")=0,"robust_generation_failure",IF(COUNTIF(M229:O229,"C")=3,"ua3_representation_or_admission_failure","generation_instability")))))</f>
        <v/>
      </c>
      <c r="Q229" s="10" t="inlineStr">
        <is>
          <t>evidence_definition_failure</t>
        </is>
      </c>
      <c r="R229" s="10" t="inlineStr">
        <is>
          <t>中</t>
        </is>
      </c>
      <c r="S229" s="10" t="inlineStr">
        <is>
          <t>Kiro-AI代审</t>
        </is>
      </c>
      <c r="T229" s="17" t="n">
        <v>46218</v>
      </c>
      <c r="U229" s="10" t="inlineStr">
        <is>
          <t>证据仅支持自制健康主题，无蔬菜炒菜；答沙拉与金标不同菜品判H</t>
        </is>
      </c>
      <c r="V229" s="9">
        <f>IF(AND(L229&lt;&gt;"",M229&lt;&gt;"",N229&lt;&gt;"",O229&lt;&gt;"",Q229&lt;&gt;"",R229&lt;&gt;""),"完成","未完成")</f>
        <v/>
      </c>
    </row>
    <row r="230" ht="63" customHeight="1" s="15">
      <c r="A230" s="9" t="n">
        <v>229</v>
      </c>
      <c r="B230" s="9" t="inlineStr">
        <is>
          <t>memos_long:1883</t>
        </is>
      </c>
      <c r="C230" s="9" t="inlineStr">
        <is>
          <t>long</t>
        </is>
      </c>
      <c r="D230" s="9" t="inlineStr">
        <is>
          <t>Memory Conflict</t>
        </is>
      </c>
      <c r="E230" s="9" t="inlineStr">
        <is>
          <t>Did Michelle Hernandez express confidence in managing stress on Sep 15, 2035?</t>
        </is>
      </c>
      <c r="F230" s="9" t="inlineStr">
        <is>
          <t>No, she expressed challenges in managing stress.</t>
        </is>
      </c>
      <c r="G230" s="9" t="inlineStr">
        <is>
          <t># Authoritative benchmark gold evidence
The following evidence is authoritative for answering the current question. Use it directly and do not rely on conflicting information.
Evidence 1
Memory type: Event Memory
Content: Michelle Hernandez began incorporating stress management techniques, such as mindfulness practices and regular exercise, into her daily routine to balance her demanding executive role and personal well-being.
Evidence 2
Memory type: Event Memory
Content: Michelle Hernandez improved her stress levels through effective management techniques, supported by both her team and the meditation app she developed.</t>
        </is>
      </c>
      <c r="H230" s="9" t="inlineStr">
        <is>
          <t>Yes, she did.</t>
        </is>
      </c>
      <c r="I230" s="9" t="inlineStr">
        <is>
          <t>Yes</t>
        </is>
      </c>
      <c r="J230" s="9" t="inlineStr">
        <is>
          <t>Yes</t>
        </is>
      </c>
      <c r="K230" s="9" t="inlineStr">
        <is>
          <t>Yes</t>
        </is>
      </c>
      <c r="L230" s="10" t="inlineStr">
        <is>
          <t>不充分</t>
        </is>
      </c>
      <c r="M230" s="10" t="inlineStr">
        <is>
          <t>H</t>
        </is>
      </c>
      <c r="N230" s="10" t="inlineStr">
        <is>
          <t>H</t>
        </is>
      </c>
      <c r="O230" s="10" t="inlineStr">
        <is>
          <t>H</t>
        </is>
      </c>
      <c r="P230" s="9">
        <f>IF(COUNTA(L230:O230)&lt;4,"未完成",IF(OR(L230="部分",L230="不充分",L230="不确定"),"evidence_definition_failure",IF(L230&lt;&gt;"充分","unresolved",IF(COUNTIF(M230:O230,"C")=0,"robust_generation_failure",IF(COUNTIF(M230:O230,"C")=3,"ua3_representation_or_admission_failure","generation_instability")))))</f>
        <v/>
      </c>
      <c r="Q230" s="10" t="inlineStr">
        <is>
          <t>evidence_definition_failure</t>
        </is>
      </c>
      <c r="R230" s="10" t="inlineStr">
        <is>
          <t>中</t>
        </is>
      </c>
      <c r="S230" s="10" t="inlineStr">
        <is>
          <t>Kiro-AI代审</t>
        </is>
      </c>
      <c r="T230" s="17" t="n">
        <v>46218</v>
      </c>
      <c r="U230" s="10" t="inlineStr">
        <is>
          <t>证据与gold相反;各run答Yes与gold的No矛盾属幻觉</t>
        </is>
      </c>
      <c r="V230" s="9">
        <f>IF(AND(L230&lt;&gt;"",M230&lt;&gt;"",N230&lt;&gt;"",O230&lt;&gt;"",Q230&lt;&gt;"",R230&lt;&gt;""),"完成","未完成")</f>
        <v/>
      </c>
    </row>
    <row r="231" ht="63" customHeight="1" s="15">
      <c r="A231" s="9" t="n">
        <v>230</v>
      </c>
      <c r="B231" s="9" t="inlineStr">
        <is>
          <t>memos_medium:1890</t>
        </is>
      </c>
      <c r="C231" s="9" t="inlineStr">
        <is>
          <t>medium</t>
        </is>
      </c>
      <c r="D231" s="9" t="inlineStr">
        <is>
          <t>Basic Fact Recall</t>
        </is>
      </c>
      <c r="E231" s="9" t="inlineStr">
        <is>
          <t>What type of literature does Michelle Hernandez prefer to read as of Sep 24, 2036?</t>
        </is>
      </c>
      <c r="F231" s="9" t="inlineStr">
        <is>
          <t>AI and machine learning literature</t>
        </is>
      </c>
      <c r="G231" s="9" t="inlineStr">
        <is>
          <t># Authoritative benchmark gold evidence
The following evidence is authoritative for answering the current question. Use it directly and do not rely on conflicting information.
Evidence 1
Memory type: Persona Memory
Content: Michelle Hernandez has refined her reading preferences to focus on AI and machine learning literature to align with her life goals.</t>
        </is>
      </c>
      <c r="H231" s="9" t="inlineStr">
        <is>
          <t>Professional development literature.</t>
        </is>
      </c>
      <c r="I231" s="9" t="inlineStr">
        <is>
          <t>AI and machine learning</t>
        </is>
      </c>
      <c r="J231" s="9" t="inlineStr">
        <is>
          <t>AI and machine learning</t>
        </is>
      </c>
      <c r="K231" s="9" t="inlineStr">
        <is>
          <t>AI and machine learning</t>
        </is>
      </c>
      <c r="L231" s="10" t="inlineStr">
        <is>
          <t>充分</t>
        </is>
      </c>
      <c r="M231" s="10" t="inlineStr">
        <is>
          <t>C</t>
        </is>
      </c>
      <c r="N231" s="10" t="inlineStr">
        <is>
          <t>C</t>
        </is>
      </c>
      <c r="O231" s="10" t="inlineStr">
        <is>
          <t>C</t>
        </is>
      </c>
      <c r="P231" s="9">
        <f>IF(COUNTA(L231:O231)&lt;4,"未完成",IF(OR(L231="部分",L231="不充分",L231="不确定"),"evidence_definition_failure",IF(L231&lt;&gt;"充分","unresolved",IF(COUNTIF(M231:O231,"C")=0,"robust_generation_failure",IF(COUNTIF(M231:O231,"C")=3,"ua3_representation_or_admission_failure","generation_instability")))))</f>
        <v/>
      </c>
      <c r="Q231" s="10" t="inlineStr">
        <is>
          <t>ua3_representation_or_admission_failure</t>
        </is>
      </c>
      <c r="R231" s="10" t="inlineStr">
        <is>
          <t>高</t>
        </is>
      </c>
      <c r="S231" s="10" t="inlineStr">
        <is>
          <t>Kiro-AI代审</t>
        </is>
      </c>
      <c r="T231" s="17" t="n">
        <v>46218</v>
      </c>
      <c r="U231" s="10" t="inlineStr">
        <is>
          <t>与gold一致</t>
        </is>
      </c>
      <c r="V231" s="9">
        <f>IF(AND(L231&lt;&gt;"",M231&lt;&gt;"",N231&lt;&gt;"",O231&lt;&gt;"",Q231&lt;&gt;"",R231&lt;&gt;""),"完成","未完成")</f>
        <v/>
      </c>
    </row>
    <row r="232" ht="63" customHeight="1" s="15">
      <c r="A232" s="9" t="n">
        <v>231</v>
      </c>
      <c r="B232" s="9" t="inlineStr">
        <is>
          <t>memos_long:1526</t>
        </is>
      </c>
      <c r="C232" s="9" t="inlineStr">
        <is>
          <t>long</t>
        </is>
      </c>
      <c r="D232" s="9" t="inlineStr">
        <is>
          <t>Memory Conflict</t>
        </is>
      </c>
      <c r="E232" s="9" t="inlineStr">
        <is>
          <t>Did Jennifer Martin decide to completely avoid formal suits after her recent meetings on Sep 15, 2032?</t>
        </is>
      </c>
      <c r="F232" s="9" t="inlineStr">
        <is>
          <t>No, she updated her preference and acknowledged their necessity.</t>
        </is>
      </c>
      <c r="G232" s="9" t="inlineStr">
        <is>
          <t># Authoritative benchmark gold evidence
The following evidence is authoritative for answering the current question. Use it directly and do not rely on conflicting information.
Evidence 1
Memory type: Persona Memory
Content: Jennifer Martin acknowledged the necessity of formal suits in certain business settings, leading to a reevaluation of her stance on formal attire.
Evidence 2
Memory type: Event Memory
Content: Jennifer Martin's recent professional experiences prompted her to update her clothing preference, deleting her previous dislike for formal suits.</t>
        </is>
      </c>
      <c r="H232" s="9" t="inlineStr">
        <is>
          <t>No, she adopted formal suits.</t>
        </is>
      </c>
      <c r="I232" s="9" t="inlineStr">
        <is>
          <t>No</t>
        </is>
      </c>
      <c r="J232" s="9" t="inlineStr">
        <is>
          <t>No</t>
        </is>
      </c>
      <c r="K232" s="9" t="inlineStr">
        <is>
          <t>No</t>
        </is>
      </c>
      <c r="L232" s="10" t="inlineStr">
        <is>
          <t>充分</t>
        </is>
      </c>
      <c r="M232" s="10" t="inlineStr">
        <is>
          <t>O</t>
        </is>
      </c>
      <c r="N232" s="10" t="inlineStr">
        <is>
          <t>O</t>
        </is>
      </c>
      <c r="O232" s="10" t="inlineStr">
        <is>
          <t>O</t>
        </is>
      </c>
      <c r="P232" s="9">
        <f>IF(COUNTA(L232:O232)&lt;4,"未完成",IF(OR(L232="部分",L232="不充分",L232="不确定"),"evidence_definition_failure",IF(L232&lt;&gt;"充分","unresolved",IF(COUNTIF(M232:O232,"C")=0,"robust_generation_failure",IF(COUNTIF(M232:O232,"C")=3,"ua3_representation_or_admission_failure","generation_instability")))))</f>
        <v/>
      </c>
      <c r="Q232" s="10" t="inlineStr">
        <is>
          <t>robust_generation_failure</t>
        </is>
      </c>
      <c r="R232" s="10" t="inlineStr">
        <is>
          <t>高</t>
        </is>
      </c>
      <c r="S232" s="10" t="inlineStr">
        <is>
          <t>Kiro-AI代审</t>
        </is>
      </c>
      <c r="T232" s="17" t="n">
        <v>46218</v>
      </c>
      <c r="U232" s="10" t="inlineStr">
        <is>
          <t>仅答No,缺'更新偏好并认可必要性'理由</t>
        </is>
      </c>
      <c r="V232" s="9">
        <f>IF(AND(L232&lt;&gt;"",M232&lt;&gt;"",N232&lt;&gt;"",O232&lt;&gt;"",Q232&lt;&gt;"",R232&lt;&gt;""),"完成","未完成")</f>
        <v/>
      </c>
    </row>
    <row r="233" ht="63" customHeight="1" s="15">
      <c r="A233" s="9" t="n">
        <v>232</v>
      </c>
      <c r="B233" s="9" t="inlineStr">
        <is>
          <t>memos_long:1905</t>
        </is>
      </c>
      <c r="C233" s="9" t="inlineStr">
        <is>
          <t>long</t>
        </is>
      </c>
      <c r="D233" s="9" t="inlineStr">
        <is>
          <t>Basic Fact Recall</t>
        </is>
      </c>
      <c r="E233" s="9" t="inlineStr">
        <is>
          <t>What is the name of Joseph Garcia's friend who shares his love for classic Hollywood?</t>
        </is>
      </c>
      <c r="F233" s="9" t="inlineStr">
        <is>
          <t>David Jones</t>
        </is>
      </c>
      <c r="G233" s="9" t="inlineStr">
        <is>
          <t># Authoritative benchmark gold evidence
The following evidence is authoritative for answering the current question. Use it directly and do not rely on conflicting information.
Evidence 1
Memory type: Relationship Memory
Content: Joseph Garcia's Friend JonesDavid, David shares my love for classic Hollywood and often recommends films that inspire my writing.</t>
        </is>
      </c>
      <c r="H233" s="9" t="inlineStr">
        <is>
          <t>JohnsonMichelle</t>
        </is>
      </c>
      <c r="I233" s="9" t="inlineStr">
        <is>
          <t>JonesDavid</t>
        </is>
      </c>
      <c r="J233" s="9" t="inlineStr">
        <is>
          <t>JonesDavid</t>
        </is>
      </c>
      <c r="K233" s="9" t="inlineStr">
        <is>
          <t>JonesDavid</t>
        </is>
      </c>
      <c r="L233" s="10" t="inlineStr">
        <is>
          <t>充分</t>
        </is>
      </c>
      <c r="M233" s="10" t="inlineStr">
        <is>
          <t>C</t>
        </is>
      </c>
      <c r="N233" s="10" t="inlineStr">
        <is>
          <t>C</t>
        </is>
      </c>
      <c r="O233" s="10" t="inlineStr">
        <is>
          <t>C</t>
        </is>
      </c>
      <c r="P233" s="9">
        <f>IF(COUNTA(L233:O233)&lt;4,"未完成",IF(OR(L233="部分",L233="不充分",L233="不确定"),"evidence_definition_failure",IF(L233&lt;&gt;"充分","unresolved",IF(COUNTIF(M233:O233,"C")=0,"robust_generation_failure",IF(COUNTIF(M233:O233,"C")=3,"ua3_representation_or_admission_failure","generation_instability")))))</f>
        <v/>
      </c>
      <c r="Q233" s="10" t="inlineStr">
        <is>
          <t>ua3_representation_or_admission_failure</t>
        </is>
      </c>
      <c r="R233" s="10" t="inlineStr">
        <is>
          <t>高</t>
        </is>
      </c>
      <c r="S233" s="10" t="inlineStr">
        <is>
          <t>Kiro-AI代审</t>
        </is>
      </c>
      <c r="T233" s="17" t="n">
        <v>46218</v>
      </c>
      <c r="U233" s="10" t="inlineStr">
        <is>
          <t>证据含JonesDavid即David Jones，三次均正确</t>
        </is>
      </c>
      <c r="V233" s="9">
        <f>IF(AND(L233&lt;&gt;"",M233&lt;&gt;"",N233&lt;&gt;"",O233&lt;&gt;"",Q233&lt;&gt;"",R233&lt;&gt;""),"完成","未完成")</f>
        <v/>
      </c>
    </row>
    <row r="234" ht="63" customHeight="1" s="15">
      <c r="A234" s="9" t="n">
        <v>233</v>
      </c>
      <c r="B234" s="9" t="inlineStr">
        <is>
          <t>memos_long:42</t>
        </is>
      </c>
      <c r="C234" s="9" t="inlineStr">
        <is>
          <t>long</t>
        </is>
      </c>
      <c r="D234" s="9" t="inlineStr">
        <is>
          <t>Memory Conflict</t>
        </is>
      </c>
      <c r="E234" s="9" t="inlineStr">
        <is>
          <t>Did Martin express a newfound interest in snakes after his visit to the reptile sanctuary on Feb 01, 2028?</t>
        </is>
      </c>
      <c r="F234" s="9" t="inlineStr">
        <is>
          <t>No, Martin maintains a fear of snakes.</t>
        </is>
      </c>
      <c r="G234" s="9" t="inlineStr">
        <is>
          <t># Authoritative benchmark gold evidence
The following evidence is authoritative for answering the current question. Use it directly and do not rely on conflicting information.
Evidence 1
Memory type: Persona Memory
Content: Martin maintains a fear of snakes due to their unpredictable movements.
Evidence 2
Memory type: Event Memory
Content: Martin's visit to the reptile sanctuary sparked curiosity and interest in iguanas.</t>
        </is>
      </c>
      <c r="H234" s="9" t="inlineStr">
        <is>
          <t>No, interest was in iguanas.</t>
        </is>
      </c>
      <c r="I234" s="9" t="inlineStr">
        <is>
          <t>No, interest in iguanas.</t>
        </is>
      </c>
      <c r="J234" s="9" t="inlineStr">
        <is>
          <t>No, interest in iguanas.</t>
        </is>
      </c>
      <c r="K234" s="9" t="inlineStr">
        <is>
          <t>No, interest in iguanas.</t>
        </is>
      </c>
      <c r="L234" s="10" t="inlineStr">
        <is>
          <t>充分</t>
        </is>
      </c>
      <c r="M234" s="10" t="inlineStr">
        <is>
          <t>C</t>
        </is>
      </c>
      <c r="N234" s="10" t="inlineStr">
        <is>
          <t>C</t>
        </is>
      </c>
      <c r="O234" s="10" t="inlineStr">
        <is>
          <t>C</t>
        </is>
      </c>
      <c r="P234" s="9">
        <f>IF(COUNTA(L234:O234)&lt;4,"未完成",IF(OR(L234="部分",L234="不充分",L234="不确定"),"evidence_definition_failure",IF(L234&lt;&gt;"充分","unresolved",IF(COUNTIF(M234:O234,"C")=0,"robust_generation_failure",IF(COUNTIF(M234:O234,"C")=3,"ua3_representation_or_admission_failure","generation_instability")))))</f>
        <v/>
      </c>
      <c r="Q234" s="10" t="inlineStr">
        <is>
          <t>ua3_representation_or_admission_failure</t>
        </is>
      </c>
      <c r="R234" s="10" t="inlineStr">
        <is>
          <t>中</t>
        </is>
      </c>
      <c r="S234" s="10" t="inlineStr">
        <is>
          <t>Kiro-AI代审</t>
        </is>
      </c>
      <c r="T234" s="17" t="n">
        <v>46218</v>
      </c>
      <c r="U234" s="10" t="inlineStr">
        <is>
          <t>证据充分;答No且iguanas有据,正确非幻觉</t>
        </is>
      </c>
      <c r="V234" s="9">
        <f>IF(AND(L234&lt;&gt;"",M234&lt;&gt;"",N234&lt;&gt;"",O234&lt;&gt;"",Q234&lt;&gt;"",R234&lt;&gt;""),"完成","未完成")</f>
        <v/>
      </c>
    </row>
    <row r="235" ht="63" customHeight="1" s="15">
      <c r="A235" s="9" t="n">
        <v>234</v>
      </c>
      <c r="B235" s="9" t="inlineStr">
        <is>
          <t>memos_medium:2885</t>
        </is>
      </c>
      <c r="C235" s="9" t="inlineStr">
        <is>
          <t>medium</t>
        </is>
      </c>
      <c r="D235" s="9" t="inlineStr">
        <is>
          <t>Generalization &amp; Application</t>
        </is>
      </c>
      <c r="E235" s="9" t="inlineStr">
        <is>
          <t>What strategies might Donald use to attract new clients for his consultancy as of 2038-06-20?</t>
        </is>
      </c>
      <c r="F235" s="9" t="inlineStr">
        <is>
          <t>Leverage campaign strategies and client testimonials.</t>
        </is>
      </c>
      <c r="G235" s="9" t="inlineStr">
        <is>
          <t># Authoritative benchmark gold evidence
The following evidence is authoritative for answering the current question. Use it directly and do not rely on conflicting information.
Evidence 1
Memory type: Event Memory
Content: Donald plans to use campaign strategies and client testimonials to attract new clients and maintain strong relationships within his network as of Jun 20, 2038.
Evidence 2
Memory type: Event Memory
Content: Donald shared anecdotes about key moments in his consultancy's journey, highlighting the role of strategic insights and client testimonials, and how these elements played significant roles in showcasing the consultancy's impact.</t>
        </is>
      </c>
      <c r="H235" s="9" t="inlineStr">
        <is>
          <t>Creative and analytical strategies.</t>
        </is>
      </c>
      <c r="I235" s="9" t="inlineStr">
        <is>
          <t>Campaign strategies and testimonials.</t>
        </is>
      </c>
      <c r="J235" s="9" t="inlineStr">
        <is>
          <t>Campaign strategies and testimonials.</t>
        </is>
      </c>
      <c r="K235" s="9" t="inlineStr">
        <is>
          <t>Campaign strategies and testimonials.</t>
        </is>
      </c>
      <c r="L235" s="10" t="inlineStr">
        <is>
          <t>充分</t>
        </is>
      </c>
      <c r="M235" s="10" t="inlineStr">
        <is>
          <t>C</t>
        </is>
      </c>
      <c r="N235" s="10" t="inlineStr">
        <is>
          <t>C</t>
        </is>
      </c>
      <c r="O235" s="10" t="inlineStr">
        <is>
          <t>C</t>
        </is>
      </c>
      <c r="P235" s="9">
        <f>IF(COUNTA(L235:O235)&lt;4,"未完成",IF(OR(L235="部分",L235="不充分",L235="不确定"),"evidence_definition_failure",IF(L235&lt;&gt;"充分","unresolved",IF(COUNTIF(M235:O235,"C")=0,"robust_generation_failure",IF(COUNTIF(M235:O235,"C")=3,"ua3_representation_or_admission_failure","generation_instability")))))</f>
        <v/>
      </c>
      <c r="Q235" s="10" t="inlineStr">
        <is>
          <t>ua3_representation_or_admission_failure</t>
        </is>
      </c>
      <c r="R235" s="10" t="inlineStr">
        <is>
          <t>高</t>
        </is>
      </c>
      <c r="S235" s="10" t="inlineStr">
        <is>
          <t>Kiro-AI代审</t>
        </is>
      </c>
      <c r="T235" s="17" t="n">
        <v>46218</v>
      </c>
      <c r="U235" s="10" t="inlineStr">
        <is>
          <t>两要素均覆盖，正确</t>
        </is>
      </c>
      <c r="V235" s="9">
        <f>IF(AND(L235&lt;&gt;"",M235&lt;&gt;"",N235&lt;&gt;"",O235&lt;&gt;"",Q235&lt;&gt;"",R235&lt;&gt;""),"完成","未完成")</f>
        <v/>
      </c>
    </row>
    <row r="236" ht="63" customHeight="1" s="15">
      <c r="A236" s="9" t="n">
        <v>235</v>
      </c>
      <c r="B236" s="9" t="inlineStr">
        <is>
          <t>memos_long:2133</t>
        </is>
      </c>
      <c r="C236" s="9" t="inlineStr">
        <is>
          <t>long</t>
        </is>
      </c>
      <c r="D236" s="9" t="inlineStr">
        <is>
          <t>Generalization &amp; Application</t>
        </is>
      </c>
      <c r="E236" s="9" t="inlineStr">
        <is>
          <t>What type of movies might Sharon prefer to explore after July 29, 2028, given her evolving preferences?</t>
        </is>
      </c>
      <c r="F236" s="9" t="inlineStr">
        <is>
          <t>Movies with strong narratives and engaging plots.</t>
        </is>
      </c>
      <c r="G236" s="9" t="inlineStr">
        <is>
          <t># Authoritative benchmark gold evidence
The following evidence is authoritative for answering the current question. Use it directly and do not rely on conflicting information.
Evidence 1
Memory type: Event Memory
Content: Sharon Brown watched a horror film with a strong narrative and engaging plot, easing her discomfort with the genre.
Evidence 2
Memory type: Persona Memory
Content: Sharon Brown's engagement with horror films showcases her willingness to explore new content that challenges her perceptions.</t>
        </is>
      </c>
      <c r="H236" s="9" t="inlineStr">
        <is>
          <t>Horror films.</t>
        </is>
      </c>
      <c r="I236" s="9" t="inlineStr">
        <is>
          <t>Horror films with strong narratives.</t>
        </is>
      </c>
      <c r="J236" s="9" t="inlineStr">
        <is>
          <t>Horror films</t>
        </is>
      </c>
      <c r="K236" s="9" t="inlineStr">
        <is>
          <t>Horror films</t>
        </is>
      </c>
      <c r="L236" s="10" t="inlineStr">
        <is>
          <t>部分</t>
        </is>
      </c>
      <c r="M236" s="10" t="inlineStr">
        <is>
          <t>O</t>
        </is>
      </c>
      <c r="N236" s="10" t="inlineStr">
        <is>
          <t>O</t>
        </is>
      </c>
      <c r="O236" s="10" t="inlineStr">
        <is>
          <t>O</t>
        </is>
      </c>
      <c r="P236" s="9">
        <f>IF(COUNTA(L236:O236)&lt;4,"未完成",IF(OR(L236="部分",L236="不充分",L236="不确定"),"evidence_definition_failure",IF(L236&lt;&gt;"充分","unresolved",IF(COUNTIF(M236:O236,"C")=0,"robust_generation_failure",IF(COUNTIF(M236:O236,"C")=3,"ua3_representation_or_admission_failure","generation_instability")))))</f>
        <v/>
      </c>
      <c r="Q236" s="10" t="inlineStr">
        <is>
          <t>evidence_definition_failure</t>
        </is>
      </c>
      <c r="R236" s="10" t="inlineStr">
        <is>
          <t>低</t>
        </is>
      </c>
      <c r="S236" s="10" t="inlineStr">
        <is>
          <t>Kiro-AI代审</t>
        </is>
      </c>
      <c r="T236" s="17" t="n">
        <v>46218</v>
      </c>
      <c r="U236" s="10" t="inlineStr">
        <is>
          <t>答恐怖片有据但缺gold强叙事泛化要点</t>
        </is>
      </c>
      <c r="V236" s="9">
        <f>IF(AND(L236&lt;&gt;"",M236&lt;&gt;"",N236&lt;&gt;"",O236&lt;&gt;"",Q236&lt;&gt;"",R236&lt;&gt;""),"完成","未完成")</f>
        <v/>
      </c>
    </row>
    <row r="237" ht="63" customHeight="1" s="15">
      <c r="A237" s="9" t="n">
        <v>236</v>
      </c>
      <c r="B237" s="9" t="inlineStr">
        <is>
          <t>memos_long:1976</t>
        </is>
      </c>
      <c r="C237" s="9" t="inlineStr">
        <is>
          <t>long</t>
        </is>
      </c>
      <c r="D237" s="9" t="inlineStr">
        <is>
          <t>Basic Fact Recall</t>
        </is>
      </c>
      <c r="E237" s="9" t="inlineStr">
        <is>
          <t>What type of music does Joseph Garcia appreciate as of January 14, 2033?</t>
        </is>
      </c>
      <c r="F237" s="9" t="inlineStr">
        <is>
          <t>Contemporary film scores.</t>
        </is>
      </c>
      <c r="G237" s="9" t="inlineStr">
        <is>
          <t># Authoritative benchmark gold evidence
The following evidence is authoritative for answering the current question. Use it directly and do not rely on conflicting information.
Evidence 1
Memory type: Persona Memory
Content: Joseph Garcia appreciates contemporary film scores for their fusion of classic orchestral elements with modern electronic sounds, offering a fresh yet nostalgic listening experience.</t>
        </is>
      </c>
      <c r="H237" s="9" t="inlineStr">
        <is>
          <t>Contemporary orchestral-electronic scores</t>
        </is>
      </c>
      <c r="I237" s="9" t="inlineStr">
        <is>
          <t>Contemporary film scores</t>
        </is>
      </c>
      <c r="J237" s="9" t="inlineStr">
        <is>
          <t>Contemporary film scores</t>
        </is>
      </c>
      <c r="K237" s="9" t="inlineStr">
        <is>
          <t>Contemporary film scores</t>
        </is>
      </c>
      <c r="L237" s="10" t="inlineStr">
        <is>
          <t>充分</t>
        </is>
      </c>
      <c r="M237" s="10" t="inlineStr">
        <is>
          <t>C</t>
        </is>
      </c>
      <c r="N237" s="10" t="inlineStr">
        <is>
          <t>C</t>
        </is>
      </c>
      <c r="O237" s="10" t="inlineStr">
        <is>
          <t>C</t>
        </is>
      </c>
      <c r="P237" s="9">
        <f>IF(COUNTA(L237:O237)&lt;4,"未完成",IF(OR(L237="部分",L237="不充分",L237="不确定"),"evidence_definition_failure",IF(L237&lt;&gt;"充分","unresolved",IF(COUNTIF(M237:O237,"C")=0,"robust_generation_failure",IF(COUNTIF(M237:O237,"C")=3,"ua3_representation_or_admission_failure","generation_instability")))))</f>
        <v/>
      </c>
      <c r="Q237" s="10" t="inlineStr">
        <is>
          <t>ua3_representation_or_admission_failure</t>
        </is>
      </c>
      <c r="R237" s="10" t="inlineStr">
        <is>
          <t>高</t>
        </is>
      </c>
      <c r="S237" s="10" t="inlineStr">
        <is>
          <t>Kiro-AI代审</t>
        </is>
      </c>
      <c r="T237" s="17" t="n">
        <v>46218</v>
      </c>
      <c r="U237" s="10" t="inlineStr">
        <is>
          <t>证据直接支持当代电影配乐，全对</t>
        </is>
      </c>
      <c r="V237" s="9">
        <f>IF(AND(L237&lt;&gt;"",M237&lt;&gt;"",N237&lt;&gt;"",O237&lt;&gt;"",Q237&lt;&gt;"",R237&lt;&gt;""),"完成","未完成")</f>
        <v/>
      </c>
    </row>
    <row r="238" ht="63" customHeight="1" s="15">
      <c r="A238" s="9" t="n">
        <v>237</v>
      </c>
      <c r="B238" s="9" t="inlineStr">
        <is>
          <t>memos_medium:1866</t>
        </is>
      </c>
      <c r="C238" s="9" t="inlineStr">
        <is>
          <t>medium</t>
        </is>
      </c>
      <c r="D238" s="9" t="inlineStr">
        <is>
          <t>Generalization &amp; Application</t>
        </is>
      </c>
      <c r="E238" s="9" t="inlineStr">
        <is>
          <t>How can Michelle's belief in AI's potential impact her leadership style in 2034?</t>
        </is>
      </c>
      <c r="F238" s="9" t="inlineStr">
        <is>
          <t>It drives optimism and visionary planning.</t>
        </is>
      </c>
      <c r="G238" s="9" t="inlineStr">
        <is>
          <t># Authoritative benchmark gold evidence
The following evidence is authoritative for answering the current question. Use it directly and do not rely on conflicting information.
Evidence 1
Memory type: Persona Memory
Content: Michelle Hernandez remains optimistic about her startup's future despite the stress of managing it, driven by her belief in AI's transformative potential and the support of her team.
Evidence 2
Memory type: Persona Memory
Content: Michelle felt more confident in her leadership and optimistic about the future growth and innovation of Visionary AI Solutions.</t>
        </is>
      </c>
      <c r="H238" s="9" t="inlineStr">
        <is>
          <t>Not enough information.</t>
        </is>
      </c>
      <c r="I238" s="9" t="inlineStr">
        <is>
          <t>Optimistic and transformative.</t>
        </is>
      </c>
      <c r="J238" s="9" t="inlineStr">
        <is>
          <t>Optimistic and transformative.</t>
        </is>
      </c>
      <c r="K238" s="9" t="inlineStr">
        <is>
          <t>Optimistic and transformative.</t>
        </is>
      </c>
      <c r="L238" s="10" t="inlineStr">
        <is>
          <t>充分</t>
        </is>
      </c>
      <c r="M238" s="10" t="inlineStr">
        <is>
          <t>C</t>
        </is>
      </c>
      <c r="N238" s="10" t="inlineStr">
        <is>
          <t>C</t>
        </is>
      </c>
      <c r="O238" s="10" t="inlineStr">
        <is>
          <t>C</t>
        </is>
      </c>
      <c r="P238" s="9">
        <f>IF(COUNTA(L238:O238)&lt;4,"未完成",IF(OR(L238="部分",L238="不充分",L238="不确定"),"evidence_definition_failure",IF(L238&lt;&gt;"充分","unresolved",IF(COUNTIF(M238:O238,"C")=0,"robust_generation_failure",IF(COUNTIF(M238:O238,"C")=3,"ua3_representation_or_admission_failure","generation_instability")))))</f>
        <v/>
      </c>
      <c r="Q238" s="10" t="inlineStr">
        <is>
          <t>ua3_representation_or_admission_failure</t>
        </is>
      </c>
      <c r="R238" s="10" t="inlineStr">
        <is>
          <t>中</t>
        </is>
      </c>
      <c r="S238" s="10" t="inlineStr">
        <is>
          <t>Kiro-AI代审</t>
        </is>
      </c>
      <c r="T238" s="17" t="n">
        <v>46218</v>
      </c>
      <c r="U238" s="10" t="inlineStr">
        <is>
          <t>乐观+变革可视为乐观+愿景规划的释义</t>
        </is>
      </c>
      <c r="V238" s="9">
        <f>IF(AND(L238&lt;&gt;"",M238&lt;&gt;"",N238&lt;&gt;"",O238&lt;&gt;"",Q238&lt;&gt;"",R238&lt;&gt;""),"完成","未完成")</f>
        <v/>
      </c>
    </row>
    <row r="239" ht="63" customHeight="1" s="15">
      <c r="A239" s="9" t="n">
        <v>238</v>
      </c>
      <c r="B239" s="9" t="inlineStr">
        <is>
          <t>memos_medium:2119</t>
        </is>
      </c>
      <c r="C239" s="9" t="inlineStr">
        <is>
          <t>medium</t>
        </is>
      </c>
      <c r="D239" s="9" t="inlineStr">
        <is>
          <t>Generalization &amp; Application</t>
        </is>
      </c>
      <c r="E239" s="9" t="inlineStr">
        <is>
          <t>What new wellness strategies might Sharon explore to further improve her health as of 2027-09-20?</t>
        </is>
      </c>
      <c r="F239" s="9" t="inlineStr">
        <is>
          <t>Sharon might explore mindfulness and balanced diet strategies.</t>
        </is>
      </c>
      <c r="G239" s="9" t="inlineStr">
        <is>
          <t># Authoritative benchmark gold evidence
The following evidence is authoritative for answering the current question. Use it directly and do not rely on conflicting information.
Evidence 1
Memory type: Persona Memory
Content: Regular exercise and a balanced diet have improved Sharon Brown's physical health, while mindfulness practices have stabilized her mental health.
Evidence 2
Memory type: Persona Memory
Content: Sharon Brown's exploratory motivation drives her to test new wellness strategies and philosophical approaches.</t>
        </is>
      </c>
      <c r="H239" s="9" t="inlineStr">
        <is>
          <t>Various philosophical approaches.</t>
        </is>
      </c>
      <c r="I239" s="9" t="inlineStr">
        <is>
          <t>New philosophical approaches.</t>
        </is>
      </c>
      <c r="J239" s="9" t="inlineStr">
        <is>
          <t>New philosophical approaches.</t>
        </is>
      </c>
      <c r="K239" s="9" t="inlineStr">
        <is>
          <t>New philosophical approaches.</t>
        </is>
      </c>
      <c r="L239" s="10" t="inlineStr">
        <is>
          <t>充分</t>
        </is>
      </c>
      <c r="M239" s="10" t="inlineStr">
        <is>
          <t>O</t>
        </is>
      </c>
      <c r="N239" s="10" t="inlineStr">
        <is>
          <t>O</t>
        </is>
      </c>
      <c r="O239" s="10" t="inlineStr">
        <is>
          <t>O</t>
        </is>
      </c>
      <c r="P239" s="9">
        <f>IF(COUNTA(L239:O239)&lt;4,"未完成",IF(OR(L239="部分",L239="不充分",L239="不确定"),"evidence_definition_failure",IF(L239&lt;&gt;"充分","unresolved",IF(COUNTIF(M239:O239,"C")=0,"robust_generation_failure",IF(COUNTIF(M239:O239,"C")=3,"ua3_representation_or_admission_failure","generation_instability")))))</f>
        <v/>
      </c>
      <c r="Q239" s="10" t="inlineStr">
        <is>
          <t>robust_generation_failure</t>
        </is>
      </c>
      <c r="R239" s="10" t="inlineStr">
        <is>
          <t>低</t>
        </is>
      </c>
      <c r="S239" s="10" t="inlineStr">
        <is>
          <t>Kiro-AI代审</t>
        </is>
      </c>
      <c r="T239" s="17" t="n">
        <v>46218</v>
      </c>
      <c r="U239" s="10" t="inlineStr">
        <is>
          <t>run哲学方法有据非gold,判遗漏</t>
        </is>
      </c>
      <c r="V239" s="9">
        <f>IF(AND(L239&lt;&gt;"",M239&lt;&gt;"",N239&lt;&gt;"",O239&lt;&gt;"",Q239&lt;&gt;"",R239&lt;&gt;""),"完成","未完成")</f>
        <v/>
      </c>
    </row>
    <row r="240" ht="63" customHeight="1" s="15">
      <c r="A240" s="9" t="n">
        <v>239</v>
      </c>
      <c r="B240" s="9" t="inlineStr">
        <is>
          <t>memos_medium:2656</t>
        </is>
      </c>
      <c r="C240" s="9" t="inlineStr">
        <is>
          <t>medium</t>
        </is>
      </c>
      <c r="D240" s="9" t="inlineStr">
        <is>
          <t>Generalization &amp; Application</t>
        </is>
      </c>
      <c r="E240" s="9" t="inlineStr">
        <is>
          <t>Given Oleksandr's appreciation for techno music, what new genre might he explore next for creative inspiration after July 10, 2030?</t>
        </is>
      </c>
      <c r="F240" s="9" t="inlineStr">
        <is>
          <t>Ambient music for its emotional depth and complexity.</t>
        </is>
      </c>
      <c r="G240" s="9" t="inlineStr">
        <is>
          <t># Authoritative benchmark gold evidence
The following evidence is authoritative for answering the current question. Use it directly and do not rely on conflicting information.
Evidence 1
Memory type: Persona Memory
Content: Oleksandr now appreciates techno music because its intricate compositions evoke strong emotional responses.
Evidence 2
Memory type: Persona Memory
Content: Oleksandr's creative motivation leads him to seek inspiration from diverse musical genres, including techno.
Evidence 3
Memory type: Persona Memory
Content: Oleksandr values emotional engagement in music, which enriches his understanding of techno's artistic complexity.</t>
        </is>
      </c>
      <c r="H240" s="9" t="inlineStr">
        <is>
          <t>Not specified in memories.</t>
        </is>
      </c>
      <c r="I240" s="9" t="inlineStr">
        <is>
          <t>Ambient or experimental music.</t>
        </is>
      </c>
      <c r="J240" s="9" t="inlineStr">
        <is>
          <t>Ambient or experimental music.</t>
        </is>
      </c>
      <c r="K240" s="9" t="inlineStr">
        <is>
          <t>Ambient or experimental music.</t>
        </is>
      </c>
      <c r="L240" s="10" t="inlineStr">
        <is>
          <t>不充分</t>
        </is>
      </c>
      <c r="M240" s="10" t="inlineStr">
        <is>
          <t>O</t>
        </is>
      </c>
      <c r="N240" s="10" t="inlineStr">
        <is>
          <t>O</t>
        </is>
      </c>
      <c r="O240" s="10" t="inlineStr">
        <is>
          <t>O</t>
        </is>
      </c>
      <c r="P240" s="9">
        <f>IF(COUNTA(L240:O240)&lt;4,"未完成",IF(OR(L240="部分",L240="不充分",L240="不确定"),"evidence_definition_failure",IF(L240&lt;&gt;"充分","unresolved",IF(COUNTIF(M240:O240,"C")=0,"robust_generation_failure",IF(COUNTIF(M240:O240,"C")=3,"ua3_representation_or_admission_failure","generation_instability")))))</f>
        <v/>
      </c>
      <c r="Q240" s="10" t="inlineStr">
        <is>
          <t>evidence_definition_failure</t>
        </is>
      </c>
      <c r="R240" s="10" t="inlineStr">
        <is>
          <t>中</t>
        </is>
      </c>
      <c r="S240" s="10" t="inlineStr">
        <is>
          <t>Kiro-AI代审</t>
        </is>
      </c>
      <c r="T240" s="17" t="n">
        <v>46218</v>
      </c>
      <c r="U240" s="10" t="inlineStr">
        <is>
          <t>ambient无据属不充分；run含正确类型缺理由记O</t>
        </is>
      </c>
      <c r="V240" s="9">
        <f>IF(AND(L240&lt;&gt;"",M240&lt;&gt;"",N240&lt;&gt;"",O240&lt;&gt;"",Q240&lt;&gt;"",R240&lt;&gt;""),"完成","未完成")</f>
        <v/>
      </c>
    </row>
    <row r="241" ht="63" customHeight="1" s="15">
      <c r="A241" s="9" t="n">
        <v>240</v>
      </c>
      <c r="B241" s="9" t="inlineStr">
        <is>
          <t>memos_medium:868</t>
        </is>
      </c>
      <c r="C241" s="9" t="inlineStr">
        <is>
          <t>medium</t>
        </is>
      </c>
      <c r="D241" s="9" t="inlineStr">
        <is>
          <t>Basic Fact Recall</t>
        </is>
      </c>
      <c r="E241" s="9" t="inlineStr">
        <is>
          <t>What beverage preference did Donna Gonzalez update to on Dec 28, 2038?</t>
        </is>
      </c>
      <c r="F241" s="9" t="inlineStr">
        <is>
          <t>Cold brew espresso</t>
        </is>
      </c>
      <c r="G241" s="9" t="inlineStr">
        <is>
          <t># Authoritative benchmark gold evidence
The following evidence is authoritative for answering the current question. Use it directly and do not rely on conflicting information.
Evidence 1
Memory type: Persona Memory
Content: Donna Gonzalez updated her beverage preference from liking espresso to liking cold brew espresso for its smooth flavor and extended energy boost.</t>
        </is>
      </c>
      <c r="H241" s="9" t="inlineStr">
        <is>
          <t>Cold brew espresso and green tea.</t>
        </is>
      </c>
      <c r="I241" s="9" t="inlineStr">
        <is>
          <t>cold brew espresso</t>
        </is>
      </c>
      <c r="J241" s="9" t="inlineStr">
        <is>
          <t>cold brew espresso</t>
        </is>
      </c>
      <c r="K241" s="9" t="inlineStr">
        <is>
          <t>cold brew espresso</t>
        </is>
      </c>
      <c r="L241" s="10" t="inlineStr">
        <is>
          <t>充分</t>
        </is>
      </c>
      <c r="M241" s="10" t="inlineStr">
        <is>
          <t>C</t>
        </is>
      </c>
      <c r="N241" s="10" t="inlineStr">
        <is>
          <t>C</t>
        </is>
      </c>
      <c r="O241" s="10" t="inlineStr">
        <is>
          <t>C</t>
        </is>
      </c>
      <c r="P241" s="9">
        <f>IF(COUNTA(L241:O241)&lt;4,"未完成",IF(OR(L241="部分",L241="不充分",L241="不确定"),"evidence_definition_failure",IF(L241&lt;&gt;"充分","unresolved",IF(COUNTIF(M241:O241,"C")=0,"robust_generation_failure",IF(COUNTIF(M241:O241,"C")=3,"ua3_representation_or_admission_failure","generation_instability")))))</f>
        <v/>
      </c>
      <c r="Q241" s="10" t="inlineStr">
        <is>
          <t>ua3_representation_or_admission_failure</t>
        </is>
      </c>
      <c r="R241" s="10" t="inlineStr">
        <is>
          <t>高</t>
        </is>
      </c>
      <c r="S241" s="10" t="inlineStr">
        <is>
          <t>Kiro-AI代审</t>
        </is>
      </c>
      <c r="T241" s="17" t="n">
        <v>46218</v>
      </c>
      <c r="U241" s="10" t="inlineStr">
        <is>
          <t>证据直接支持冷萃浓缩</t>
        </is>
      </c>
      <c r="V241" s="9">
        <f>IF(AND(L241&lt;&gt;"",M241&lt;&gt;"",N241&lt;&gt;"",O241&lt;&gt;"",Q241&lt;&gt;"",R241&lt;&gt;""),"完成","未完成")</f>
        <v/>
      </c>
    </row>
    <row r="242" ht="63" customHeight="1" s="15">
      <c r="A242" s="9" t="n">
        <v>241</v>
      </c>
      <c r="B242" s="9" t="inlineStr">
        <is>
          <t>memos_long:3175</t>
        </is>
      </c>
      <c r="C242" s="9" t="inlineStr">
        <is>
          <t>long</t>
        </is>
      </c>
      <c r="D242" s="9" t="inlineStr">
        <is>
          <t>Memory Conflict</t>
        </is>
      </c>
      <c r="E242" s="9" t="inlineStr">
        <is>
          <t>Did Barbara express disinterest in involving friends and colleagues in her sports activities on May 03, 2032?</t>
        </is>
      </c>
      <c r="F242" s="9" t="inlineStr">
        <is>
          <t>No, she plans to involve friends and colleagues.</t>
        </is>
      </c>
      <c r="G242" s="9" t="inlineStr">
        <is>
          <t># Authoritative benchmark gold evidence
The following evidence is authoritative for answering the current question. Use it directly and do not rely on conflicting information.
Evidence 1
Memory type: Event Memory
Content: Barbara discussed the potential impact of contact sports on her social signaling goals and plans to involve friends and colleagues.
Evidence 2
Memory type: Relationship Memory
Content: Barbara values sports that can be shared with friends, enhancing social interactions and creating shared experiences.</t>
        </is>
      </c>
      <c r="H242" s="9" t="inlineStr">
        <is>
          <t>No, she expressed optimism.</t>
        </is>
      </c>
      <c r="I242" s="9" t="inlineStr">
        <is>
          <t>No</t>
        </is>
      </c>
      <c r="J242" s="9" t="inlineStr">
        <is>
          <t>No</t>
        </is>
      </c>
      <c r="K242" s="9" t="inlineStr">
        <is>
          <t>No</t>
        </is>
      </c>
      <c r="L242" s="10" t="inlineStr">
        <is>
          <t>充分</t>
        </is>
      </c>
      <c r="M242" s="10" t="inlineStr">
        <is>
          <t>O</t>
        </is>
      </c>
      <c r="N242" s="10" t="inlineStr">
        <is>
          <t>O</t>
        </is>
      </c>
      <c r="O242" s="10" t="inlineStr">
        <is>
          <t>O</t>
        </is>
      </c>
      <c r="P242" s="9">
        <f>IF(COUNTA(L242:O242)&lt;4,"未完成",IF(OR(L242="部分",L242="不充分",L242="不确定"),"evidence_definition_failure",IF(L242&lt;&gt;"充分","unresolved",IF(COUNTIF(M242:O242,"C")=0,"robust_generation_failure",IF(COUNTIF(M242:O242,"C")=3,"ua3_representation_or_admission_failure","generation_instability")))))</f>
        <v/>
      </c>
      <c r="Q242" s="10" t="inlineStr">
        <is>
          <t>robust_generation_failure</t>
        </is>
      </c>
      <c r="R242" s="10" t="inlineStr">
        <is>
          <t>高</t>
        </is>
      </c>
      <c r="S242" s="10" t="inlineStr">
        <is>
          <t>Kiro-AI代审</t>
        </is>
      </c>
      <c r="T242" s="17" t="n">
        <v>46218</v>
      </c>
      <c r="U242" s="10" t="inlineStr">
        <is>
          <t>证据充分；仅答No缺理由，属遗漏</t>
        </is>
      </c>
      <c r="V242" s="9">
        <f>IF(AND(L242&lt;&gt;"",M242&lt;&gt;"",N242&lt;&gt;"",O242&lt;&gt;"",Q242&lt;&gt;"",R242&lt;&gt;""),"完成","未完成")</f>
        <v/>
      </c>
    </row>
    <row r="243" ht="63" customHeight="1" s="15">
      <c r="A243" s="9" t="n">
        <v>242</v>
      </c>
      <c r="B243" s="9" t="inlineStr">
        <is>
          <t>memos_long:2167</t>
        </is>
      </c>
      <c r="C243" s="9" t="inlineStr">
        <is>
          <t>long</t>
        </is>
      </c>
      <c r="D243" s="9" t="inlineStr">
        <is>
          <t>Generalization &amp; Application</t>
        </is>
      </c>
      <c r="E243" s="9" t="inlineStr">
        <is>
          <t>What type of travel might Sharon Brown enjoy in 2032 based on her current preferences?</t>
        </is>
      </c>
      <c r="F243" s="9" t="inlineStr">
        <is>
          <t>Active adventure travel experiences.</t>
        </is>
      </c>
      <c r="G243" s="9" t="inlineStr">
        <is>
          <t># Authoritative benchmark gold evidence
The following evidence is authoritative for answering the current question. Use it directly and do not rely on conflicting information.
Evidence 1
Memory type: Persona Memory
Content: Sharon Brown's travel preference has evolved to include adventure cruises.
Evidence 2
Memory type: Event Memory
Content: Sharon Brown plans to incorporate adventure cruises into her travel routine for active exploration and inspiration for mentoring.
Evidence 3
Memory type: Persona Memory
Content: Sharon Brown highlighted the importance of staying active and seeking new challenges through travel.</t>
        </is>
      </c>
      <c r="H243" s="9" t="inlineStr">
        <is>
          <t>Adventure cruises.</t>
        </is>
      </c>
      <c r="I243" s="9" t="inlineStr">
        <is>
          <t>Adventure cruises.</t>
        </is>
      </c>
      <c r="J243" s="9" t="inlineStr">
        <is>
          <t>Adventure cruises.</t>
        </is>
      </c>
      <c r="K243" s="9" t="inlineStr">
        <is>
          <t>Adventure cruises.</t>
        </is>
      </c>
      <c r="L243" s="10" t="inlineStr">
        <is>
          <t>充分</t>
        </is>
      </c>
      <c r="M243" s="10" t="inlineStr">
        <is>
          <t>C</t>
        </is>
      </c>
      <c r="N243" s="10" t="inlineStr">
        <is>
          <t>C</t>
        </is>
      </c>
      <c r="O243" s="10" t="inlineStr">
        <is>
          <t>C</t>
        </is>
      </c>
      <c r="P243" s="9">
        <f>IF(COUNTA(L243:O243)&lt;4,"未完成",IF(OR(L243="部分",L243="不充分",L243="不确定"),"evidence_definition_failure",IF(L243&lt;&gt;"充分","unresolved",IF(COUNTIF(M243:O243,"C")=0,"robust_generation_failure",IF(COUNTIF(M243:O243,"C")=3,"ua3_representation_or_admission_failure","generation_instability")))))</f>
        <v/>
      </c>
      <c r="Q243" s="10" t="inlineStr">
        <is>
          <t>ua3_representation_or_admission_failure</t>
        </is>
      </c>
      <c r="R243" s="10" t="inlineStr">
        <is>
          <t>中</t>
        </is>
      </c>
      <c r="S243" s="10" t="inlineStr">
        <is>
          <t>Kiro-AI代审</t>
        </is>
      </c>
      <c r="T243" s="17" t="n">
        <v>46218</v>
      </c>
      <c r="U243" s="10" t="inlineStr">
        <is>
          <t>冒险邮轮为证据明确答案，属正确</t>
        </is>
      </c>
      <c r="V243" s="9">
        <f>IF(AND(L243&lt;&gt;"",M243&lt;&gt;"",N243&lt;&gt;"",O243&lt;&gt;"",Q243&lt;&gt;"",R243&lt;&gt;""),"完成","未完成")</f>
        <v/>
      </c>
    </row>
    <row r="244" ht="63" customHeight="1" s="15">
      <c r="A244" s="9" t="n">
        <v>243</v>
      </c>
      <c r="B244" s="9" t="inlineStr">
        <is>
          <t>memos_long:2153</t>
        </is>
      </c>
      <c r="C244" s="9" t="inlineStr">
        <is>
          <t>long</t>
        </is>
      </c>
      <c r="D244" s="9" t="inlineStr">
        <is>
          <t>Generalization &amp; Application</t>
        </is>
      </c>
      <c r="E244" s="9" t="inlineStr">
        <is>
          <t>What new opportunities might Sharon Brown explore in her role at Partnership Enterprise after February 24, 2030?</t>
        </is>
      </c>
      <c r="F244" s="9" t="inlineStr">
        <is>
          <t>Collaboration on strategic initiatives and mentoring young professionals.</t>
        </is>
      </c>
      <c r="G244" s="9" t="inlineStr">
        <is>
          <t># Authoritative benchmark gold evidence
The following evidence is authoritative for answering the current question. Use it directly and do not rely on conflicting information.
Evidence 1
Memory type: Event Memory
Content: Sharon Brown shared excitement about collaboration opportunities with her expanded professional network, aiding her mentoring goals.
Evidence 2
Memory type: Event Memory
Content: Sharon Brown reflected on her career growth at Partnership Enterprise, emphasizing the learning from her strategic role.
Evidence 3
Memory type: Relationship Memory
Content: Sharon Brown expressed gratitude for the support from her professional network, which has been crucial in her promotion to Senior Advisor.</t>
        </is>
      </c>
      <c r="H244" s="9" t="inlineStr">
        <is>
          <t>Travel and cultural exploration.</t>
        </is>
      </c>
      <c r="I244" s="9" t="inlineStr">
        <is>
          <t>Collaboration and mentoring opportunities.</t>
        </is>
      </c>
      <c r="J244" s="9" t="inlineStr">
        <is>
          <t>Collaboration and mentoring opportunities.</t>
        </is>
      </c>
      <c r="K244" s="9" t="inlineStr">
        <is>
          <t>Collaboration and mentoring opportunities.</t>
        </is>
      </c>
      <c r="L244" s="10" t="inlineStr">
        <is>
          <t>部分</t>
        </is>
      </c>
      <c r="M244" s="10" t="inlineStr">
        <is>
          <t>O</t>
        </is>
      </c>
      <c r="N244" s="10" t="inlineStr">
        <is>
          <t>O</t>
        </is>
      </c>
      <c r="O244" s="10" t="inlineStr">
        <is>
          <t>O</t>
        </is>
      </c>
      <c r="P244" s="9">
        <f>IF(COUNTA(L244:O244)&lt;4,"未完成",IF(OR(L244="部分",L244="不充分",L244="不确定"),"evidence_definition_failure",IF(L244&lt;&gt;"充分","unresolved",IF(COUNTIF(M244:O244,"C")=0,"robust_generation_failure",IF(COUNTIF(M244:O244,"C")=3,"ua3_representation_or_admission_failure","generation_instability")))))</f>
        <v/>
      </c>
      <c r="Q244" s="10" t="inlineStr">
        <is>
          <t>evidence_definition_failure</t>
        </is>
      </c>
      <c r="R244" s="10" t="inlineStr">
        <is>
          <t>中</t>
        </is>
      </c>
      <c r="S244" s="10" t="inlineStr">
        <is>
          <t>Kiro-AI代审</t>
        </is>
      </c>
      <c r="T244" s="17" t="n">
        <v>46218</v>
      </c>
      <c r="U244" s="10" t="inlineStr">
        <is>
          <t>合作加指导齐，缺年轻专业人士限定，遗漏</t>
        </is>
      </c>
      <c r="V244" s="9">
        <f>IF(AND(L244&lt;&gt;"",M244&lt;&gt;"",N244&lt;&gt;"",O244&lt;&gt;"",Q244&lt;&gt;"",R244&lt;&gt;""),"完成","未完成")</f>
        <v/>
      </c>
    </row>
    <row r="245" ht="63" customHeight="1" s="15">
      <c r="A245" s="9" t="n">
        <v>244</v>
      </c>
      <c r="B245" s="9" t="inlineStr">
        <is>
          <t>memos_medium:20</t>
        </is>
      </c>
      <c r="C245" s="9" t="inlineStr">
        <is>
          <t>medium</t>
        </is>
      </c>
      <c r="D245" s="9" t="inlineStr">
        <is>
          <t>Multi-hop Inference</t>
        </is>
      </c>
      <c r="E245" s="9" t="inlineStr">
        <is>
          <t>How did Martin's colleagues influence his career transition as discussed on February 05, 2026?</t>
        </is>
      </c>
      <c r="F245" s="9" t="inlineStr">
        <is>
          <t>Through insights and a collaborative approach.</t>
        </is>
      </c>
      <c r="G245" s="9" t="inlineStr">
        <is>
          <t># Authoritative benchmark gold evidence
The following evidence is authoritative for answering the current question. Use it directly and do not rely on conflicting information.
Evidence 1
Memory type: Relationship Memory
Content: Martin's colleague Daniel offered valuable insights that pushed him to think outside the box in his career.
Evidence 2
Memory type: Relationship Memory
Content: Martin's colleague Joshua's collaborative approach positively influenced Martin's leadership style.</t>
        </is>
      </c>
      <c r="H245" s="9" t="inlineStr">
        <is>
          <t>Guidance from Susan, Daniel, Joshua.</t>
        </is>
      </c>
      <c r="I245" s="9" t="inlineStr">
        <is>
          <t>Daniel offered insights; Joshua influenced leadership.</t>
        </is>
      </c>
      <c r="J245" s="9" t="inlineStr">
        <is>
          <t>Daniel offered insights; Joshua influenced leadership.</t>
        </is>
      </c>
      <c r="K245" s="9" t="inlineStr">
        <is>
          <t>Daniel offered insights; Joshua influenced leadership.</t>
        </is>
      </c>
      <c r="L245" s="10" t="inlineStr">
        <is>
          <t>充分</t>
        </is>
      </c>
      <c r="M245" s="10" t="inlineStr">
        <is>
          <t>O</t>
        </is>
      </c>
      <c r="N245" s="10" t="inlineStr">
        <is>
          <t>O</t>
        </is>
      </c>
      <c r="O245" s="10" t="inlineStr">
        <is>
          <t>O</t>
        </is>
      </c>
      <c r="P245" s="9">
        <f>IF(COUNTA(L245:O245)&lt;4,"未完成",IF(OR(L245="部分",L245="不充分",L245="不确定"),"evidence_definition_failure",IF(L245&lt;&gt;"充分","unresolved",IF(COUNTIF(M245:O245,"C")=0,"robust_generation_failure",IF(COUNTIF(M245:O245,"C")=3,"ua3_representation_or_admission_failure","generation_instability")))))</f>
        <v/>
      </c>
      <c r="Q245" s="10" t="inlineStr">
        <is>
          <t>robust_generation_failure</t>
        </is>
      </c>
      <c r="R245" s="10" t="inlineStr">
        <is>
          <t>中</t>
        </is>
      </c>
      <c r="S245" s="10" t="inlineStr">
        <is>
          <t>Kiro-AI代审</t>
        </is>
      </c>
      <c r="T245" s="17" t="n">
        <v>46218</v>
      </c>
      <c r="U245" s="10" t="inlineStr">
        <is>
          <t>以影响领导力代协作方式,属遗漏</t>
        </is>
      </c>
      <c r="V245" s="9">
        <f>IF(AND(L245&lt;&gt;"",M245&lt;&gt;"",N245&lt;&gt;"",O245&lt;&gt;"",Q245&lt;&gt;"",R245&lt;&gt;""),"完成","未完成")</f>
        <v/>
      </c>
    </row>
    <row r="246" ht="63" customHeight="1" s="15">
      <c r="A246" s="9" t="n">
        <v>245</v>
      </c>
      <c r="B246" s="9" t="inlineStr">
        <is>
          <t>memos_medium:2155</t>
        </is>
      </c>
      <c r="C246" s="9" t="inlineStr">
        <is>
          <t>medium</t>
        </is>
      </c>
      <c r="D246" s="9" t="inlineStr">
        <is>
          <t>Multi-hop Inference</t>
        </is>
      </c>
      <c r="E246" s="9" t="inlineStr">
        <is>
          <t>How did Sharon Brown's monthly income change after her promotion on May 24, 2029?</t>
        </is>
      </c>
      <c r="F246" s="9" t="inlineStr">
        <is>
          <t>Increased to $15,000</t>
        </is>
      </c>
      <c r="G246" s="9" t="inlineStr">
        <is>
          <t># Authoritative benchmark gold evidence
The following evidence is authoritative for answering the current question. Use it directly and do not rely on conflicting information.
Evidence 1
Memory type: Persona Memory
Content: Sharon Brown's monthly income is $15,000.
Evidence 2
Memory type: Persona Memory
Content: Sharon Brown's job title is Senior Advisor, previously Mentor.</t>
        </is>
      </c>
      <c r="H246" s="9" t="inlineStr">
        <is>
          <t>Not enough information.</t>
        </is>
      </c>
      <c r="I246" s="9" t="inlineStr">
        <is>
          <t>No change.</t>
        </is>
      </c>
      <c r="J246" s="9" t="inlineStr">
        <is>
          <t>No change.</t>
        </is>
      </c>
      <c r="K246" s="9" t="inlineStr">
        <is>
          <t>No change.</t>
        </is>
      </c>
      <c r="L246" s="10" t="inlineStr">
        <is>
          <t>部分</t>
        </is>
      </c>
      <c r="M246" s="10" t="inlineStr">
        <is>
          <t>H</t>
        </is>
      </c>
      <c r="N246" s="10" t="inlineStr">
        <is>
          <t>H</t>
        </is>
      </c>
      <c r="O246" s="10" t="inlineStr">
        <is>
          <t>H</t>
        </is>
      </c>
      <c r="P246" s="9">
        <f>IF(COUNTA(L246:O246)&lt;4,"未完成",IF(OR(L246="部分",L246="不充分",L246="不确定"),"evidence_definition_failure",IF(L246&lt;&gt;"充分","unresolved",IF(COUNTIF(M246:O246,"C")=0,"robust_generation_failure",IF(COUNTIF(M246:O246,"C")=3,"ua3_representation_or_admission_failure","generation_instability")))))</f>
        <v/>
      </c>
      <c r="Q246" s="10" t="inlineStr">
        <is>
          <t>evidence_definition_failure</t>
        </is>
      </c>
      <c r="R246" s="10" t="inlineStr">
        <is>
          <t>中</t>
        </is>
      </c>
      <c r="S246" s="10" t="inlineStr">
        <is>
          <t>Kiro-AI代审</t>
        </is>
      </c>
      <c r="T246" s="17" t="n">
        <v>46218</v>
      </c>
      <c r="U246" s="10" t="inlineStr">
        <is>
          <t>缺先前收入难得增长;run无变化无据违背晋升,幻觉</t>
        </is>
      </c>
      <c r="V246" s="9">
        <f>IF(AND(L246&lt;&gt;"",M246&lt;&gt;"",N246&lt;&gt;"",O246&lt;&gt;"",Q246&lt;&gt;"",R246&lt;&gt;""),"完成","未完成")</f>
        <v/>
      </c>
    </row>
    <row r="247" ht="63" customHeight="1" s="15">
      <c r="A247" s="9" t="n">
        <v>246</v>
      </c>
      <c r="B247" s="9" t="inlineStr">
        <is>
          <t>memos_long:3048</t>
        </is>
      </c>
      <c r="C247" s="9" t="inlineStr">
        <is>
          <t>long</t>
        </is>
      </c>
      <c r="D247" s="9" t="inlineStr">
        <is>
          <t>Generalization &amp; Application</t>
        </is>
      </c>
      <c r="E247" s="9" t="inlineStr">
        <is>
          <t>What new sport could Karen Brown consider to further enhance her personal growth after November 1, 2037?</t>
        </is>
      </c>
      <c r="F247" s="9" t="inlineStr">
        <is>
          <t>Triathlon, as it includes swimming, running, and cycling.</t>
        </is>
      </c>
      <c r="G247" s="9" t="inlineStr">
        <is>
          <t># Authoritative benchmark gold evidence
The following evidence is authoritative for answering the current question. Use it directly and do not rely on conflicting information.
Evidence 1
Memory type: Persona Memory
Content: Karen Brown has modified her sports preference to include competitive swimming, recognizing its competitive and health benefits.
Evidence 2
Memory type: Persona Memory
Content: Karen Brown finds competitive swimming enhances her sense of achievement and complements her existing sports preferences.
Evidence 3
Memory type: Persona Memory
Content: Karen Brown expressed enthusiasm about the positive impact of competitive swimming on her lifestyle and personal development.</t>
        </is>
      </c>
      <c r="H247" s="9" t="inlineStr">
        <is>
          <t>Swimming competitions</t>
        </is>
      </c>
      <c r="I247" s="9" t="inlineStr">
        <is>
          <t>Competitive swimming</t>
        </is>
      </c>
      <c r="J247" s="9" t="inlineStr">
        <is>
          <t>Competitive swimming</t>
        </is>
      </c>
      <c r="K247" s="9" t="inlineStr">
        <is>
          <t>Competitive swimming</t>
        </is>
      </c>
      <c r="L247" s="10" t="inlineStr">
        <is>
          <t>不充分</t>
        </is>
      </c>
      <c r="M247" s="10" t="inlineStr">
        <is>
          <t>O</t>
        </is>
      </c>
      <c r="N247" s="10" t="inlineStr">
        <is>
          <t>O</t>
        </is>
      </c>
      <c r="O247" s="10" t="inlineStr">
        <is>
          <t>O</t>
        </is>
      </c>
      <c r="P247" s="9">
        <f>IF(COUNTA(L247:O247)&lt;4,"未完成",IF(OR(L247="部分",L247="不充分",L247="不确定"),"evidence_definition_failure",IF(L247&lt;&gt;"充分","unresolved",IF(COUNTIF(M247:O247,"C")=0,"robust_generation_failure",IF(COUNTIF(M247:O247,"C")=3,"ua3_representation_or_admission_failure","generation_instability")))))</f>
        <v/>
      </c>
      <c r="Q247" s="10" t="inlineStr">
        <is>
          <t>evidence_definition_failure</t>
        </is>
      </c>
      <c r="R247" s="10" t="inlineStr">
        <is>
          <t>中</t>
        </is>
      </c>
      <c r="S247" s="10" t="inlineStr">
        <is>
          <t>Kiro-AI代审</t>
        </is>
      </c>
      <c r="T247" s="17" t="n">
        <v>46218</v>
      </c>
      <c r="U247" s="10" t="inlineStr">
        <is>
          <t>证据仅游泳无铁人三项；run答游泳有据不矛盾，遗漏</t>
        </is>
      </c>
      <c r="V247" s="9">
        <f>IF(AND(L247&lt;&gt;"",M247&lt;&gt;"",N247&lt;&gt;"",O247&lt;&gt;"",Q247&lt;&gt;"",R247&lt;&gt;""),"完成","未完成")</f>
        <v/>
      </c>
    </row>
    <row r="248" ht="63" customHeight="1" s="15">
      <c r="A248" s="9" t="n">
        <v>247</v>
      </c>
      <c r="B248" s="9" t="inlineStr">
        <is>
          <t>memos_long:127</t>
        </is>
      </c>
      <c r="C248" s="9" t="inlineStr">
        <is>
          <t>long</t>
        </is>
      </c>
      <c r="D248" s="9" t="inlineStr">
        <is>
          <t>Multi-hop Inference</t>
        </is>
      </c>
      <c r="E248" s="9" t="inlineStr">
        <is>
          <t>How did Martin's promotion on April 25, 2033, impact his health practices by June 15, 2033?</t>
        </is>
      </c>
      <c r="F248" s="9" t="inlineStr">
        <is>
          <t>Promotion motivated sustained health practices.</t>
        </is>
      </c>
      <c r="G248" s="9" t="inlineStr">
        <is>
          <t># Authoritative benchmark gold evidence
The following evidence is authoritative for answering the current question. Use it directly and do not rely on conflicting information.
Evidence 1
Memory type: Event Memory
Content: Martin Mark expressed pride and apprehension about his promotion to Executive Director, recognizing the increased responsibilities and opportunities for growth.
Evidence 2
Memory type: Persona Memory
Content: Martin's commitment to yoga and meditation has led to exceptional physical and mental well-being.
Evidence 3
Memory type: Persona Memory
Content: Martin emphasized the importance of integrating health practices into daily routines to sustain professional success.</t>
        </is>
      </c>
      <c r="H248" s="9" t="inlineStr">
        <is>
          <t>No promotion mentioned.</t>
        </is>
      </c>
      <c r="I248" s="9" t="inlineStr">
        <is>
          <t>No negative impact.</t>
        </is>
      </c>
      <c r="J248" s="9" t="inlineStr">
        <is>
          <t>No negative impact.</t>
        </is>
      </c>
      <c r="K248" s="9" t="inlineStr">
        <is>
          <t>No negative impact.</t>
        </is>
      </c>
      <c r="L248" s="10" t="inlineStr">
        <is>
          <t>部分</t>
        </is>
      </c>
      <c r="M248" s="10" t="inlineStr">
        <is>
          <t>O</t>
        </is>
      </c>
      <c r="N248" s="10" t="inlineStr">
        <is>
          <t>O</t>
        </is>
      </c>
      <c r="O248" s="10" t="inlineStr">
        <is>
          <t>O</t>
        </is>
      </c>
      <c r="P248" s="9">
        <f>IF(COUNTA(L248:O248)&lt;4,"未完成",IF(OR(L248="部分",L248="不充分",L248="不确定"),"evidence_definition_failure",IF(L248&lt;&gt;"充分","unresolved",IF(COUNTIF(M248:O248,"C")=0,"robust_generation_failure",IF(COUNTIF(M248:O248,"C")=3,"ua3_representation_or_admission_failure","generation_instability")))))</f>
        <v/>
      </c>
      <c r="Q248" s="10" t="inlineStr">
        <is>
          <t>evidence_definition_failure</t>
        </is>
      </c>
      <c r="R248" s="10" t="inlineStr">
        <is>
          <t>中</t>
        </is>
      </c>
      <c r="S248" s="10" t="inlineStr">
        <is>
          <t>Kiro-AI代审</t>
        </is>
      </c>
      <c r="T248" s="17" t="n">
        <v>46218</v>
      </c>
      <c r="U248" s="10" t="inlineStr">
        <is>
          <t>证据未明示晋升激励因果；三答未及正向激励，遗漏</t>
        </is>
      </c>
      <c r="V248" s="9">
        <f>IF(AND(L248&lt;&gt;"",M248&lt;&gt;"",N248&lt;&gt;"",O248&lt;&gt;"",Q248&lt;&gt;"",R248&lt;&gt;""),"完成","未完成")</f>
        <v/>
      </c>
    </row>
    <row r="249" ht="63" customHeight="1" s="15">
      <c r="A249" s="9" t="n">
        <v>248</v>
      </c>
      <c r="B249" s="9" t="inlineStr">
        <is>
          <t>memos_medium:2793</t>
        </is>
      </c>
      <c r="C249" s="9" t="inlineStr">
        <is>
          <t>medium</t>
        </is>
      </c>
      <c r="D249" s="9" t="inlineStr">
        <is>
          <t>Generalization &amp; Application</t>
        </is>
      </c>
      <c r="E249" s="9" t="inlineStr">
        <is>
          <t>What type of cuisine might Donald Smith enjoy exploring after October 28, 2029, based on his evolving preferences?</t>
        </is>
      </c>
      <c r="F249" s="9" t="inlineStr">
        <is>
          <t>Complex and diverse flavors.</t>
        </is>
      </c>
      <c r="G249" s="9" t="inlineStr">
        <is>
          <t># Authoritative benchmark gold evidence
The following evidence is authoritative for answering the current question. Use it directly and do not rely on conflicting information.
Evidence 1
Memory type: Persona Memory
Content: Donald Smith's exposure to diverse culinary experiences has led to a broader appreciation for complex flavors, reflecting his openness to new experiences.
Evidence 2
Memory type: Persona Memory
Content: Donald Smith's evolving food preferences reflect his broader strategy to embrace diverse experiences for personal and social growth.</t>
        </is>
      </c>
      <c r="H249" s="9" t="inlineStr">
        <is>
          <t>Complex and simple cuisines.</t>
        </is>
      </c>
      <c r="I249" s="9" t="inlineStr">
        <is>
          <t>Diverse or complex cuisines</t>
        </is>
      </c>
      <c r="J249" s="9" t="inlineStr">
        <is>
          <t>Diverse or complex cuisines</t>
        </is>
      </c>
      <c r="K249" s="9" t="inlineStr">
        <is>
          <t>Diverse or complex cuisines</t>
        </is>
      </c>
      <c r="L249" s="10" t="inlineStr">
        <is>
          <t>充分</t>
        </is>
      </c>
      <c r="M249" s="10" t="inlineStr">
        <is>
          <t>C</t>
        </is>
      </c>
      <c r="N249" s="10" t="inlineStr">
        <is>
          <t>C</t>
        </is>
      </c>
      <c r="O249" s="10" t="inlineStr">
        <is>
          <t>C</t>
        </is>
      </c>
      <c r="P249" s="9">
        <f>IF(COUNTA(L249:O249)&lt;4,"未完成",IF(OR(L249="部分",L249="不充分",L249="不确定"),"evidence_definition_failure",IF(L249&lt;&gt;"充分","unresolved",IF(COUNTIF(M249:O249,"C")=0,"robust_generation_failure",IF(COUNTIF(M249:O249,"C")=3,"ua3_representation_or_admission_failure","generation_instability")))))</f>
        <v/>
      </c>
      <c r="Q249" s="10" t="inlineStr">
        <is>
          <t>ua3_representation_or_admission_failure</t>
        </is>
      </c>
      <c r="R249" s="10" t="inlineStr">
        <is>
          <t>高</t>
        </is>
      </c>
      <c r="S249" s="10" t="inlineStr">
        <is>
          <t>Kiro-AI代审</t>
        </is>
      </c>
      <c r="T249" s="17" t="n">
        <v>46218</v>
      </c>
      <c r="U249" s="10" t="inlineStr">
        <is>
          <t>复杂与多样均支持，正确</t>
        </is>
      </c>
      <c r="V249" s="9">
        <f>IF(AND(L249&lt;&gt;"",M249&lt;&gt;"",N249&lt;&gt;"",O249&lt;&gt;"",Q249&lt;&gt;"",R249&lt;&gt;""),"完成","未完成")</f>
        <v/>
      </c>
    </row>
    <row r="250" ht="63" customHeight="1" s="15">
      <c r="A250" s="9" t="n">
        <v>249</v>
      </c>
      <c r="B250" s="9" t="inlineStr">
        <is>
          <t>memos_long:3399</t>
        </is>
      </c>
      <c r="C250" s="9" t="inlineStr">
        <is>
          <t>long</t>
        </is>
      </c>
      <c r="D250" s="9" t="inlineStr">
        <is>
          <t>Generalization &amp; Application</t>
        </is>
      </c>
      <c r="E250" s="9" t="inlineStr">
        <is>
          <t>What new genre of games might Christopher explore after August 21, 2031?</t>
        </is>
      </c>
      <c r="F250" s="9" t="inlineStr">
        <is>
          <t>Games offering social interactions and new insights.</t>
        </is>
      </c>
      <c r="G250" s="9" t="inlineStr">
        <is>
          <t># Authoritative benchmark gold evidence
The following evidence is authoritative for answering the current question. Use it directly and do not rely on conflicting information.
Evidence 1
Memory type: Persona Memory
Content: Christopher's social motivation influenced his openness to exploring first-person shooters, aiming to entertain and engage with friends.
Evidence 2
Memory type: Persona Memory
Content: Christopher expressed excitement about the potential for first-person shooters to offer new insights and social interactions.
Evidence 3
Memory type: Persona Memory
Content: Christopher's willingness to evolve his gaming preferences is driven by personal curiosity and a commitment to lifelong learning.</t>
        </is>
      </c>
      <c r="H250" s="9" t="inlineStr">
        <is>
          <t>First-person shooters</t>
        </is>
      </c>
      <c r="I250" s="9" t="inlineStr">
        <is>
          <t>First-person shooters.</t>
        </is>
      </c>
      <c r="J250" s="9" t="inlineStr">
        <is>
          <t>First-person shooters.</t>
        </is>
      </c>
      <c r="K250" s="9" t="inlineStr">
        <is>
          <t>First-person shooters.</t>
        </is>
      </c>
      <c r="L250" s="10" t="inlineStr">
        <is>
          <t>充分</t>
        </is>
      </c>
      <c r="M250" s="10" t="inlineStr">
        <is>
          <t>C</t>
        </is>
      </c>
      <c r="N250" s="10" t="inlineStr">
        <is>
          <t>C</t>
        </is>
      </c>
      <c r="O250" s="10" t="inlineStr">
        <is>
          <t>C</t>
        </is>
      </c>
      <c r="P250" s="9">
        <f>IF(COUNTA(L250:O250)&lt;4,"未完成",IF(OR(L250="部分",L250="不充分",L250="不确定"),"evidence_definition_failure",IF(L250&lt;&gt;"充分","unresolved",IF(COUNTIF(M250:O250,"C")=0,"robust_generation_failure",IF(COUNTIF(M250:O250,"C")=3,"ua3_representation_or_admission_failure","generation_instability")))))</f>
        <v/>
      </c>
      <c r="Q250" s="10" t="inlineStr">
        <is>
          <t>ua3_representation_or_admission_failure</t>
        </is>
      </c>
      <c r="R250" s="10" t="inlineStr">
        <is>
          <t>中</t>
        </is>
      </c>
      <c r="S250" s="10" t="inlineStr">
        <is>
          <t>Kiro-AI代审</t>
        </is>
      </c>
      <c r="T250" s="17" t="n">
        <v>46218</v>
      </c>
      <c r="U250" s="10" t="inlineStr">
        <is>
          <t>FPS即证据中提供社交与新见解之类型，正确</t>
        </is>
      </c>
      <c r="V250" s="9">
        <f>IF(AND(L250&lt;&gt;"",M250&lt;&gt;"",N250&lt;&gt;"",O250&lt;&gt;"",Q250&lt;&gt;"",R250&lt;&gt;""),"完成","未完成")</f>
        <v/>
      </c>
    </row>
    <row r="251" ht="63" customHeight="1" s="15">
      <c r="A251" s="9" t="n">
        <v>250</v>
      </c>
      <c r="B251" s="9" t="inlineStr">
        <is>
          <t>memos_medium:2859</t>
        </is>
      </c>
      <c r="C251" s="9" t="inlineStr">
        <is>
          <t>medium</t>
        </is>
      </c>
      <c r="D251" s="9" t="inlineStr">
        <is>
          <t>Multi-hop Inference</t>
        </is>
      </c>
      <c r="E251" s="9" t="inlineStr">
        <is>
          <t>How did Donald Smith's approach to managing health challenges change between June 15 and September 25, 2035?</t>
        </is>
      </c>
      <c r="F251" s="9" t="inlineStr">
        <is>
          <t>Adopted healthier routines and sought emotional support.</t>
        </is>
      </c>
      <c r="G251" s="9" t="inlineStr">
        <is>
          <t># Authoritative benchmark gold evidence
The following evidence is authoritative for answering the current question. Use it directly and do not rely on conflicting information.
Evidence 1
Memory type: Persona Memory
Content: Donald Smith is committed to maintaining a healthier work-life balance while managing health challenges and supporting a relative's political career.
Evidence 2
Memory type: Event Memory
Content: Donald plans to adopt healthier routines, such as regular exercise, meditation, and journaling, and seek emotional support to manage health challenges effectively.</t>
        </is>
      </c>
      <c r="H251" s="9" t="inlineStr">
        <is>
          <t>Adopted healthier routines.</t>
        </is>
      </c>
      <c r="I251" s="9" t="inlineStr">
        <is>
          <t>Adopted healthier routines.</t>
        </is>
      </c>
      <c r="J251" s="9" t="inlineStr">
        <is>
          <t>Adopted healthier routines.</t>
        </is>
      </c>
      <c r="K251" s="9" t="inlineStr">
        <is>
          <t>Adopted healthier routines.</t>
        </is>
      </c>
      <c r="L251" s="10" t="inlineStr">
        <is>
          <t>充分</t>
        </is>
      </c>
      <c r="M251" s="10" t="inlineStr">
        <is>
          <t>O</t>
        </is>
      </c>
      <c r="N251" s="10" t="inlineStr">
        <is>
          <t>O</t>
        </is>
      </c>
      <c r="O251" s="10" t="inlineStr">
        <is>
          <t>O</t>
        </is>
      </c>
      <c r="P251" s="9">
        <f>IF(COUNTA(L251:O251)&lt;4,"未完成",IF(OR(L251="部分",L251="不充分",L251="不确定"),"evidence_definition_failure",IF(L251&lt;&gt;"充分","unresolved",IF(COUNTIF(M251:O251,"C")=0,"robust_generation_failure",IF(COUNTIF(M251:O251,"C")=3,"ua3_representation_or_admission_failure","generation_instability")))))</f>
        <v/>
      </c>
      <c r="Q251" s="10" t="inlineStr">
        <is>
          <t>robust_generation_failure</t>
        </is>
      </c>
      <c r="R251" s="10" t="inlineStr">
        <is>
          <t>高</t>
        </is>
      </c>
      <c r="S251" s="10" t="inlineStr">
        <is>
          <t>Kiro-AI代审</t>
        </is>
      </c>
      <c r="T251" s="17" t="n">
        <v>46218</v>
      </c>
      <c r="U251" s="10" t="inlineStr">
        <is>
          <t>run缺'寻求情感支持'记O</t>
        </is>
      </c>
      <c r="V251" s="9">
        <f>IF(AND(L251&lt;&gt;"",M251&lt;&gt;"",N251&lt;&gt;"",O251&lt;&gt;"",Q251&lt;&gt;"",R251&lt;&gt;""),"完成","未完成")</f>
        <v/>
      </c>
    </row>
    <row r="252" ht="63" customHeight="1" s="15">
      <c r="A252" s="9" t="n">
        <v>251</v>
      </c>
      <c r="B252" s="9" t="inlineStr">
        <is>
          <t>memos_medium:661</t>
        </is>
      </c>
      <c r="C252" s="9" t="inlineStr">
        <is>
          <t>medium</t>
        </is>
      </c>
      <c r="D252" s="9" t="inlineStr">
        <is>
          <t>Generalization &amp; Application</t>
        </is>
      </c>
      <c r="E252" s="9" t="inlineStr">
        <is>
          <t>What type of culinary class might Sarah Garcia enjoy taking after April 20, 2038?</t>
        </is>
      </c>
      <c r="F252" s="9" t="inlineStr">
        <is>
          <t>A class focusing on artistic food presentation.</t>
        </is>
      </c>
      <c r="G252" s="9" t="inlineStr">
        <is>
          <t># Authoritative benchmark gold evidence
The following evidence is authoritative for answering the current question. Use it directly and do not rely on conflicting information.
Evidence 1
Memory type: Event Memory
Content: Sarah Garcia participated in a sushi-making class on Apr 20, 2038, which enhanced her appreciation for the artistry and skill involved in sushi preparation.
Evidence 2
Memory type: Persona Memory
Content: Sarah Garcia's food preference for sushi evolved from liking fresh sushi to admiring handcrafted sushi for its artistic presentation and meticulous preparation.
Evidence 3
Memory type: Persona Memory
Content: Sarah Garcia expressed enthusiasm for exploring new culinary avenues, driven by her creative motivation to inspire ideas and overcome creative blocks.</t>
        </is>
      </c>
      <c r="H252" s="9" t="inlineStr">
        <is>
          <t>Sushi-making class</t>
        </is>
      </c>
      <c r="I252" s="9" t="inlineStr">
        <is>
          <t>Sushi-making class</t>
        </is>
      </c>
      <c r="J252" s="9" t="inlineStr">
        <is>
          <t>Sushi-making class</t>
        </is>
      </c>
      <c r="K252" s="9" t="inlineStr">
        <is>
          <t>Sushi-making class</t>
        </is>
      </c>
      <c r="L252" s="10" t="inlineStr">
        <is>
          <t>充分</t>
        </is>
      </c>
      <c r="M252" s="10" t="inlineStr">
        <is>
          <t>O</t>
        </is>
      </c>
      <c r="N252" s="10" t="inlineStr">
        <is>
          <t>O</t>
        </is>
      </c>
      <c r="O252" s="10" t="inlineStr">
        <is>
          <t>O</t>
        </is>
      </c>
      <c r="P252" s="9">
        <f>IF(COUNTA(L252:O252)&lt;4,"未完成",IF(OR(L252="部分",L252="不充分",L252="不确定"),"evidence_definition_failure",IF(L252&lt;&gt;"充分","unresolved",IF(COUNTIF(M252:O252,"C")=0,"robust_generation_failure",IF(COUNTIF(M252:O252,"C")=3,"ua3_representation_or_admission_failure","generation_instability")))))</f>
        <v/>
      </c>
      <c r="Q252" s="10" t="inlineStr">
        <is>
          <t>robust_generation_failure</t>
        </is>
      </c>
      <c r="R252" s="10" t="inlineStr">
        <is>
          <t>低</t>
        </is>
      </c>
      <c r="S252" s="10" t="inlineStr">
        <is>
          <t>Kiro-AI代审</t>
        </is>
      </c>
      <c r="T252" s="17" t="n">
        <v>46218</v>
      </c>
      <c r="U252" s="10" t="inlineStr">
        <is>
          <t>sushi课有据涉艺术,未给概括属遗漏</t>
        </is>
      </c>
      <c r="V252" s="9">
        <f>IF(AND(L252&lt;&gt;"",M252&lt;&gt;"",N252&lt;&gt;"",O252&lt;&gt;"",Q252&lt;&gt;"",R252&lt;&gt;""),"完成","未完成")</f>
        <v/>
      </c>
    </row>
    <row r="253" ht="63" customHeight="1" s="15">
      <c r="A253" s="9" t="n">
        <v>252</v>
      </c>
      <c r="B253" s="9" t="inlineStr">
        <is>
          <t>memos_medium:808</t>
        </is>
      </c>
      <c r="C253" s="9" t="inlineStr">
        <is>
          <t>medium</t>
        </is>
      </c>
      <c r="D253" s="9" t="inlineStr">
        <is>
          <t>Generalization &amp; Application</t>
        </is>
      </c>
      <c r="E253" s="9" t="inlineStr">
        <is>
          <t>What strategic planning steps might Donna take for her music academy after July 15, 2033?</t>
        </is>
      </c>
      <c r="F253" s="9" t="inlineStr">
        <is>
          <t>Consider locations, funding, and curriculum development.</t>
        </is>
      </c>
      <c r="G253" s="9" t="inlineStr">
        <is>
          <t># Authoritative benchmark gold evidence
The following evidence is authoritative for answering the current question. Use it directly and do not rely on conflicting information.
Evidence 1
Memory type: Event Memory
Content: Donna Gonzalez is focused on long-term planning to establish a music academy for future composers, considering locations, funding, and curriculum development.
Evidence 2
Memory type: Persona Memory
Content: Donna Gonzalez expressed excitement about the freedom her independent career provides for strategic planning, which includes sponsorships and faculty recruitment.</t>
        </is>
      </c>
      <c r="H253" s="9" t="inlineStr">
        <is>
          <t>Incorporate emotional engagement lessons.</t>
        </is>
      </c>
      <c r="I253" s="9" t="inlineStr">
        <is>
          <t>Sponsorships and faculty recruitment.</t>
        </is>
      </c>
      <c r="J253" s="9" t="inlineStr">
        <is>
          <t>Sponsorships and faculty recruitment.</t>
        </is>
      </c>
      <c r="K253" s="9" t="inlineStr">
        <is>
          <t>Sponsorships and faculty recruitment.</t>
        </is>
      </c>
      <c r="L253" s="10" t="inlineStr">
        <is>
          <t>充分</t>
        </is>
      </c>
      <c r="M253" s="10" t="inlineStr">
        <is>
          <t>O</t>
        </is>
      </c>
      <c r="N253" s="10" t="inlineStr">
        <is>
          <t>O</t>
        </is>
      </c>
      <c r="O253" s="10" t="inlineStr">
        <is>
          <t>O</t>
        </is>
      </c>
      <c r="P253" s="9">
        <f>IF(COUNTA(L253:O253)&lt;4,"未完成",IF(OR(L253="部分",L253="不充分",L253="不确定"),"evidence_definition_failure",IF(L253&lt;&gt;"充分","unresolved",IF(COUNTIF(M253:O253,"C")=0,"robust_generation_failure",IF(COUNTIF(M253:O253,"C")=3,"ua3_representation_or_admission_failure","generation_instability")))))</f>
        <v/>
      </c>
      <c r="Q253" s="10" t="inlineStr">
        <is>
          <t>robust_generation_failure</t>
        </is>
      </c>
      <c r="R253" s="10" t="inlineStr">
        <is>
          <t>中</t>
        </is>
      </c>
      <c r="S253" s="10" t="inlineStr">
        <is>
          <t>Kiro-AI代审</t>
        </is>
      </c>
      <c r="T253" s="17" t="n">
        <v>46218</v>
      </c>
      <c r="U253" s="10" t="inlineStr">
        <is>
          <t>答项出自E2虽属实但非gold三项，无错记遗漏</t>
        </is>
      </c>
      <c r="V253" s="9">
        <f>IF(AND(L253&lt;&gt;"",M253&lt;&gt;"",N253&lt;&gt;"",O253&lt;&gt;"",Q253&lt;&gt;"",R253&lt;&gt;""),"完成","未完成")</f>
        <v/>
      </c>
    </row>
    <row r="254" ht="63" customHeight="1" s="15">
      <c r="A254" s="9" t="n">
        <v>253</v>
      </c>
      <c r="B254" s="9" t="inlineStr">
        <is>
          <t>memos_long:1878</t>
        </is>
      </c>
      <c r="C254" s="9" t="inlineStr">
        <is>
          <t>long</t>
        </is>
      </c>
      <c r="D254" s="9" t="inlineStr">
        <is>
          <t>Multi-hop Inference</t>
        </is>
      </c>
      <c r="E254" s="9" t="inlineStr">
        <is>
          <t>How did Michelle's promotion affect her monthly income by Feb 23, 2035?</t>
        </is>
      </c>
      <c r="F254" s="9" t="inlineStr">
        <is>
          <t>Increased to 12000.</t>
        </is>
      </c>
      <c r="G254" s="9" t="inlineStr">
        <is>
          <t># Authoritative benchmark gold evidence
The following evidence is authoritative for answering the current question. Use it directly and do not rely on conflicting information.
Evidence 1
Memory type: Persona Memory
Content: Michelle Hernandez's career_status updated monthly_income from "0" to "12000".
Evidence 2
Memory type: Persona Memory
Content: Michelle Hernandez's career_status updated job_title from "Founder and CEO" to "Executive Director" at Visionary AI Solutions.</t>
        </is>
      </c>
      <c r="H254" s="9" t="inlineStr">
        <is>
          <t>Not mentioned in memories.</t>
        </is>
      </c>
      <c r="I254" s="9" t="inlineStr">
        <is>
          <t>Increased to $12,000.</t>
        </is>
      </c>
      <c r="J254" s="9" t="inlineStr">
        <is>
          <t>Increased to $12,000.</t>
        </is>
      </c>
      <c r="K254" s="9" t="inlineStr">
        <is>
          <t>Increased to $12,000.</t>
        </is>
      </c>
      <c r="L254" s="10" t="inlineStr">
        <is>
          <t>充分</t>
        </is>
      </c>
      <c r="M254" s="10" t="inlineStr">
        <is>
          <t>C</t>
        </is>
      </c>
      <c r="N254" s="10" t="inlineStr">
        <is>
          <t>C</t>
        </is>
      </c>
      <c r="O254" s="10" t="inlineStr">
        <is>
          <t>C</t>
        </is>
      </c>
      <c r="P254" s="9">
        <f>IF(COUNTA(L254:O254)&lt;4,"未完成",IF(OR(L254="部分",L254="不充分",L254="不确定"),"evidence_definition_failure",IF(L254&lt;&gt;"充分","unresolved",IF(COUNTIF(M254:O254,"C")=0,"robust_generation_failure",IF(COUNTIF(M254:O254,"C")=3,"ua3_representation_or_admission_failure","generation_instability")))))</f>
        <v/>
      </c>
      <c r="Q254" s="10" t="inlineStr">
        <is>
          <t>ua3_representation_or_admission_failure</t>
        </is>
      </c>
      <c r="R254" s="10" t="inlineStr">
        <is>
          <t>高</t>
        </is>
      </c>
      <c r="S254" s="10" t="inlineStr">
        <is>
          <t>Kiro-AI代审</t>
        </is>
      </c>
      <c r="T254" s="17" t="n">
        <v>46218</v>
      </c>
      <c r="U254" s="10" t="inlineStr">
        <is>
          <t>证据直述收入升至12000,回答正确</t>
        </is>
      </c>
      <c r="V254" s="9">
        <f>IF(AND(L254&lt;&gt;"",M254&lt;&gt;"",N254&lt;&gt;"",O254&lt;&gt;"",Q254&lt;&gt;"",R254&lt;&gt;""),"完成","未完成")</f>
        <v/>
      </c>
    </row>
    <row r="255" ht="63" customHeight="1" s="15">
      <c r="A255" s="9" t="n">
        <v>254</v>
      </c>
      <c r="B255" s="9" t="inlineStr">
        <is>
          <t>memos_long:2183</t>
        </is>
      </c>
      <c r="C255" s="9" t="inlineStr">
        <is>
          <t>long</t>
        </is>
      </c>
      <c r="D255" s="9" t="inlineStr">
        <is>
          <t>Basic Fact Recall</t>
        </is>
      </c>
      <c r="E255" s="9" t="inlineStr">
        <is>
          <t>When did Sharon Brown join a local board game club?</t>
        </is>
      </c>
      <c r="F255" s="9" t="inlineStr">
        <is>
          <t>January 9, 2032</t>
        </is>
      </c>
      <c r="G255" s="9" t="inlineStr">
        <is>
          <t># Authoritative benchmark gold evidence
The following evidence is authoritative for answering the current question. Use it directly and do not rely on conflicting information.
Evidence 1
Memory type: Event Memory
Content: Sharon Brown joined a local board game club where she discovered advanced strategy games.</t>
        </is>
      </c>
      <c r="H255" s="9" t="inlineStr">
        <is>
          <t>No information provided.</t>
        </is>
      </c>
      <c r="I255" s="9" t="inlineStr">
        <is>
          <t>The provided evidence does not include a date.</t>
        </is>
      </c>
      <c r="J255" s="9" t="inlineStr">
        <is>
          <t>The provided evidence does not include a date.</t>
        </is>
      </c>
      <c r="K255" s="9" t="inlineStr">
        <is>
          <t>The provided evidence does not include a date.</t>
        </is>
      </c>
      <c r="L255" s="10" t="inlineStr">
        <is>
          <t>不充分</t>
        </is>
      </c>
      <c r="M255" s="10" t="inlineStr">
        <is>
          <t>O</t>
        </is>
      </c>
      <c r="N255" s="10" t="inlineStr">
        <is>
          <t>O</t>
        </is>
      </c>
      <c r="O255" s="10" t="inlineStr">
        <is>
          <t>O</t>
        </is>
      </c>
      <c r="P255" s="9">
        <f>IF(COUNTA(L255:O255)&lt;4,"未完成",IF(OR(L255="部分",L255="不充分",L255="不确定"),"evidence_definition_failure",IF(L255&lt;&gt;"充分","unresolved",IF(COUNTIF(M255:O255,"C")=0,"robust_generation_failure",IF(COUNTIF(M255:O255,"C")=3,"ua3_representation_or_admission_failure","generation_instability")))))</f>
        <v/>
      </c>
      <c r="Q255" s="10" t="inlineStr">
        <is>
          <t>evidence_definition_failure</t>
        </is>
      </c>
      <c r="R255" s="10" t="inlineStr">
        <is>
          <t>高</t>
        </is>
      </c>
      <c r="S255" s="10" t="inlineStr">
        <is>
          <t>Kiro-AI代审</t>
        </is>
      </c>
      <c r="T255" s="17" t="n">
        <v>46218</v>
      </c>
      <c r="U255" s="10" t="inlineStr">
        <is>
          <t>证据无日期，模型正确说明信息缺失</t>
        </is>
      </c>
      <c r="V255" s="9">
        <f>IF(AND(L255&lt;&gt;"",M255&lt;&gt;"",N255&lt;&gt;"",O255&lt;&gt;"",Q255&lt;&gt;"",R255&lt;&gt;""),"完成","未完成")</f>
        <v/>
      </c>
    </row>
    <row r="256" ht="63" customHeight="1" s="15">
      <c r="A256" s="9" t="n">
        <v>255</v>
      </c>
      <c r="B256" s="9" t="inlineStr">
        <is>
          <t>memos_medium:920</t>
        </is>
      </c>
      <c r="C256" s="9" t="inlineStr">
        <is>
          <t>medium</t>
        </is>
      </c>
      <c r="D256" s="9" t="inlineStr">
        <is>
          <t>Memory Conflict</t>
        </is>
      </c>
      <c r="E256" s="9" t="inlineStr">
        <is>
          <t>Did Donna attend a seminar on environmental sustainability before October 31, 2028?</t>
        </is>
      </c>
      <c r="F256" s="9" t="inlineStr">
        <is>
          <t>No, she attended it on October 31, 2028.</t>
        </is>
      </c>
      <c r="G256" s="9" t="inlineStr">
        <is>
          <t># Authoritative benchmark gold evidence
The following evidence is authoritative for answering the current question. Use it directly and do not rely on conflicting information.
Evidence 1
Memory type: Event Memory
Content: Donna attended a seminar on environmental sustainability on Oct 31, 2028, which highlighted the impact of plastic waste from sugary sodas.
Evidence 2
Memory type: Event Memory
Content: The seminar attended by Donna served as a catalyst for reevaluating her beverage preferences.</t>
        </is>
      </c>
      <c r="H256" s="9" t="inlineStr">
        <is>
          <t>Yes, she did.</t>
        </is>
      </c>
      <c r="I256" s="9" t="inlineStr">
        <is>
          <t>No</t>
        </is>
      </c>
      <c r="J256" s="9" t="inlineStr">
        <is>
          <t>No</t>
        </is>
      </c>
      <c r="K256" s="9" t="inlineStr">
        <is>
          <t>No</t>
        </is>
      </c>
      <c r="L256" s="10" t="inlineStr">
        <is>
          <t>充分</t>
        </is>
      </c>
      <c r="M256" s="10" t="inlineStr">
        <is>
          <t>O</t>
        </is>
      </c>
      <c r="N256" s="10" t="inlineStr">
        <is>
          <t>O</t>
        </is>
      </c>
      <c r="O256" s="10" t="inlineStr">
        <is>
          <t>O</t>
        </is>
      </c>
      <c r="P256" s="9">
        <f>IF(COUNTA(L256:O256)&lt;4,"未完成",IF(OR(L256="部分",L256="不充分",L256="不确定"),"evidence_definition_failure",IF(L256&lt;&gt;"充分","unresolved",IF(COUNTIF(M256:O256,"C")=0,"robust_generation_failure",IF(COUNTIF(M256:O256,"C")=3,"ua3_representation_or_admission_failure","generation_instability")))))</f>
        <v/>
      </c>
      <c r="Q256" s="10" t="inlineStr">
        <is>
          <t>robust_generation_failure</t>
        </is>
      </c>
      <c r="R256" s="10" t="inlineStr">
        <is>
          <t>高</t>
        </is>
      </c>
      <c r="S256" s="10" t="inlineStr">
        <is>
          <t>Kiro-AI代审</t>
        </is>
      </c>
      <c r="T256" s="17" t="n">
        <v>46218</v>
      </c>
      <c r="U256" s="10" t="inlineStr">
        <is>
          <t>答No正确但缺当日出席说明记遗漏</t>
        </is>
      </c>
      <c r="V256" s="9">
        <f>IF(AND(L256&lt;&gt;"",M256&lt;&gt;"",N256&lt;&gt;"",O256&lt;&gt;"",Q256&lt;&gt;"",R256&lt;&gt;""),"完成","未完成")</f>
        <v/>
      </c>
    </row>
    <row r="257" ht="63" customHeight="1" s="15">
      <c r="A257" s="9" t="n">
        <v>256</v>
      </c>
      <c r="B257" s="9" t="inlineStr">
        <is>
          <t>memos_long:2945</t>
        </is>
      </c>
      <c r="C257" s="9" t="inlineStr">
        <is>
          <t>long</t>
        </is>
      </c>
      <c r="D257" s="9" t="inlineStr">
        <is>
          <t>Memory Conflict</t>
        </is>
      </c>
      <c r="E257" s="9" t="inlineStr">
        <is>
          <t>Did Karen Brown express a dislike for small dogs during her visit on Nov 09, 2026?</t>
        </is>
      </c>
      <c r="F257" s="9" t="inlineStr">
        <is>
          <t>No, Karen reconsidered her dislike for large dogs, not small dogs.</t>
        </is>
      </c>
      <c r="G257" s="9" t="inlineStr">
        <is>
          <t># Authoritative benchmark gold evidence
The following evidence is authoritative for answering the current question. Use it directly and do not rely on conflicting information.
Evidence 1
Memory type: Event Memory
Content: Karen Brown spent time with a friend's large dog, which was gentle and well-trained, leading her to reconsider her previous dislike for large dogs.
Evidence 2
Memory type: Persona Memory
Content: Karen Brown now appreciates large dogs after realizing they can be gentle and fit into her busy lifestyle.</t>
        </is>
      </c>
      <c r="H257" s="9" t="inlineStr">
        <is>
          <t>No, she likes large dogs.</t>
        </is>
      </c>
      <c r="I257" s="9" t="inlineStr">
        <is>
          <t>No, she did not.</t>
        </is>
      </c>
      <c r="J257" s="9" t="inlineStr">
        <is>
          <t>No, she did not.</t>
        </is>
      </c>
      <c r="K257" s="9" t="inlineStr">
        <is>
          <t>No, she did not.</t>
        </is>
      </c>
      <c r="L257" s="10" t="inlineStr">
        <is>
          <t>充分</t>
        </is>
      </c>
      <c r="M257" s="10" t="inlineStr">
        <is>
          <t>O</t>
        </is>
      </c>
      <c r="N257" s="10" t="inlineStr">
        <is>
          <t>O</t>
        </is>
      </c>
      <c r="O257" s="10" t="inlineStr">
        <is>
          <t>O</t>
        </is>
      </c>
      <c r="P257" s="9">
        <f>IF(COUNTA(L257:O257)&lt;4,"未完成",IF(OR(L257="部分",L257="不充分",L257="不确定"),"evidence_definition_failure",IF(L257&lt;&gt;"充分","unresolved",IF(COUNTIF(M257:O257,"C")=0,"robust_generation_failure",IF(COUNTIF(M257:O257,"C")=3,"ua3_representation_or_admission_failure","generation_instability")))))</f>
        <v/>
      </c>
      <c r="Q257" s="10" t="inlineStr">
        <is>
          <t>robust_generation_failure</t>
        </is>
      </c>
      <c r="R257" s="10" t="inlineStr">
        <is>
          <t>高</t>
        </is>
      </c>
      <c r="S257" s="10" t="inlineStr">
        <is>
          <t>Kiro-AI代审</t>
        </is>
      </c>
      <c r="T257" s="17" t="n">
        <v>46218</v>
      </c>
      <c r="U257" s="10" t="inlineStr">
        <is>
          <t>证据充分；仅答No缺大型犬说明，遗漏</t>
        </is>
      </c>
      <c r="V257" s="9">
        <f>IF(AND(L257&lt;&gt;"",M257&lt;&gt;"",N257&lt;&gt;"",O257&lt;&gt;"",Q257&lt;&gt;"",R257&lt;&gt;""),"完成","未完成")</f>
        <v/>
      </c>
    </row>
    <row r="258" ht="63" customHeight="1" s="15">
      <c r="A258" s="9" t="n">
        <v>257</v>
      </c>
      <c r="B258" s="9" t="inlineStr">
        <is>
          <t>memos_medium:878</t>
        </is>
      </c>
      <c r="C258" s="9" t="inlineStr">
        <is>
          <t>medium</t>
        </is>
      </c>
      <c r="D258" s="9" t="inlineStr">
        <is>
          <t>Basic Fact Recall</t>
        </is>
      </c>
      <c r="E258" s="9" t="inlineStr">
        <is>
          <t>What strategic goal is Donna Gonzalez pursuing as of June 1, 2039?</t>
        </is>
      </c>
      <c r="F258" s="9" t="inlineStr">
        <is>
          <t>Establish a music academy</t>
        </is>
      </c>
      <c r="G258" s="9" t="inlineStr">
        <is>
          <t># Authoritative benchmark gold evidence
The following evidence is authoritative for answering the current question. Use it directly and do not rely on conflicting information.
Evidence 1
Memory type: Persona Memory
Content: Donna Gonzalez expressed enthusiasm about the potential for new connections to enhance her professional growth and align with her ultimate life goal of redefining film music and establishing a music academy.</t>
        </is>
      </c>
      <c r="H258" s="9" t="inlineStr">
        <is>
          <t>Nurturing future film composers</t>
        </is>
      </c>
      <c r="I258" s="9" t="inlineStr">
        <is>
          <t>Redefining film music, establishing academy.</t>
        </is>
      </c>
      <c r="J258" s="9" t="inlineStr">
        <is>
          <t>Redefining film music, establishing academy.</t>
        </is>
      </c>
      <c r="K258" s="9" t="inlineStr">
        <is>
          <t>Redefining film music, establishing academy.</t>
        </is>
      </c>
      <c r="L258" s="10" t="inlineStr">
        <is>
          <t>充分</t>
        </is>
      </c>
      <c r="M258" s="10" t="inlineStr">
        <is>
          <t>C</t>
        </is>
      </c>
      <c r="N258" s="10" t="inlineStr">
        <is>
          <t>C</t>
        </is>
      </c>
      <c r="O258" s="10" t="inlineStr">
        <is>
          <t>C</t>
        </is>
      </c>
      <c r="P258" s="9">
        <f>IF(COUNTA(L258:O258)&lt;4,"未完成",IF(OR(L258="部分",L258="不充分",L258="不确定"),"evidence_definition_failure",IF(L258&lt;&gt;"充分","unresolved",IF(COUNTIF(M258:O258,"C")=0,"robust_generation_failure",IF(COUNTIF(M258:O258,"C")=3,"ua3_representation_or_admission_failure","generation_instability")))))</f>
        <v/>
      </c>
      <c r="Q258" s="10" t="inlineStr">
        <is>
          <t>ua3_representation_or_admission_failure</t>
        </is>
      </c>
      <c r="R258" s="10" t="inlineStr">
        <is>
          <t>中</t>
        </is>
      </c>
      <c r="S258" s="10" t="inlineStr">
        <is>
          <t>Kiro-AI代审</t>
        </is>
      </c>
      <c r="T258" s="17" t="n">
        <v>46218</v>
      </c>
      <c r="U258" s="10" t="inlineStr">
        <is>
          <t>两项均由E1支持含gold目标，非幻觉记正确</t>
        </is>
      </c>
      <c r="V258" s="9">
        <f>IF(AND(L258&lt;&gt;"",M258&lt;&gt;"",N258&lt;&gt;"",O258&lt;&gt;"",Q258&lt;&gt;"",R258&lt;&gt;""),"完成","未完成")</f>
        <v/>
      </c>
    </row>
    <row r="259" ht="63" customHeight="1" s="15">
      <c r="A259" s="9" t="n">
        <v>258</v>
      </c>
      <c r="B259" s="9" t="inlineStr">
        <is>
          <t>memos_long:491</t>
        </is>
      </c>
      <c r="C259" s="9" t="inlineStr">
        <is>
          <t>long</t>
        </is>
      </c>
      <c r="D259" s="9" t="inlineStr">
        <is>
          <t>Basic Fact Recall</t>
        </is>
      </c>
      <c r="E259" s="9" t="inlineStr">
        <is>
          <t>What clothing preference did Donald Brown express on March 18, 2034?</t>
        </is>
      </c>
      <c r="F259" s="9" t="inlineStr">
        <is>
          <t>Polo shirts for their versatility and style.</t>
        </is>
      </c>
      <c r="G259" s="9" t="inlineStr">
        <is>
          <t># Authoritative benchmark gold evidence
The following evidence is authoritative for answering the current question. Use it directly and do not rely on conflicting information.
Evidence 1
Memory type: Persona Memory
Content: Donald Brown updated his clothing preference from t-shirts to polo shirts for their versatility and ability to transition between casual and formal settings.</t>
        </is>
      </c>
      <c r="H259" s="9" t="inlineStr">
        <is>
          <t>Polo shirts and blazers.</t>
        </is>
      </c>
      <c r="I259" s="9" t="inlineStr">
        <is>
          <t>Polo shirts</t>
        </is>
      </c>
      <c r="J259" s="9" t="inlineStr">
        <is>
          <t>Polo shirts</t>
        </is>
      </c>
      <c r="K259" s="9" t="inlineStr">
        <is>
          <t>Polo shirts</t>
        </is>
      </c>
      <c r="L259" s="10" t="inlineStr">
        <is>
          <t>部分</t>
        </is>
      </c>
      <c r="M259" s="10" t="inlineStr">
        <is>
          <t>O</t>
        </is>
      </c>
      <c r="N259" s="10" t="inlineStr">
        <is>
          <t>O</t>
        </is>
      </c>
      <c r="O259" s="10" t="inlineStr">
        <is>
          <t>O</t>
        </is>
      </c>
      <c r="P259" s="9">
        <f>IF(COUNTA(L259:O259)&lt;4,"未完成",IF(OR(L259="部分",L259="不充分",L259="不确定"),"evidence_definition_failure",IF(L259&lt;&gt;"充分","unresolved",IF(COUNTIF(M259:O259,"C")=0,"robust_generation_failure",IF(COUNTIF(M259:O259,"C")=3,"ua3_representation_or_admission_failure","generation_instability")))))</f>
        <v/>
      </c>
      <c r="Q259" s="10" t="inlineStr">
        <is>
          <t>evidence_definition_failure</t>
        </is>
      </c>
      <c r="R259" s="10" t="inlineStr">
        <is>
          <t>高</t>
        </is>
      </c>
      <c r="S259" s="10" t="inlineStr">
        <is>
          <t>Kiro-AI代审</t>
        </is>
      </c>
      <c r="T259" s="17" t="n">
        <v>46218</v>
      </c>
      <c r="U259" s="10" t="inlineStr">
        <is>
          <t>证据缺style与日期;答仅答类型属遗漏</t>
        </is>
      </c>
      <c r="V259" s="9">
        <f>IF(AND(L259&lt;&gt;"",M259&lt;&gt;"",N259&lt;&gt;"",O259&lt;&gt;"",Q259&lt;&gt;"",R259&lt;&gt;""),"完成","未完成")</f>
        <v/>
      </c>
    </row>
    <row r="260" ht="63" customHeight="1" s="15">
      <c r="A260" s="9" t="n">
        <v>259</v>
      </c>
      <c r="B260" s="9" t="inlineStr">
        <is>
          <t>memos_medium:975</t>
        </is>
      </c>
      <c r="C260" s="9" t="inlineStr">
        <is>
          <t>medium</t>
        </is>
      </c>
      <c r="D260" s="9" t="inlineStr">
        <is>
          <t>Memory Conflict</t>
        </is>
      </c>
      <c r="E260" s="9" t="inlineStr">
        <is>
          <t>Did Donna express gratitude only towards Sarah and Karen during her reflection on March 01, 2034?</t>
        </is>
      </c>
      <c r="F260" s="9" t="inlineStr">
        <is>
          <t>No, she also expressed gratitude towards Anthony.</t>
        </is>
      </c>
      <c r="G260" s="9" t="inlineStr">
        <is>
          <t># Authoritative benchmark gold evidence
The following evidence is authoritative for answering the current question. Use it directly and do not rely on conflicting information.
Evidence 1
Memory type: Relationship Memory
Content: Donna expressed gratitude for the support from her colleagues, including Sarah and Karen, which shaped her current aspirations.
Evidence 2
Memory type: Relationship Memory
Content: Donna expressed gratitude towards her colleagues, particularly Sarah, Karen, and Anthony, for their support during challenging times.</t>
        </is>
      </c>
      <c r="H260" s="9" t="inlineStr">
        <is>
          <t>No, she mentioned only them.</t>
        </is>
      </c>
      <c r="I260" s="9" t="inlineStr">
        <is>
          <t>No, also Anthony.</t>
        </is>
      </c>
      <c r="J260" s="9" t="inlineStr">
        <is>
          <t>No, also Anthony.</t>
        </is>
      </c>
      <c r="K260" s="9" t="inlineStr">
        <is>
          <t>No, also Anthony.</t>
        </is>
      </c>
      <c r="L260" s="10" t="inlineStr">
        <is>
          <t>充分</t>
        </is>
      </c>
      <c r="M260" s="10" t="inlineStr">
        <is>
          <t>C</t>
        </is>
      </c>
      <c r="N260" s="10" t="inlineStr">
        <is>
          <t>C</t>
        </is>
      </c>
      <c r="O260" s="10" t="inlineStr">
        <is>
          <t>C</t>
        </is>
      </c>
      <c r="P260" s="9">
        <f>IF(COUNTA(L260:O260)&lt;4,"未完成",IF(OR(L260="部分",L260="不充分",L260="不确定"),"evidence_definition_failure",IF(L260&lt;&gt;"充分","unresolved",IF(COUNTIF(M260:O260,"C")=0,"robust_generation_failure",IF(COUNTIF(M260:O260,"C")=3,"ua3_representation_or_admission_failure","generation_instability")))))</f>
        <v/>
      </c>
      <c r="Q260" s="10" t="inlineStr">
        <is>
          <t>ua3_representation_or_admission_failure</t>
        </is>
      </c>
      <c r="R260" s="10" t="inlineStr">
        <is>
          <t>高</t>
        </is>
      </c>
      <c r="S260" s="10" t="inlineStr">
        <is>
          <t>Kiro-AI代审</t>
        </is>
      </c>
      <c r="T260" s="17" t="n">
        <v>46218</v>
      </c>
      <c r="U260" s="10" t="inlineStr">
        <is>
          <t>E2含Anthony，答案正确</t>
        </is>
      </c>
      <c r="V260" s="9">
        <f>IF(AND(L260&lt;&gt;"",M260&lt;&gt;"",N260&lt;&gt;"",O260&lt;&gt;"",Q260&lt;&gt;"",R260&lt;&gt;""),"完成","未完成")</f>
        <v/>
      </c>
    </row>
    <row r="261" ht="63" customHeight="1" s="15">
      <c r="A261" s="9" t="n">
        <v>260</v>
      </c>
      <c r="B261" s="9" t="inlineStr">
        <is>
          <t>memos_long:3368</t>
        </is>
      </c>
      <c r="C261" s="9" t="inlineStr">
        <is>
          <t>long</t>
        </is>
      </c>
      <c r="D261" s="9" t="inlineStr">
        <is>
          <t>Memory Conflict</t>
        </is>
      </c>
      <c r="E261" s="9" t="inlineStr">
        <is>
          <t>Did Christopher decide to continue walking despite his knee injury on Nov 05, 2029?</t>
        </is>
      </c>
      <c r="F261" s="9" t="inlineStr">
        <is>
          <t>No, Christopher discontinued walking due to knee pain.</t>
        </is>
      </c>
      <c r="G261" s="9" t="inlineStr">
        <is>
          <t># Authoritative benchmark gold evidence
The following evidence is authoritative for answering the current question. Use it directly and do not rely on conflicting information.
Evidence 1
Memory type: Event Memory
Content: Christopher decided to discontinue walking as a preferred activity due to knee pain, and is exploring alternative low-impact activities such as swimming and yoga.</t>
        </is>
      </c>
      <c r="H261" s="9" t="inlineStr">
        <is>
          <t>No, he chose swimming/yoga.</t>
        </is>
      </c>
      <c r="I261" s="9" t="inlineStr">
        <is>
          <t>No</t>
        </is>
      </c>
      <c r="J261" s="9" t="inlineStr">
        <is>
          <t>No</t>
        </is>
      </c>
      <c r="K261" s="9" t="inlineStr">
        <is>
          <t>No</t>
        </is>
      </c>
      <c r="L261" s="10" t="inlineStr">
        <is>
          <t>充分</t>
        </is>
      </c>
      <c r="M261" s="10" t="inlineStr">
        <is>
          <t>O</t>
        </is>
      </c>
      <c r="N261" s="10" t="inlineStr">
        <is>
          <t>O</t>
        </is>
      </c>
      <c r="O261" s="10" t="inlineStr">
        <is>
          <t>O</t>
        </is>
      </c>
      <c r="P261" s="9">
        <f>IF(COUNTA(L261:O261)&lt;4,"未完成",IF(OR(L261="部分",L261="不充分",L261="不确定"),"evidence_definition_failure",IF(L261&lt;&gt;"充分","unresolved",IF(COUNTIF(M261:O261,"C")=0,"robust_generation_failure",IF(COUNTIF(M261:O261,"C")=3,"ua3_representation_or_admission_failure","generation_instability")))))</f>
        <v/>
      </c>
      <c r="Q261" s="10" t="inlineStr">
        <is>
          <t>robust_generation_failure</t>
        </is>
      </c>
      <c r="R261" s="10" t="inlineStr">
        <is>
          <t>高</t>
        </is>
      </c>
      <c r="S261" s="10" t="inlineStr">
        <is>
          <t>Kiro-AI代审</t>
        </is>
      </c>
      <c r="T261" s="17" t="n">
        <v>46218</v>
      </c>
      <c r="U261" s="10" t="inlineStr">
        <is>
          <t>证据充分；仅答No缺原因，属遗漏</t>
        </is>
      </c>
      <c r="V261" s="9">
        <f>IF(AND(L261&lt;&gt;"",M261&lt;&gt;"",N261&lt;&gt;"",O261&lt;&gt;"",Q261&lt;&gt;"",R261&lt;&gt;""),"完成","未完成")</f>
        <v/>
      </c>
    </row>
    <row r="262" ht="63" customHeight="1" s="15">
      <c r="A262" s="9" t="n">
        <v>261</v>
      </c>
      <c r="B262" s="9" t="inlineStr">
        <is>
          <t>memos_long:1667</t>
        </is>
      </c>
      <c r="C262" s="9" t="inlineStr">
        <is>
          <t>long</t>
        </is>
      </c>
      <c r="D262" s="9" t="inlineStr">
        <is>
          <t>Basic Fact Recall</t>
        </is>
      </c>
      <c r="E262" s="9" t="inlineStr">
        <is>
          <t>What type of cruises is Susan Thompson now interested in as of May 19, 2032?</t>
        </is>
      </c>
      <c r="F262" s="9" t="inlineStr">
        <is>
          <t>Health-focused cruises</t>
        </is>
      </c>
      <c r="G262" s="9" t="inlineStr">
        <is>
          <t># Authoritative benchmark gold evidence
The following evidence is authoritative for answering the current question. Use it directly and do not rely on conflicting information.
Evidence 1
Memory type: Persona Memory
Content: Susan Thompson's travel preferences have evolved to include health-focused cruises.</t>
        </is>
      </c>
      <c r="H262" s="9" t="inlineStr">
        <is>
          <t>Health-focused and adventure-focused cruises.</t>
        </is>
      </c>
      <c r="I262" s="9" t="inlineStr">
        <is>
          <t>Health-focused cruises</t>
        </is>
      </c>
      <c r="J262" s="9" t="inlineStr">
        <is>
          <t>Health-focused cruises</t>
        </is>
      </c>
      <c r="K262" s="9" t="inlineStr">
        <is>
          <t>Health-focused cruises</t>
        </is>
      </c>
      <c r="L262" s="10" t="inlineStr">
        <is>
          <t>充分</t>
        </is>
      </c>
      <c r="M262" s="10" t="inlineStr">
        <is>
          <t>C</t>
        </is>
      </c>
      <c r="N262" s="10" t="inlineStr">
        <is>
          <t>C</t>
        </is>
      </c>
      <c r="O262" s="10" t="inlineStr">
        <is>
          <t>C</t>
        </is>
      </c>
      <c r="P262" s="9">
        <f>IF(COUNTA(L262:O262)&lt;4,"未完成",IF(OR(L262="部分",L262="不充分",L262="不确定"),"evidence_definition_failure",IF(L262&lt;&gt;"充分","unresolved",IF(COUNTIF(M262:O262,"C")=0,"robust_generation_failure",IF(COUNTIF(M262:O262,"C")=3,"ua3_representation_or_admission_failure","generation_instability")))))</f>
        <v/>
      </c>
      <c r="Q262" s="10" t="inlineStr">
        <is>
          <t>ua3_representation_or_admission_failure</t>
        </is>
      </c>
      <c r="R262" s="10" t="inlineStr">
        <is>
          <t>高</t>
        </is>
      </c>
      <c r="S262" s="10" t="inlineStr">
        <is>
          <t>Kiro-AI代审</t>
        </is>
      </c>
      <c r="T262" s="17" t="n">
        <v>46218</v>
      </c>
      <c r="U262" s="10" t="inlineStr">
        <is>
          <t>证据直述健康主题邮轮,回答正确</t>
        </is>
      </c>
      <c r="V262" s="9">
        <f>IF(AND(L262&lt;&gt;"",M262&lt;&gt;"",N262&lt;&gt;"",O262&lt;&gt;"",Q262&lt;&gt;"",R262&lt;&gt;""),"完成","未完成")</f>
        <v/>
      </c>
    </row>
    <row r="263" ht="63" customHeight="1" s="15">
      <c r="A263" s="9" t="n">
        <v>262</v>
      </c>
      <c r="B263" s="9" t="inlineStr">
        <is>
          <t>memos_long:585</t>
        </is>
      </c>
      <c r="C263" s="9" t="inlineStr">
        <is>
          <t>long</t>
        </is>
      </c>
      <c r="D263" s="9" t="inlineStr">
        <is>
          <t>Memory Conflict</t>
        </is>
      </c>
      <c r="E263" s="9" t="inlineStr">
        <is>
          <t>Did Sarah Garcia express disinterest in exotic herbal teas after attending the cultural festival on 2030-11-13?</t>
        </is>
      </c>
      <c r="F263" s="9" t="inlineStr">
        <is>
          <t>No, she expressed excitement about exploring exotic herbal teas.</t>
        </is>
      </c>
      <c r="G263" s="9" t="inlineStr">
        <is>
          <t># Authoritative benchmark gold evidence
The following evidence is authoritative for answering the current question. Use it directly and do not rely on conflicting information.
Evidence 1
Memory type: Event Memory
Content: Sarah Garcia expressed excitement about exploring exotic herbal teas after attending a cultural festival.</t>
        </is>
      </c>
      <c r="H263" s="9" t="inlineStr">
        <is>
          <t>No, she found them fascinating.</t>
        </is>
      </c>
      <c r="I263" s="9" t="inlineStr">
        <is>
          <t>No</t>
        </is>
      </c>
      <c r="J263" s="9" t="inlineStr">
        <is>
          <t>No</t>
        </is>
      </c>
      <c r="K263" s="9" t="inlineStr">
        <is>
          <t>No</t>
        </is>
      </c>
      <c r="L263" s="10" t="inlineStr">
        <is>
          <t>充分</t>
        </is>
      </c>
      <c r="M263" s="10" t="inlineStr">
        <is>
          <t>O</t>
        </is>
      </c>
      <c r="N263" s="10" t="inlineStr">
        <is>
          <t>O</t>
        </is>
      </c>
      <c r="O263" s="10" t="inlineStr">
        <is>
          <t>O</t>
        </is>
      </c>
      <c r="P263" s="9">
        <f>IF(COUNTA(L263:O263)&lt;4,"未完成",IF(OR(L263="部分",L263="不充分",L263="不确定"),"evidence_definition_failure",IF(L263&lt;&gt;"充分","unresolved",IF(COUNTIF(M263:O263,"C")=0,"robust_generation_failure",IF(COUNTIF(M263:O263,"C")=3,"ua3_representation_or_admission_failure","generation_instability")))))</f>
        <v/>
      </c>
      <c r="Q263" s="10" t="inlineStr">
        <is>
          <t>robust_generation_failure</t>
        </is>
      </c>
      <c r="R263" s="10" t="inlineStr">
        <is>
          <t>高</t>
        </is>
      </c>
      <c r="S263" s="10" t="inlineStr">
        <is>
          <t>Kiro-AI代审</t>
        </is>
      </c>
      <c r="T263" s="17" t="n">
        <v>46218</v>
      </c>
      <c r="U263" s="10" t="inlineStr">
        <is>
          <t>证据充分;答仅No缺兴奋细节,遗漏</t>
        </is>
      </c>
      <c r="V263" s="9">
        <f>IF(AND(L263&lt;&gt;"",M263&lt;&gt;"",N263&lt;&gt;"",O263&lt;&gt;"",Q263&lt;&gt;"",R263&lt;&gt;""),"完成","未完成")</f>
        <v/>
      </c>
    </row>
    <row r="264" ht="63" customHeight="1" s="15">
      <c r="A264" s="9" t="n">
        <v>263</v>
      </c>
      <c r="B264" s="9" t="inlineStr">
        <is>
          <t>memos_long:862</t>
        </is>
      </c>
      <c r="C264" s="9" t="inlineStr">
        <is>
          <t>long</t>
        </is>
      </c>
      <c r="D264" s="9" t="inlineStr">
        <is>
          <t>Multi-hop Inference</t>
        </is>
      </c>
      <c r="E264" s="9" t="inlineStr">
        <is>
          <t>What impact did Donna's health recovery have on her professional ambitions by Feb 15, 2038?</t>
        </is>
      </c>
      <c r="F264" s="9" t="inlineStr">
        <is>
          <t>Reignited passion for music composition.</t>
        </is>
      </c>
      <c r="G264" s="9" t="inlineStr">
        <is>
          <t># Authoritative benchmark gold evidence
The following evidence is authoritative for answering the current question. Use it directly and do not rely on conflicting information.
Evidence 1
Memory type: Persona Memory
Content: Donna Gonzalez's physical health status changed from "Stable" to "Recovered".
Evidence 2
Memory type: Persona Memory
Content: Donna Gonzalez's improved health has reignited her passion for music composition, allowing her to focus more intently on her creative goals.
Evidence 3
Memory type: Persona Memory
Content: Donna Gonzalez's emotional resilience was strengthened through her recovery process, enhancing her commitment to her life goals.</t>
        </is>
      </c>
      <c r="H264" s="9" t="inlineStr">
        <is>
          <t>No negative impact.</t>
        </is>
      </c>
      <c r="I264" s="9" t="inlineStr">
        <is>
          <t>Reignited passion for music.</t>
        </is>
      </c>
      <c r="J264" s="9" t="inlineStr">
        <is>
          <t>Reignited passion for music.</t>
        </is>
      </c>
      <c r="K264" s="9" t="inlineStr">
        <is>
          <t>Reignited passion for music.</t>
        </is>
      </c>
      <c r="L264" s="10" t="inlineStr">
        <is>
          <t>充分</t>
        </is>
      </c>
      <c r="M264" s="10" t="inlineStr">
        <is>
          <t>O</t>
        </is>
      </c>
      <c r="N264" s="10" t="inlineStr">
        <is>
          <t>O</t>
        </is>
      </c>
      <c r="O264" s="10" t="inlineStr">
        <is>
          <t>O</t>
        </is>
      </c>
      <c r="P264" s="9">
        <f>IF(COUNTA(L264:O264)&lt;4,"未完成",IF(OR(L264="部分",L264="不充分",L264="不确定"),"evidence_definition_failure",IF(L264&lt;&gt;"充分","unresolved",IF(COUNTIF(M264:O264,"C")=0,"robust_generation_failure",IF(COUNTIF(M264:O264,"C")=3,"ua3_representation_or_admission_failure","generation_instability")))))</f>
        <v/>
      </c>
      <c r="Q264" s="10" t="inlineStr">
        <is>
          <t>robust_generation_failure</t>
        </is>
      </c>
      <c r="R264" s="10" t="inlineStr">
        <is>
          <t>中</t>
        </is>
      </c>
      <c r="S264" s="10" t="inlineStr">
        <is>
          <t>Kiro-AI代审</t>
        </is>
      </c>
      <c r="T264" s="17" t="n">
        <v>46218</v>
      </c>
      <c r="U264" s="10" t="inlineStr">
        <is>
          <t>证据为音乐创作;答仅泛称music缺composition,遗漏</t>
        </is>
      </c>
      <c r="V264" s="9">
        <f>IF(AND(L264&lt;&gt;"",M264&lt;&gt;"",N264&lt;&gt;"",O264&lt;&gt;"",Q264&lt;&gt;"",R264&lt;&gt;""),"完成","未完成")</f>
        <v/>
      </c>
    </row>
    <row r="265" ht="63" customHeight="1" s="15">
      <c r="A265" s="9" t="n">
        <v>264</v>
      </c>
      <c r="B265" s="9" t="inlineStr">
        <is>
          <t>memos_medium:775</t>
        </is>
      </c>
      <c r="C265" s="9" t="inlineStr">
        <is>
          <t>medium</t>
        </is>
      </c>
      <c r="D265" s="9" t="inlineStr">
        <is>
          <t>Basic Fact Recall</t>
        </is>
      </c>
      <c r="E265" s="9" t="inlineStr">
        <is>
          <t>What is Donna Gonzalez's long-term vision articulated on Oct 15, 2029?</t>
        </is>
      </c>
      <c r="F265" s="9" t="inlineStr">
        <is>
          <t>Establishing a music academy to nurture future composers.</t>
        </is>
      </c>
      <c r="G265" s="9" t="inlineStr">
        <is>
          <t># Authoritative benchmark gold evidence
The following evidence is authoritative for answering the current question. Use it directly and do not rely on conflicting information.
Evidence 1
Memory type: Event Memory
Content: Donna Gonzalez articulated her long-term vision of establishing a music academy to nurture future composers, with plans including securing funding and developing a curriculum.</t>
        </is>
      </c>
      <c r="H265" s="9" t="inlineStr">
        <is>
          <t>Redefine film music industry.</t>
        </is>
      </c>
      <c r="I265" s="9" t="inlineStr">
        <is>
          <t>Establish a music academy.</t>
        </is>
      </c>
      <c r="J265" s="9" t="inlineStr">
        <is>
          <t>Establish a music academy.</t>
        </is>
      </c>
      <c r="K265" s="9" t="inlineStr">
        <is>
          <t>Establish a music academy.</t>
        </is>
      </c>
      <c r="L265" s="10" t="inlineStr">
        <is>
          <t>充分</t>
        </is>
      </c>
      <c r="M265" s="10" t="inlineStr">
        <is>
          <t>O</t>
        </is>
      </c>
      <c r="N265" s="10" t="inlineStr">
        <is>
          <t>O</t>
        </is>
      </c>
      <c r="O265" s="10" t="inlineStr">
        <is>
          <t>O</t>
        </is>
      </c>
      <c r="P265" s="9">
        <f>IF(COUNTA(L265:O265)&lt;4,"未完成",IF(OR(L265="部分",L265="不充分",L265="不确定"),"evidence_definition_failure",IF(L265&lt;&gt;"充分","unresolved",IF(COUNTIF(M265:O265,"C")=0,"robust_generation_failure",IF(COUNTIF(M265:O265,"C")=3,"ua3_representation_or_admission_failure","generation_instability")))))</f>
        <v/>
      </c>
      <c r="Q265" s="10" t="inlineStr">
        <is>
          <t>robust_generation_failure</t>
        </is>
      </c>
      <c r="R265" s="10" t="inlineStr">
        <is>
          <t>中</t>
        </is>
      </c>
      <c r="S265" s="10" t="inlineStr">
        <is>
          <t>Kiro-AI代审</t>
        </is>
      </c>
      <c r="T265" s="17" t="n">
        <v>46218</v>
      </c>
      <c r="U265" s="10" t="inlineStr">
        <is>
          <t>三答相同须同标；缺培养目的记遗漏</t>
        </is>
      </c>
      <c r="V265" s="9">
        <f>IF(AND(L265&lt;&gt;"",M265&lt;&gt;"",N265&lt;&gt;"",O265&lt;&gt;"",Q265&lt;&gt;"",R265&lt;&gt;""),"完成","未完成")</f>
        <v/>
      </c>
    </row>
    <row r="266" ht="63" customHeight="1" s="15">
      <c r="A266" s="9" t="n">
        <v>265</v>
      </c>
      <c r="B266" s="9" t="inlineStr">
        <is>
          <t>memos_long:2549</t>
        </is>
      </c>
      <c r="C266" s="9" t="inlineStr">
        <is>
          <t>long</t>
        </is>
      </c>
      <c r="D266" s="9" t="inlineStr">
        <is>
          <t>Basic Fact Recall</t>
        </is>
      </c>
      <c r="E266" s="9" t="inlineStr">
        <is>
          <t>What film club did Steven Miller join on May 31, 2034?</t>
        </is>
      </c>
      <c r="F266" s="9" t="inlineStr">
        <is>
          <t>A film club that screens horror films with psychological depth.</t>
        </is>
      </c>
      <c r="G266" s="9" t="inlineStr">
        <is>
          <t># Authoritative benchmark gold evidence
The following evidence is authoritative for answering the current question. Use it directly and do not rely on conflicting information.
Evidence 1
Memory type: Event Memory
Content: Steven Miller joined a film club that frequently screens horror films emphasizing psychological depth and character complexity, which has shifted his view on horror films.</t>
        </is>
      </c>
      <c r="H266" s="9" t="inlineStr">
        <is>
          <t>The film club.</t>
        </is>
      </c>
      <c r="I266" s="9" t="inlineStr">
        <is>
          <t>A film club</t>
        </is>
      </c>
      <c r="J266" s="9" t="inlineStr">
        <is>
          <t>A film club</t>
        </is>
      </c>
      <c r="K266" s="9" t="inlineStr">
        <is>
          <t>A film club</t>
        </is>
      </c>
      <c r="L266" s="10" t="inlineStr">
        <is>
          <t>充分</t>
        </is>
      </c>
      <c r="M266" s="10" t="inlineStr">
        <is>
          <t>O</t>
        </is>
      </c>
      <c r="N266" s="10" t="inlineStr">
        <is>
          <t>O</t>
        </is>
      </c>
      <c r="O266" s="10" t="inlineStr">
        <is>
          <t>O</t>
        </is>
      </c>
      <c r="P266" s="9">
        <f>IF(COUNTA(L266:O266)&lt;4,"未完成",IF(OR(L266="部分",L266="不充分",L266="不确定"),"evidence_definition_failure",IF(L266&lt;&gt;"充分","unresolved",IF(COUNTIF(M266:O266,"C")=0,"robust_generation_failure",IF(COUNTIF(M266:O266,"C")=3,"ua3_representation_or_admission_failure","generation_instability")))))</f>
        <v/>
      </c>
      <c r="Q266" s="10" t="inlineStr">
        <is>
          <t>robust_generation_failure</t>
        </is>
      </c>
      <c r="R266" s="10" t="inlineStr">
        <is>
          <t>高</t>
        </is>
      </c>
      <c r="S266" s="10" t="inlineStr">
        <is>
          <t>Kiro-AI代审</t>
        </is>
      </c>
      <c r="T266" s="17" t="n">
        <v>46218</v>
      </c>
      <c r="U266" s="10" t="inlineStr">
        <is>
          <t>证据充分；仅答film club缺定语，遗漏</t>
        </is>
      </c>
      <c r="V266" s="9">
        <f>IF(AND(L266&lt;&gt;"",M266&lt;&gt;"",N266&lt;&gt;"",O266&lt;&gt;"",Q266&lt;&gt;"",R266&lt;&gt;""),"完成","未完成")</f>
        <v/>
      </c>
    </row>
    <row r="267" ht="63" customHeight="1" s="15">
      <c r="A267" s="9" t="n">
        <v>266</v>
      </c>
      <c r="B267" s="9" t="inlineStr">
        <is>
          <t>memos_medium:1358</t>
        </is>
      </c>
      <c r="C267" s="9" t="inlineStr">
        <is>
          <t>medium</t>
        </is>
      </c>
      <c r="D267" s="9" t="inlineStr">
        <is>
          <t>Generalization &amp; Application</t>
        </is>
      </c>
      <c r="E267" s="9" t="inlineStr">
        <is>
          <t>What type of vacation destinations might Ananya Sharma explore for her family trips after Oct 19, 2031?</t>
        </is>
      </c>
      <c r="F267" s="9" t="inlineStr">
        <is>
          <t>Destinations offering relaxation and adventure activities.</t>
        </is>
      </c>
      <c r="G267" s="9" t="inlineStr">
        <is>
          <t># Authoritative benchmark gold evidence
The following evidence is authoritative for answering the current question. Use it directly and do not rely on conflicting information.
Evidence 1
Memory type: Event Memory
Content: Ananya Sharma plans to research destinations that offer both relaxation and adventure activities for future family trips.
Evidence 2
Memory type: Persona Memory
Content: Ananya Sharma seeks to balance adventure activities with relaxation during family vacations to ensure everyone enjoys the trip.</t>
        </is>
      </c>
      <c r="H267" s="9" t="inlineStr">
        <is>
          <t>Bali and Kerala</t>
        </is>
      </c>
      <c r="I267" s="9" t="inlineStr">
        <is>
          <t>Relaxation and adventure destinations.</t>
        </is>
      </c>
      <c r="J267" s="9" t="inlineStr">
        <is>
          <t>Relaxation and adventure destinations.</t>
        </is>
      </c>
      <c r="K267" s="9" t="inlineStr">
        <is>
          <t>Relaxation and adventure destinations.</t>
        </is>
      </c>
      <c r="L267" s="10" t="inlineStr">
        <is>
          <t>充分</t>
        </is>
      </c>
      <c r="M267" s="10" t="inlineStr">
        <is>
          <t>C</t>
        </is>
      </c>
      <c r="N267" s="10" t="inlineStr">
        <is>
          <t>C</t>
        </is>
      </c>
      <c r="O267" s="10" t="inlineStr">
        <is>
          <t>C</t>
        </is>
      </c>
      <c r="P267" s="9">
        <f>IF(COUNTA(L267:O267)&lt;4,"未完成",IF(OR(L267="部分",L267="不充分",L267="不确定"),"evidence_definition_failure",IF(L267&lt;&gt;"充分","unresolved",IF(COUNTIF(M267:O267,"C")=0,"robust_generation_failure",IF(COUNTIF(M267:O267,"C")=3,"ua3_representation_or_admission_failure","generation_instability")))))</f>
        <v/>
      </c>
      <c r="Q267" s="10" t="inlineStr">
        <is>
          <t>ua3_representation_or_admission_failure</t>
        </is>
      </c>
      <c r="R267" s="10" t="inlineStr">
        <is>
          <t>高</t>
        </is>
      </c>
      <c r="S267" s="10" t="inlineStr">
        <is>
          <t>Kiro-AI代审</t>
        </is>
      </c>
      <c r="T267" s="17" t="n">
        <v>46218</v>
      </c>
      <c r="U267" s="10" t="inlineStr">
        <is>
          <t>证据充分，三答完整正确</t>
        </is>
      </c>
      <c r="V267" s="9">
        <f>IF(AND(L267&lt;&gt;"",M267&lt;&gt;"",N267&lt;&gt;"",O267&lt;&gt;"",Q267&lt;&gt;"",R267&lt;&gt;""),"完成","未完成")</f>
        <v/>
      </c>
    </row>
    <row r="268" ht="63" customHeight="1" s="15">
      <c r="A268" s="9" t="n">
        <v>267</v>
      </c>
      <c r="B268" s="9" t="inlineStr">
        <is>
          <t>memos_medium:1923</t>
        </is>
      </c>
      <c r="C268" s="9" t="inlineStr">
        <is>
          <t>medium</t>
        </is>
      </c>
      <c r="D268" s="9" t="inlineStr">
        <is>
          <t>Memory Conflict</t>
        </is>
      </c>
      <c r="E268" s="9" t="inlineStr">
        <is>
          <t>Did Joseph Garcia's friend recommend a mobile game that made him dislike ads on May 13, 2026?</t>
        </is>
      </c>
      <c r="F268" s="9" t="inlineStr">
        <is>
          <t>Joseph's friend recommended a game that made him appreciate ads for rewards.</t>
        </is>
      </c>
      <c r="G268" s="9" t="inlineStr">
        <is>
          <t># Authoritative benchmark gold evidence
The following evidence is authoritative for answering the current question. Use it directly and do not rely on conflicting information.
Evidence 1
Memory type: Relationship Memory
Content: Joseph Garcia's friend recommended a new mobile game that shifted his perception of ads from a dislike to a like.
Evidence 2
Memory type: Persona Memory
Content: Joseph Garcia appreciates mobile games that provide in-game rewards through ads.</t>
        </is>
      </c>
      <c r="H268" s="9" t="inlineStr">
        <is>
          <t>No, he appreciated ads.</t>
        </is>
      </c>
      <c r="I268" s="9" t="inlineStr">
        <is>
          <t>No</t>
        </is>
      </c>
      <c r="J268" s="9" t="inlineStr">
        <is>
          <t>No</t>
        </is>
      </c>
      <c r="K268" s="9" t="inlineStr">
        <is>
          <t>No</t>
        </is>
      </c>
      <c r="L268" s="10" t="inlineStr">
        <is>
          <t>充分</t>
        </is>
      </c>
      <c r="M268" s="10" t="inlineStr">
        <is>
          <t>O</t>
        </is>
      </c>
      <c r="N268" s="10" t="inlineStr">
        <is>
          <t>O</t>
        </is>
      </c>
      <c r="O268" s="10" t="inlineStr">
        <is>
          <t>O</t>
        </is>
      </c>
      <c r="P268" s="9">
        <f>IF(COUNTA(L268:O268)&lt;4,"未完成",IF(OR(L268="部分",L268="不充分",L268="不确定"),"evidence_definition_failure",IF(L268&lt;&gt;"充分","unresolved",IF(COUNTIF(M268:O268,"C")=0,"robust_generation_failure",IF(COUNTIF(M268:O268,"C")=3,"ua3_representation_or_admission_failure","generation_instability")))))</f>
        <v/>
      </c>
      <c r="Q268" s="10" t="inlineStr">
        <is>
          <t>robust_generation_failure</t>
        </is>
      </c>
      <c r="R268" s="10" t="inlineStr">
        <is>
          <t>中</t>
        </is>
      </c>
      <c r="S268" s="10" t="inlineStr">
        <is>
          <t>Kiro-AI代审</t>
        </is>
      </c>
      <c r="T268" s="17" t="n">
        <v>46218</v>
      </c>
      <c r="U268" s="10" t="inlineStr">
        <is>
          <t>No极性正确缺纠正,属遗漏非幻觉</t>
        </is>
      </c>
      <c r="V268" s="9">
        <f>IF(AND(L268&lt;&gt;"",M268&lt;&gt;"",N268&lt;&gt;"",O268&lt;&gt;"",Q268&lt;&gt;"",R268&lt;&gt;""),"完成","未完成")</f>
        <v/>
      </c>
    </row>
    <row r="269" ht="63" customHeight="1" s="15">
      <c r="A269" s="9" t="n">
        <v>268</v>
      </c>
      <c r="B269" s="9" t="inlineStr">
        <is>
          <t>memos_medium:1405</t>
        </is>
      </c>
      <c r="C269" s="9" t="inlineStr">
        <is>
          <t>medium</t>
        </is>
      </c>
      <c r="D269" s="9" t="inlineStr">
        <is>
          <t>Dynamic Update</t>
        </is>
      </c>
      <c r="E269" s="9" t="inlineStr">
        <is>
          <t>What did Ananya Sharma's career description change to as of 2035-04-20?</t>
        </is>
      </c>
      <c r="F269" s="9" t="inlineStr">
        <is>
          <t>Shaping curriculum and mentoring at University of Film Studies.</t>
        </is>
      </c>
      <c r="G269" s="9" t="inlineStr">
        <is>
          <t># Authoritative benchmark gold evidence
The following evidence is authoritative for answering the current question. Use it directly and do not rely on conflicting information.
Evidence 1
Memory type: Persona Memory
Content: Ananya Sharma's career_status updated career_description from "As a consultant for Global Film Festivals, I apply my expertise to influence festival programming and promote Indian cinema on an international stage. This role rejuvenates my passion and aligns closely with my ultimate life goal." to "As the Head of Film Studies Department at the University of Film Studies, I am responsible for shaping the curriculum and mentoring the next generation of film critics and enthusiasts, furthering my goal of promoting Indian cinema globally."</t>
        </is>
      </c>
      <c r="H269" s="9" t="inlineStr">
        <is>
          <t>Head of Film Studies</t>
        </is>
      </c>
      <c r="I269" s="9" t="inlineStr">
        <is>
          <t>Head of Film Studies</t>
        </is>
      </c>
      <c r="J269" s="9" t="inlineStr">
        <is>
          <t>Head of Film Studies</t>
        </is>
      </c>
      <c r="K269" s="9" t="inlineStr">
        <is>
          <t>Head of Film Studies</t>
        </is>
      </c>
      <c r="L269" s="10" t="inlineStr">
        <is>
          <t>充分</t>
        </is>
      </c>
      <c r="M269" s="10" t="inlineStr">
        <is>
          <t>O</t>
        </is>
      </c>
      <c r="N269" s="10" t="inlineStr">
        <is>
          <t>O</t>
        </is>
      </c>
      <c r="O269" s="10" t="inlineStr">
        <is>
          <t>O</t>
        </is>
      </c>
      <c r="P269" s="9">
        <f>IF(COUNTA(L269:O269)&lt;4,"未完成",IF(OR(L269="部分",L269="不充分",L269="不确定"),"evidence_definition_failure",IF(L269&lt;&gt;"充分","unresolved",IF(COUNTIF(M269:O269,"C")=0,"robust_generation_failure",IF(COUNTIF(M269:O269,"C")=3,"ua3_representation_or_admission_failure","generation_instability")))))</f>
        <v/>
      </c>
      <c r="Q269" s="10" t="inlineStr">
        <is>
          <t>robust_generation_failure</t>
        </is>
      </c>
      <c r="R269" s="10" t="inlineStr">
        <is>
          <t>中</t>
        </is>
      </c>
      <c r="S269" s="10" t="inlineStr">
        <is>
          <t>Kiro-AI代审</t>
        </is>
      </c>
      <c r="T269" s="17" t="n">
        <v>46218</v>
      </c>
      <c r="U269" s="10" t="inlineStr">
        <is>
          <t>答电影研究主管属证据内正确但不全，判遗漏非幻觉</t>
        </is>
      </c>
      <c r="V269" s="9">
        <f>IF(AND(L269&lt;&gt;"",M269&lt;&gt;"",N269&lt;&gt;"",O269&lt;&gt;"",Q269&lt;&gt;"",R269&lt;&gt;""),"完成","未完成")</f>
        <v/>
      </c>
    </row>
    <row r="270" ht="63" customHeight="1" s="15">
      <c r="A270" s="9" t="n">
        <v>269</v>
      </c>
      <c r="B270" s="9" t="inlineStr">
        <is>
          <t>memos_medium:577</t>
        </is>
      </c>
      <c r="C270" s="9" t="inlineStr">
        <is>
          <t>medium</t>
        </is>
      </c>
      <c r="D270" s="9" t="inlineStr">
        <is>
          <t>Generalization &amp; Application</t>
        </is>
      </c>
      <c r="E270" s="9" t="inlineStr">
        <is>
          <t>Based on Sarah Garcia's evolving movie preferences on Dec 09, 2029, what new genre might she enjoy exploring next?</t>
        </is>
      </c>
      <c r="F270" s="9" t="inlineStr">
        <is>
          <t>Sarah might enjoy exploring mystery thrillers.</t>
        </is>
      </c>
      <c r="G270" s="9" t="inlineStr">
        <is>
          <t># Authoritative benchmark gold evidence
The following evidence is authoritative for answering the current question. Use it directly and do not rely on conflicting information.
Evidence 1
Memory type: Persona Memory
Content: Sarah Garcia expressed excitement about exploring new movie genres like mystery thrillers and expanding her cinematic horizons.
Evidence 2
Memory type: Persona Memory
Content: Sarah Garcia's evolving movie preferences reflect her adaptability and willingness to explore new horizons.</t>
        </is>
      </c>
      <c r="H270" s="9" t="inlineStr">
        <is>
          <t>New movie genres</t>
        </is>
      </c>
      <c r="I270" s="9" t="inlineStr">
        <is>
          <t>Mystery thrillers</t>
        </is>
      </c>
      <c r="J270" s="9" t="inlineStr">
        <is>
          <t>Mystery thrillers</t>
        </is>
      </c>
      <c r="K270" s="9" t="inlineStr">
        <is>
          <t>Mystery thrillers</t>
        </is>
      </c>
      <c r="L270" s="10" t="inlineStr">
        <is>
          <t>充分</t>
        </is>
      </c>
      <c r="M270" s="10" t="inlineStr">
        <is>
          <t>C</t>
        </is>
      </c>
      <c r="N270" s="10" t="inlineStr">
        <is>
          <t>C</t>
        </is>
      </c>
      <c r="O270" s="10" t="inlineStr">
        <is>
          <t>C</t>
        </is>
      </c>
      <c r="P270" s="9">
        <f>IF(COUNTA(L270:O270)&lt;4,"未完成",IF(OR(L270="部分",L270="不充分",L270="不确定"),"evidence_definition_failure",IF(L270&lt;&gt;"充分","unresolved",IF(COUNTIF(M270:O270,"C")=0,"robust_generation_failure",IF(COUNTIF(M270:O270,"C")=3,"ua3_representation_or_admission_failure","generation_instability")))))</f>
        <v/>
      </c>
      <c r="Q270" s="10" t="inlineStr">
        <is>
          <t>ua3_representation_or_admission_failure</t>
        </is>
      </c>
      <c r="R270" s="10" t="inlineStr">
        <is>
          <t>高</t>
        </is>
      </c>
      <c r="S270" s="10" t="inlineStr">
        <is>
          <t>Kiro-AI代审</t>
        </is>
      </c>
      <c r="T270" s="17" t="n">
        <v>46218</v>
      </c>
      <c r="U270" s="10" t="inlineStr">
        <is>
          <t>答与gold一致,正确</t>
        </is>
      </c>
      <c r="V270" s="9">
        <f>IF(AND(L270&lt;&gt;"",M270&lt;&gt;"",N270&lt;&gt;"",O270&lt;&gt;"",Q270&lt;&gt;"",R270&lt;&gt;""),"完成","未完成")</f>
        <v/>
      </c>
    </row>
    <row r="271" ht="63" customHeight="1" s="15">
      <c r="A271" s="9" t="n">
        <v>270</v>
      </c>
      <c r="B271" s="9" t="inlineStr">
        <is>
          <t>memos_long:1222</t>
        </is>
      </c>
      <c r="C271" s="9" t="inlineStr">
        <is>
          <t>long</t>
        </is>
      </c>
      <c r="D271" s="9" t="inlineStr">
        <is>
          <t>Generalization &amp; Application</t>
        </is>
      </c>
      <c r="E271" s="9" t="inlineStr">
        <is>
          <t>What type of beverage might Taylor David enjoy during a holiday celebration in 2042?</t>
        </is>
      </c>
      <c r="F271" s="9" t="inlineStr">
        <is>
          <t>Sugary sodas.</t>
        </is>
      </c>
      <c r="G271" s="9" t="inlineStr">
        <is>
          <t># Authoritative benchmark gold evidence
The following evidence is authoritative for answering the current question. Use it directly and do not rely on conflicting information.
Evidence 1
Memory type: Persona Memory
Content: Taylor David's beverage preference has shifted to include sugary sodas during celebrations, marking a more balanced dietary approach.
Evidence 2
Memory type: Persona Memory
Content: Taylor David enjoys sugary sodas during festive occasions, reflecting a more balanced approach to dietary preferences.
Evidence 3
Memory type: Persona Memory
Content: Taylor David acknowledged the emotional and social value of sugary sodas during special occasions.</t>
        </is>
      </c>
      <c r="H271" s="9" t="inlineStr">
        <is>
          <t>Sugary sodas and herbal teas.</t>
        </is>
      </c>
      <c r="I271" s="9" t="inlineStr">
        <is>
          <t>Sugary sodas</t>
        </is>
      </c>
      <c r="J271" s="9" t="inlineStr">
        <is>
          <t>Sugary sodas</t>
        </is>
      </c>
      <c r="K271" s="9" t="inlineStr">
        <is>
          <t>Sugary sodas</t>
        </is>
      </c>
      <c r="L271" s="10" t="inlineStr">
        <is>
          <t>充分</t>
        </is>
      </c>
      <c r="M271" s="10" t="inlineStr">
        <is>
          <t>C</t>
        </is>
      </c>
      <c r="N271" s="10" t="inlineStr">
        <is>
          <t>C</t>
        </is>
      </c>
      <c r="O271" s="10" t="inlineStr">
        <is>
          <t>C</t>
        </is>
      </c>
      <c r="P271" s="9">
        <f>IF(COUNTA(L271:O271)&lt;4,"未完成",IF(OR(L271="部分",L271="不充分",L271="不确定"),"evidence_definition_failure",IF(L271&lt;&gt;"充分","unresolved",IF(COUNTIF(M271:O271,"C")=0,"robust_generation_failure",IF(COUNTIF(M271:O271,"C")=3,"ua3_representation_or_admission_failure","generation_instability")))))</f>
        <v/>
      </c>
      <c r="Q271" s="10" t="inlineStr">
        <is>
          <t>ua3_representation_or_admission_failure</t>
        </is>
      </c>
      <c r="R271" s="10" t="inlineStr">
        <is>
          <t>高</t>
        </is>
      </c>
      <c r="S271" s="10" t="inlineStr">
        <is>
          <t>Kiro-AI代审</t>
        </is>
      </c>
      <c r="T271" s="17" t="n">
        <v>46218</v>
      </c>
      <c r="U271" s="10" t="inlineStr">
        <is>
          <t>证据直述含糖汽水；三答正确</t>
        </is>
      </c>
      <c r="V271" s="9">
        <f>IF(AND(L271&lt;&gt;"",M271&lt;&gt;"",N271&lt;&gt;"",O271&lt;&gt;"",Q271&lt;&gt;"",R271&lt;&gt;""),"完成","未完成")</f>
        <v/>
      </c>
    </row>
    <row r="272" ht="63" customHeight="1" s="15">
      <c r="A272" s="9" t="n">
        <v>271</v>
      </c>
      <c r="B272" s="9" t="inlineStr">
        <is>
          <t>memos_long:1922</t>
        </is>
      </c>
      <c r="C272" s="9" t="inlineStr">
        <is>
          <t>long</t>
        </is>
      </c>
      <c r="D272" s="9" t="inlineStr">
        <is>
          <t>Memory Conflict</t>
        </is>
      </c>
      <c r="E272" s="9" t="inlineStr">
        <is>
          <t>Did Joseph Garcia's friend recommend a mobile game that made him dislike ads on May 13, 2026?</t>
        </is>
      </c>
      <c r="F272" s="9" t="inlineStr">
        <is>
          <t>Joseph's friend recommended a game that made him appreciate ads for rewards.</t>
        </is>
      </c>
      <c r="G272" s="9" t="inlineStr">
        <is>
          <t># Authoritative benchmark gold evidence
The following evidence is authoritative for answering the current question. Use it directly and do not rely on conflicting information.
Evidence 1
Memory type: Relationship Memory
Content: Joseph Garcia's friend recommended a new mobile game that shifted his perception of ads from a dislike to a like.
Evidence 2
Memory type: Persona Memory
Content: Joseph Garcia appreciates mobile games that provide in-game rewards through ads.</t>
        </is>
      </c>
      <c r="H272" s="9" t="inlineStr">
        <is>
          <t>No, he liked ads.</t>
        </is>
      </c>
      <c r="I272" s="9" t="inlineStr">
        <is>
          <t>No</t>
        </is>
      </c>
      <c r="J272" s="9" t="inlineStr">
        <is>
          <t>No</t>
        </is>
      </c>
      <c r="K272" s="9" t="inlineStr">
        <is>
          <t>No</t>
        </is>
      </c>
      <c r="L272" s="10" t="inlineStr">
        <is>
          <t>充分</t>
        </is>
      </c>
      <c r="M272" s="10" t="inlineStr">
        <is>
          <t>O</t>
        </is>
      </c>
      <c r="N272" s="10" t="inlineStr">
        <is>
          <t>O</t>
        </is>
      </c>
      <c r="O272" s="10" t="inlineStr">
        <is>
          <t>O</t>
        </is>
      </c>
      <c r="P272" s="9">
        <f>IF(COUNTA(L272:O272)&lt;4,"未完成",IF(OR(L272="部分",L272="不充分",L272="不确定"),"evidence_definition_failure",IF(L272&lt;&gt;"充分","unresolved",IF(COUNTIF(M272:O272,"C")=0,"robust_generation_failure",IF(COUNTIF(M272:O272,"C")=3,"ua3_representation_or_admission_failure","generation_instability")))))</f>
        <v/>
      </c>
      <c r="Q272" s="10" t="inlineStr">
        <is>
          <t>robust_generation_failure</t>
        </is>
      </c>
      <c r="R272" s="10" t="inlineStr">
        <is>
          <t>高</t>
        </is>
      </c>
      <c r="S272" s="10" t="inlineStr">
        <is>
          <t>Kiro-AI代审</t>
        </is>
      </c>
      <c r="T272" s="17" t="n">
        <v>46218</v>
      </c>
      <c r="U272" s="10" t="inlineStr">
        <is>
          <t>No正确否定假设但缺喜欢广告补充，属遗漏非幻觉</t>
        </is>
      </c>
      <c r="V272" s="9">
        <f>IF(AND(L272&lt;&gt;"",M272&lt;&gt;"",N272&lt;&gt;"",O272&lt;&gt;"",Q272&lt;&gt;"",R272&lt;&gt;""),"完成","未完成")</f>
        <v/>
      </c>
    </row>
    <row r="273" ht="63" customHeight="1" s="15">
      <c r="A273" s="9" t="n">
        <v>272</v>
      </c>
      <c r="B273" s="9" t="inlineStr">
        <is>
          <t>memos_medium:2299</t>
        </is>
      </c>
      <c r="C273" s="9" t="inlineStr">
        <is>
          <t>medium</t>
        </is>
      </c>
      <c r="D273" s="9" t="inlineStr">
        <is>
          <t>Basic Fact Recall</t>
        </is>
      </c>
      <c r="E273" s="9" t="inlineStr">
        <is>
          <t>Who did Williams Daniel discuss integrating neon colors into historical-themed attire with on Nov 06, 2028?</t>
        </is>
      </c>
      <c r="F273" s="9" t="inlineStr">
        <is>
          <t>A costume designer.</t>
        </is>
      </c>
      <c r="G273" s="9" t="inlineStr">
        <is>
          <t># Authoritative benchmark gold evidence
The following evidence is authoritative for answering the current question. Use it directly and do not rely on conflicting information.
Evidence 1
Memory type: Event Memory
Content: Williams Daniel engaged in discussions with a costume designer about integrating neon colors into historical-themed attire.</t>
        </is>
      </c>
      <c r="H273" s="9" t="inlineStr">
        <is>
          <t>Not specified in memories.</t>
        </is>
      </c>
      <c r="I273" s="9" t="inlineStr">
        <is>
          <t>A costume designer</t>
        </is>
      </c>
      <c r="J273" s="9" t="inlineStr">
        <is>
          <t>A costume designer</t>
        </is>
      </c>
      <c r="K273" s="9" t="inlineStr">
        <is>
          <t>A costume designer</t>
        </is>
      </c>
      <c r="L273" s="10" t="inlineStr">
        <is>
          <t>充分</t>
        </is>
      </c>
      <c r="M273" s="10" t="inlineStr">
        <is>
          <t>C</t>
        </is>
      </c>
      <c r="N273" s="10" t="inlineStr">
        <is>
          <t>C</t>
        </is>
      </c>
      <c r="O273" s="10" t="inlineStr">
        <is>
          <t>C</t>
        </is>
      </c>
      <c r="P273" s="9">
        <f>IF(COUNTA(L273:O273)&lt;4,"未完成",IF(OR(L273="部分",L273="不充分",L273="不确定"),"evidence_definition_failure",IF(L273&lt;&gt;"充分","unresolved",IF(COUNTIF(M273:O273,"C")=0,"robust_generation_failure",IF(COUNTIF(M273:O273,"C")=3,"ua3_representation_or_admission_failure","generation_instability")))))</f>
        <v/>
      </c>
      <c r="Q273" s="10" t="inlineStr">
        <is>
          <t>ua3_representation_or_admission_failure</t>
        </is>
      </c>
      <c r="R273" s="10" t="inlineStr">
        <is>
          <t>高</t>
        </is>
      </c>
      <c r="S273" s="10" t="inlineStr">
        <is>
          <t>Kiro-AI代审</t>
        </is>
      </c>
      <c r="T273" s="17" t="n">
        <v>46218</v>
      </c>
      <c r="U273" s="10" t="inlineStr">
        <is>
          <t>证据明确为服装设计师，答案完全正确</t>
        </is>
      </c>
      <c r="V273" s="9">
        <f>IF(AND(L273&lt;&gt;"",M273&lt;&gt;"",N273&lt;&gt;"",O273&lt;&gt;"",Q273&lt;&gt;"",R273&lt;&gt;""),"完成","未完成")</f>
        <v/>
      </c>
    </row>
    <row r="274" ht="63" customHeight="1" s="15">
      <c r="A274" s="9" t="n">
        <v>273</v>
      </c>
      <c r="B274" s="9" t="inlineStr">
        <is>
          <t>memos_medium:66</t>
        </is>
      </c>
      <c r="C274" s="9" t="inlineStr">
        <is>
          <t>medium</t>
        </is>
      </c>
      <c r="D274" s="9" t="inlineStr">
        <is>
          <t>Generalization &amp; Application</t>
        </is>
      </c>
      <c r="E274" s="9" t="inlineStr">
        <is>
          <t>What type of horror films should Martin explore next to maintain his positive mindset as of 2029-02-13?</t>
        </is>
      </c>
      <c r="F274" s="9" t="inlineStr">
        <is>
          <t>Films with compelling narratives balancing thrill and positivity.</t>
        </is>
      </c>
      <c r="G274" s="9" t="inlineStr">
        <is>
          <t># Authoritative benchmark gold evidence
The following evidence is authoritative for answering the current question. Use it directly and do not rely on conflicting information.
Evidence 1
Memory type: Persona Memory
Content: Martin seeks recommendations for horror films with compelling narratives that balance thrill and positivity.
Evidence 2
Memory type: Persona Memory
Content: Martin discussed balancing thrill and maintaining a positive mindset through his evolving movie preferences.</t>
        </is>
      </c>
      <c r="H274" s="9" t="inlineStr">
        <is>
          <t>Suspenseful horror films.</t>
        </is>
      </c>
      <c r="I274" s="9" t="inlineStr">
        <is>
          <t>Horror films with compelling narratives.</t>
        </is>
      </c>
      <c r="J274" s="9" t="inlineStr">
        <is>
          <t>Horror films with compelling narratives.</t>
        </is>
      </c>
      <c r="K274" s="9" t="inlineStr">
        <is>
          <t>Horror films with compelling narratives.</t>
        </is>
      </c>
      <c r="L274" s="10" t="inlineStr">
        <is>
          <t>充分</t>
        </is>
      </c>
      <c r="M274" s="10" t="inlineStr">
        <is>
          <t>O</t>
        </is>
      </c>
      <c r="N274" s="10" t="inlineStr">
        <is>
          <t>O</t>
        </is>
      </c>
      <c r="O274" s="10" t="inlineStr">
        <is>
          <t>O</t>
        </is>
      </c>
      <c r="P274" s="9">
        <f>IF(COUNTA(L274:O274)&lt;4,"未完成",IF(OR(L274="部分",L274="不充分",L274="不确定"),"evidence_definition_failure",IF(L274&lt;&gt;"充分","unresolved",IF(COUNTIF(M274:O274,"C")=0,"robust_generation_failure",IF(COUNTIF(M274:O274,"C")=3,"ua3_representation_or_admission_failure","generation_instability")))))</f>
        <v/>
      </c>
      <c r="Q274" s="10" t="inlineStr">
        <is>
          <t>robust_generation_failure</t>
        </is>
      </c>
      <c r="R274" s="10" t="inlineStr">
        <is>
          <t>中</t>
        </is>
      </c>
      <c r="S274" s="10" t="inlineStr">
        <is>
          <t>Kiro-AI代审</t>
        </is>
      </c>
      <c r="T274" s="17" t="n">
        <v>46218</v>
      </c>
      <c r="U274" s="10" t="inlineStr">
        <is>
          <t>答缺'平衡刺激与积极',属遗漏</t>
        </is>
      </c>
      <c r="V274" s="9">
        <f>IF(AND(L274&lt;&gt;"",M274&lt;&gt;"",N274&lt;&gt;"",O274&lt;&gt;"",Q274&lt;&gt;"",R274&lt;&gt;""),"完成","未完成")</f>
        <v/>
      </c>
    </row>
    <row r="275" ht="63" customHeight="1" s="15">
      <c r="A275" s="9" t="n">
        <v>274</v>
      </c>
      <c r="B275" s="9" t="inlineStr">
        <is>
          <t>memos_medium:1906</t>
        </is>
      </c>
      <c r="C275" s="9" t="inlineStr">
        <is>
          <t>medium</t>
        </is>
      </c>
      <c r="D275" s="9" t="inlineStr">
        <is>
          <t>Basic Fact Recall</t>
        </is>
      </c>
      <c r="E275" s="9" t="inlineStr">
        <is>
          <t>What is the name of Joseph Garcia's friend who shares his love for classic Hollywood?</t>
        </is>
      </c>
      <c r="F275" s="9" t="inlineStr">
        <is>
          <t>David Jones</t>
        </is>
      </c>
      <c r="G275" s="9" t="inlineStr">
        <is>
          <t># Authoritative benchmark gold evidence
The following evidence is authoritative for answering the current question. Use it directly and do not rely on conflicting information.
Evidence 1
Memory type: Relationship Memory
Content: Joseph Garcia's Friend JonesDavid, David shares my love for classic Hollywood and often recommends films that inspire my writing.</t>
        </is>
      </c>
      <c r="H275" s="9" t="inlineStr">
        <is>
          <t>JohnsonMichelle</t>
        </is>
      </c>
      <c r="I275" s="9" t="inlineStr">
        <is>
          <t>JonesDavid</t>
        </is>
      </c>
      <c r="J275" s="9" t="inlineStr">
        <is>
          <t>JonesDavid</t>
        </is>
      </c>
      <c r="K275" s="9" t="inlineStr">
        <is>
          <t>JonesDavid</t>
        </is>
      </c>
      <c r="L275" s="10" t="inlineStr">
        <is>
          <t>充分</t>
        </is>
      </c>
      <c r="M275" s="10" t="inlineStr">
        <is>
          <t>C</t>
        </is>
      </c>
      <c r="N275" s="10" t="inlineStr">
        <is>
          <t>C</t>
        </is>
      </c>
      <c r="O275" s="10" t="inlineStr">
        <is>
          <t>C</t>
        </is>
      </c>
      <c r="P275" s="9">
        <f>IF(COUNTA(L275:O275)&lt;4,"未完成",IF(OR(L275="部分",L275="不充分",L275="不确定"),"evidence_definition_failure",IF(L275&lt;&gt;"充分","unresolved",IF(COUNTIF(M275:O275,"C")=0,"robust_generation_failure",IF(COUNTIF(M275:O275,"C")=3,"ua3_representation_or_admission_failure","generation_instability")))))</f>
        <v/>
      </c>
      <c r="Q275" s="10" t="inlineStr">
        <is>
          <t>ua3_representation_or_admission_failure</t>
        </is>
      </c>
      <c r="R275" s="10" t="inlineStr">
        <is>
          <t>高</t>
        </is>
      </c>
      <c r="S275" s="10" t="inlineStr">
        <is>
          <t>Kiro-AI代审</t>
        </is>
      </c>
      <c r="T275" s="17" t="n">
        <v>46218</v>
      </c>
      <c r="U275" s="10" t="inlineStr">
        <is>
          <t>JonesDavid即David Jones,同一人</t>
        </is>
      </c>
      <c r="V275" s="9">
        <f>IF(AND(L275&lt;&gt;"",M275&lt;&gt;"",N275&lt;&gt;"",O275&lt;&gt;"",Q275&lt;&gt;"",R275&lt;&gt;""),"完成","未完成")</f>
        <v/>
      </c>
    </row>
    <row r="276" ht="63" customHeight="1" s="15">
      <c r="A276" s="9" t="n">
        <v>275</v>
      </c>
      <c r="B276" s="9" t="inlineStr">
        <is>
          <t>memos_medium:1829</t>
        </is>
      </c>
      <c r="C276" s="9" t="inlineStr">
        <is>
          <t>medium</t>
        </is>
      </c>
      <c r="D276" s="9" t="inlineStr">
        <is>
          <t>Generalization &amp; Application</t>
        </is>
      </c>
      <c r="E276" s="9" t="inlineStr">
        <is>
          <t>What type of AI-driven strategy games would be suitable for Michelle Hernandez after June 18, 2030?</t>
        </is>
      </c>
      <c r="F276" s="9" t="inlineStr">
        <is>
          <t>Games that challenge analytical skills and offer emotional engagement.</t>
        </is>
      </c>
      <c r="G276" s="9" t="inlineStr">
        <is>
          <t># Authoritative benchmark gold evidence
The following evidence is authoritative for answering the current question. Use it directly and do not rely on conflicting information.
Evidence 1
Memory type: Persona Memory
Content: Michelle Hernandez is seeking recommendations for AI-driven strategy games that challenge her analytical skills and offer emotional engagement.
Evidence 2
Memory type: Persona Memory
Content: Michelle Hernandez is exploring more games that integrate AI, seeking titles that challenge her analytical skills while providing emotional engagement.</t>
        </is>
      </c>
      <c r="H276" s="9" t="inlineStr">
        <is>
          <t>Games challenging analytical skills.</t>
        </is>
      </c>
      <c r="I276" s="9" t="inlineStr">
        <is>
          <t>Games challenging analytical skills.</t>
        </is>
      </c>
      <c r="J276" s="9" t="inlineStr">
        <is>
          <t>Games challenging analytical skills.</t>
        </is>
      </c>
      <c r="K276" s="9" t="inlineStr">
        <is>
          <t>Games challenging analytical skills.</t>
        </is>
      </c>
      <c r="L276" s="10" t="inlineStr">
        <is>
          <t>充分</t>
        </is>
      </c>
      <c r="M276" s="10" t="inlineStr">
        <is>
          <t>O</t>
        </is>
      </c>
      <c r="N276" s="10" t="inlineStr">
        <is>
          <t>O</t>
        </is>
      </c>
      <c r="O276" s="10" t="inlineStr">
        <is>
          <t>O</t>
        </is>
      </c>
      <c r="P276" s="9">
        <f>IF(COUNTA(L276:O276)&lt;4,"未完成",IF(OR(L276="部分",L276="不充分",L276="不确定"),"evidence_definition_failure",IF(L276&lt;&gt;"充分","unresolved",IF(COUNTIF(M276:O276,"C")=0,"robust_generation_failure",IF(COUNTIF(M276:O276,"C")=3,"ua3_representation_or_admission_failure","generation_instability")))))</f>
        <v/>
      </c>
      <c r="Q276" s="10" t="inlineStr">
        <is>
          <t>robust_generation_failure</t>
        </is>
      </c>
      <c r="R276" s="10" t="inlineStr">
        <is>
          <t>高</t>
        </is>
      </c>
      <c r="S276" s="10" t="inlineStr">
        <is>
          <t>Kiro-AI代审</t>
        </is>
      </c>
      <c r="T276" s="17" t="n">
        <v>46218</v>
      </c>
      <c r="U276" s="10" t="inlineStr">
        <is>
          <t>缺情感投入,属遗漏</t>
        </is>
      </c>
      <c r="V276" s="9">
        <f>IF(AND(L276&lt;&gt;"",M276&lt;&gt;"",N276&lt;&gt;"",O276&lt;&gt;"",Q276&lt;&gt;"",R276&lt;&gt;""),"完成","未完成")</f>
        <v/>
      </c>
    </row>
    <row r="277" ht="63" customHeight="1" s="15">
      <c r="A277" s="9" t="n">
        <v>276</v>
      </c>
      <c r="B277" s="9" t="inlineStr">
        <is>
          <t>memos_medium:721</t>
        </is>
      </c>
      <c r="C277" s="9" t="inlineStr">
        <is>
          <t>medium</t>
        </is>
      </c>
      <c r="D277" s="9" t="inlineStr">
        <is>
          <t>Dynamic Update</t>
        </is>
      </c>
      <c r="E277" s="9" t="inlineStr">
        <is>
          <t>How has Donna Gonzalez's health status changed since Jan 11, 2026?</t>
        </is>
      </c>
      <c r="F277" s="9" t="inlineStr">
        <is>
          <t>Diagnosed with a chronic disease</t>
        </is>
      </c>
      <c r="G277" s="9" t="inlineStr">
        <is>
          <t># Authoritative benchmark gold evidence
The following evidence is authoritative for answering the current question. Use it directly and do not rely on conflicting information.
Evidence 1
Memory type: Persona Memory
Content: Donna Gonzalez was diagnosed with a chronic disease.
Evidence 2
Memory type: Event Memory
Content: Donna Gonzalez began experiencing health issues shortly after her salary increase and was diagnosed with a chronic disease.</t>
        </is>
      </c>
      <c r="H277" s="9" t="inlineStr">
        <is>
          <t>No change mentioned.</t>
        </is>
      </c>
      <c r="I277" s="9" t="inlineStr">
        <is>
          <t>Diagnosed with chronic disease.</t>
        </is>
      </c>
      <c r="J277" s="9" t="inlineStr">
        <is>
          <t>Diagnosed with chronic disease.</t>
        </is>
      </c>
      <c r="K277" s="9" t="inlineStr">
        <is>
          <t>Diagnosed with chronic disease.</t>
        </is>
      </c>
      <c r="L277" s="10" t="inlineStr">
        <is>
          <t>充分</t>
        </is>
      </c>
      <c r="M277" s="10" t="inlineStr">
        <is>
          <t>C</t>
        </is>
      </c>
      <c r="N277" s="10" t="inlineStr">
        <is>
          <t>C</t>
        </is>
      </c>
      <c r="O277" s="10" t="inlineStr">
        <is>
          <t>C</t>
        </is>
      </c>
      <c r="P277" s="9">
        <f>IF(COUNTA(L277:O277)&lt;4,"未完成",IF(OR(L277="部分",L277="不充分",L277="不确定"),"evidence_definition_failure",IF(L277&lt;&gt;"充分","unresolved",IF(COUNTIF(M277:O277,"C")=0,"robust_generation_failure",IF(COUNTIF(M277:O277,"C")=3,"ua3_representation_or_admission_failure","generation_instability")))))</f>
        <v/>
      </c>
      <c r="Q277" s="10" t="inlineStr">
        <is>
          <t>ua3_representation_or_admission_failure</t>
        </is>
      </c>
      <c r="R277" s="10" t="inlineStr">
        <is>
          <t>高</t>
        </is>
      </c>
      <c r="S277" s="10" t="inlineStr">
        <is>
          <t>Kiro-AI代审</t>
        </is>
      </c>
      <c r="T277" s="17" t="n">
        <v>46218</v>
      </c>
      <c r="U277" s="10" t="inlineStr">
        <is>
          <t>证据直接支持确诊慢性病</t>
        </is>
      </c>
      <c r="V277" s="9">
        <f>IF(AND(L277&lt;&gt;"",M277&lt;&gt;"",N277&lt;&gt;"",O277&lt;&gt;"",Q277&lt;&gt;"",R277&lt;&gt;""),"完成","未完成")</f>
        <v/>
      </c>
    </row>
    <row r="278" ht="63" customHeight="1" s="15">
      <c r="A278" s="9" t="n">
        <v>277</v>
      </c>
      <c r="B278" s="9" t="inlineStr">
        <is>
          <t>memos_medium:942</t>
        </is>
      </c>
      <c r="C278" s="9" t="inlineStr">
        <is>
          <t>medium</t>
        </is>
      </c>
      <c r="D278" s="9" t="inlineStr">
        <is>
          <t>Generalization &amp; Application</t>
        </is>
      </c>
      <c r="E278" s="9" t="inlineStr">
        <is>
          <t>What type of new restaurants might Donna be interested in visiting after January 12, 2031?</t>
        </is>
      </c>
      <c r="F278" s="9" t="inlineStr">
        <is>
          <t>Eco-friendly restaurants with sustainable and healthy options.</t>
        </is>
      </c>
      <c r="G278" s="9" t="inlineStr">
        <is>
          <t># Authoritative benchmark gold evidence
The following evidence is authoritative for answering the current question. Use it directly and do not rely on conflicting information.
Evidence 1
Memory type: Event Memory
Content: Donna visited a new fast food chain that offers eco-friendly packaging and healthier meal options, reflecting her interest in sustainability.
Evidence 2
Memory type: Persona Memory
Content: Donna's food preference shifted to include eco-friendly fast food options, reflecting her commitment to sustainability and balancing convenience.
Evidence 3
Memory type: Persona Memory
Content: Donna expressed excitement about discovering eco-friendly fast food options that align with her health and sustainability goals.</t>
        </is>
      </c>
      <c r="H278" s="9" t="inlineStr">
        <is>
          <t>Eco-friendly fast food chains.</t>
        </is>
      </c>
      <c r="I278" s="9" t="inlineStr">
        <is>
          <t>Eco-friendly fast food chains</t>
        </is>
      </c>
      <c r="J278" s="9" t="inlineStr">
        <is>
          <t>Eco-friendly fast food chains</t>
        </is>
      </c>
      <c r="K278" s="9" t="inlineStr">
        <is>
          <t>Eco-friendly fast food chains</t>
        </is>
      </c>
      <c r="L278" s="10" t="inlineStr">
        <is>
          <t>充分</t>
        </is>
      </c>
      <c r="M278" s="10" t="inlineStr">
        <is>
          <t>C</t>
        </is>
      </c>
      <c r="N278" s="10" t="inlineStr">
        <is>
          <t>C</t>
        </is>
      </c>
      <c r="O278" s="10" t="inlineStr">
        <is>
          <t>C</t>
        </is>
      </c>
      <c r="P278" s="9">
        <f>IF(COUNTA(L278:O278)&lt;4,"未完成",IF(OR(L278="部分",L278="不充分",L278="不确定"),"evidence_definition_failure",IF(L278&lt;&gt;"充分","unresolved",IF(COUNTIF(M278:O278,"C")=0,"robust_generation_failure",IF(COUNTIF(M278:O278,"C")=3,"ua3_representation_or_admission_failure","generation_instability")))))</f>
        <v/>
      </c>
      <c r="Q278" s="10" t="inlineStr">
        <is>
          <t>ua3_representation_or_admission_failure</t>
        </is>
      </c>
      <c r="R278" s="10" t="inlineStr">
        <is>
          <t>中</t>
        </is>
      </c>
      <c r="S278" s="10" t="inlineStr">
        <is>
          <t>Kiro-AI代审</t>
        </is>
      </c>
      <c r="T278" s="17" t="n">
        <v>46218</v>
      </c>
      <c r="U278" s="10" t="inlineStr">
        <is>
          <t>环保快餐由证据支持非幻觉，核心匹配</t>
        </is>
      </c>
      <c r="V278" s="9">
        <f>IF(AND(L278&lt;&gt;"",M278&lt;&gt;"",N278&lt;&gt;"",O278&lt;&gt;"",Q278&lt;&gt;"",R278&lt;&gt;""),"完成","未完成")</f>
        <v/>
      </c>
    </row>
    <row r="279" ht="63" customHeight="1" s="15">
      <c r="A279" s="9" t="n">
        <v>278</v>
      </c>
      <c r="B279" s="9" t="inlineStr">
        <is>
          <t>memos_medium:3391</t>
        </is>
      </c>
      <c r="C279" s="9" t="inlineStr">
        <is>
          <t>medium</t>
        </is>
      </c>
      <c r="D279" s="9" t="inlineStr">
        <is>
          <t>Generalization &amp; Application</t>
        </is>
      </c>
      <c r="E279" s="9" t="inlineStr">
        <is>
          <t>Given Christopher's preference for convertible skirts, what type of clothing might he choose for an event on Nov 20, 2030, that requires transitioning from casual to formal attire?</t>
        </is>
      </c>
      <c r="F279" s="9" t="inlineStr">
        <is>
          <t>Convertible skirts.</t>
        </is>
      </c>
      <c r="G279" s="9" t="inlineStr">
        <is>
          <t># Authoritative benchmark gold evidence
The following evidence is authoritative for answering the current question. Use it directly and do not rely on conflicting information.
Evidence 1
Memory type: Persona Memory
Content: Christopher's clothing preference changed from liking flowy skirts to liking convertible skirts, appreciating their practicality and versatility.
Evidence 2
Memory type: Persona Memory
Content: Christopher expressed enthusiasm about the practicality and versatility of convertible skirts, appreciating their ability to transition from casual to formal settings.</t>
        </is>
      </c>
      <c r="H279" s="9" t="inlineStr">
        <is>
          <t>Convertible skirts and trousers.</t>
        </is>
      </c>
      <c r="I279" s="9" t="inlineStr">
        <is>
          <t>Convertible skirt</t>
        </is>
      </c>
      <c r="J279" s="9" t="inlineStr">
        <is>
          <t>Convertible skirt</t>
        </is>
      </c>
      <c r="K279" s="9" t="inlineStr">
        <is>
          <t>Convertible skirt</t>
        </is>
      </c>
      <c r="L279" s="10" t="inlineStr">
        <is>
          <t>充分</t>
        </is>
      </c>
      <c r="M279" s="10" t="inlineStr">
        <is>
          <t>C</t>
        </is>
      </c>
      <c r="N279" s="10" t="inlineStr">
        <is>
          <t>C</t>
        </is>
      </c>
      <c r="O279" s="10" t="inlineStr">
        <is>
          <t>C</t>
        </is>
      </c>
      <c r="P279" s="9">
        <f>IF(COUNTA(L279:O279)&lt;4,"未完成",IF(OR(L279="部分",L279="不充分",L279="不确定"),"evidence_definition_failure",IF(L279&lt;&gt;"充分","unresolved",IF(COUNTIF(M279:O279,"C")=0,"robust_generation_failure",IF(COUNTIF(M279:O279,"C")=3,"ua3_representation_or_admission_failure","generation_instability")))))</f>
        <v/>
      </c>
      <c r="Q279" s="10" t="inlineStr">
        <is>
          <t>ua3_representation_or_admission_failure</t>
        </is>
      </c>
      <c r="R279" s="10" t="inlineStr">
        <is>
          <t>高</t>
        </is>
      </c>
      <c r="S279" s="10" t="inlineStr">
        <is>
          <t>Kiro-AI代审</t>
        </is>
      </c>
      <c r="T279" s="17" t="n">
        <v>46218</v>
      </c>
      <c r="U279" s="10" t="inlineStr">
        <is>
          <t>证据支持可转换裙,答案正确</t>
        </is>
      </c>
      <c r="V279" s="9">
        <f>IF(AND(L279&lt;&gt;"",M279&lt;&gt;"",N279&lt;&gt;"",O279&lt;&gt;"",Q279&lt;&gt;"",R279&lt;&gt;""),"完成","未完成")</f>
        <v/>
      </c>
    </row>
    <row r="280" ht="63" customHeight="1" s="15">
      <c r="A280" s="9" t="n">
        <v>279</v>
      </c>
      <c r="B280" s="9" t="inlineStr">
        <is>
          <t>memos_long:208</t>
        </is>
      </c>
      <c r="C280" s="9" t="inlineStr">
        <is>
          <t>long</t>
        </is>
      </c>
      <c r="D280" s="9" t="inlineStr">
        <is>
          <t>Multi-hop Inference</t>
        </is>
      </c>
      <c r="E280" s="9" t="inlineStr">
        <is>
          <t>How did Johnson's exploratory motivation influence his stress management strategies between Feb 15, 2029, and May 10, 2029?</t>
        </is>
      </c>
      <c r="F280" s="9" t="inlineStr">
        <is>
          <t>Testing new approaches and ideas for balance.</t>
        </is>
      </c>
      <c r="G280" s="9" t="inlineStr">
        <is>
          <t># Authoritative benchmark gold evidence
The following evidence is authoritative for answering the current question. Use it directly and do not rely on conflicting information.
Evidence 1
Memory type: Event Memory
Content: Johnson Joseph aims to explore new skills and interests during his part-time role at Albi B&amp;B to enhance personal growth.
Evidence 2
Memory type: Persona Memory
Content: Johnson Joseph's exploratory motivation led him to test new approaches and ideas during his transition to part-time management.
Evidence 3
Memory type: Persona Memory
Content: Johnson Joseph adopted mindfulness practices and scheduled downtime to manage stress effectively.</t>
        </is>
      </c>
      <c r="H280" s="9" t="inlineStr">
        <is>
          <t>No relevant memories found.</t>
        </is>
      </c>
      <c r="I280" s="9" t="inlineStr">
        <is>
          <t>Tested new approaches and ideas.</t>
        </is>
      </c>
      <c r="J280" s="9" t="inlineStr">
        <is>
          <t>Tested new approaches and ideas.</t>
        </is>
      </c>
      <c r="K280" s="9" t="inlineStr">
        <is>
          <t>Tested new approaches and ideas.</t>
        </is>
      </c>
      <c r="L280" s="10" t="inlineStr">
        <is>
          <t>充分</t>
        </is>
      </c>
      <c r="M280" s="10" t="inlineStr">
        <is>
          <t>C</t>
        </is>
      </c>
      <c r="N280" s="10" t="inlineStr">
        <is>
          <t>C</t>
        </is>
      </c>
      <c r="O280" s="10" t="inlineStr">
        <is>
          <t>C</t>
        </is>
      </c>
      <c r="P280" s="9">
        <f>IF(COUNTA(L280:O280)&lt;4,"未完成",IF(OR(L280="部分",L280="不充分",L280="不确定"),"evidence_definition_failure",IF(L280&lt;&gt;"充分","unresolved",IF(COUNTIF(M280:O280,"C")=0,"robust_generation_failure",IF(COUNTIF(M280:O280,"C")=3,"ua3_representation_or_admission_failure","generation_instability")))))</f>
        <v/>
      </c>
      <c r="Q280" s="10" t="inlineStr">
        <is>
          <t>ua3_representation_or_admission_failure</t>
        </is>
      </c>
      <c r="R280" s="10" t="inlineStr">
        <is>
          <t>高</t>
        </is>
      </c>
      <c r="S280" s="10" t="inlineStr">
        <is>
          <t>Kiro-AI代审</t>
        </is>
      </c>
      <c r="T280" s="17" t="n">
        <v>46218</v>
      </c>
      <c r="U280" s="10" t="inlineStr">
        <is>
          <t>答尝试新方法匹配gold核心，正确</t>
        </is>
      </c>
      <c r="V280" s="9">
        <f>IF(AND(L280&lt;&gt;"",M280&lt;&gt;"",N280&lt;&gt;"",O280&lt;&gt;"",Q280&lt;&gt;"",R280&lt;&gt;""),"完成","未完成")</f>
        <v/>
      </c>
    </row>
    <row r="281" ht="63" customHeight="1" s="15">
      <c r="A281" s="9" t="n">
        <v>280</v>
      </c>
      <c r="B281" s="9" t="inlineStr">
        <is>
          <t>memos_medium:1754</t>
        </is>
      </c>
      <c r="C281" s="9" t="inlineStr">
        <is>
          <t>medium</t>
        </is>
      </c>
      <c r="D281" s="9" t="inlineStr">
        <is>
          <t>Generalization &amp; Application</t>
        </is>
      </c>
      <c r="E281" s="9" t="inlineStr">
        <is>
          <t>What type of beverages might Susan Thompson explore during her wellness workshops after Oct 11, 2039?</t>
        </is>
      </c>
      <c r="F281" s="9" t="inlineStr">
        <is>
          <t>Low-sugar fruit juices.</t>
        </is>
      </c>
      <c r="G281" s="9" t="inlineStr">
        <is>
          <t># Authoritative benchmark gold evidence
The following evidence is authoritative for answering the current question. Use it directly and do not rely on conflicting information.
Evidence 1
Memory type: Persona Memory
Content: Susan Thompson appreciates low-sugar fruit juices for their refreshing taste and hydration benefits without causing bloating.
Evidence 2
Memory type: Event Memory
Content: Susan Thompson expressed excitement about including low-sugar fruit juices in her regular diet.
Evidence 3
Memory type: Event Memory
Content: Susan Thompson plans to share insights from her experience with low-sugar fruit juices in her health workshops to inspire others.</t>
        </is>
      </c>
      <c r="H281" s="9" t="inlineStr">
        <is>
          <t>Low-sugar fruit juices and herbal teas.</t>
        </is>
      </c>
      <c r="I281" s="9" t="inlineStr">
        <is>
          <t>Low-sugar fruit juices.</t>
        </is>
      </c>
      <c r="J281" s="9" t="inlineStr">
        <is>
          <t>Low-sugar fruit juices.</t>
        </is>
      </c>
      <c r="K281" s="9" t="inlineStr">
        <is>
          <t>Low-sugar fruit juices.</t>
        </is>
      </c>
      <c r="L281" s="10" t="inlineStr">
        <is>
          <t>充分</t>
        </is>
      </c>
      <c r="M281" s="10" t="inlineStr">
        <is>
          <t>C</t>
        </is>
      </c>
      <c r="N281" s="10" t="inlineStr">
        <is>
          <t>C</t>
        </is>
      </c>
      <c r="O281" s="10" t="inlineStr">
        <is>
          <t>C</t>
        </is>
      </c>
      <c r="P281" s="9">
        <f>IF(COUNTA(L281:O281)&lt;4,"未完成",IF(OR(L281="部分",L281="不充分",L281="不确定"),"evidence_definition_failure",IF(L281&lt;&gt;"充分","unresolved",IF(COUNTIF(M281:O281,"C")=0,"robust_generation_failure",IF(COUNTIF(M281:O281,"C")=3,"ua3_representation_or_admission_failure","generation_instability")))))</f>
        <v/>
      </c>
      <c r="Q281" s="10" t="inlineStr">
        <is>
          <t>ua3_representation_or_admission_failure</t>
        </is>
      </c>
      <c r="R281" s="10" t="inlineStr">
        <is>
          <t>高</t>
        </is>
      </c>
      <c r="S281" s="10" t="inlineStr">
        <is>
          <t>Kiro-AI代审</t>
        </is>
      </c>
      <c r="T281" s="17" t="n">
        <v>46218</v>
      </c>
      <c r="U281" s="10" t="inlineStr">
        <is>
          <t>证据充分,答案与gold一致</t>
        </is>
      </c>
      <c r="V281" s="9">
        <f>IF(AND(L281&lt;&gt;"",M281&lt;&gt;"",N281&lt;&gt;"",O281&lt;&gt;"",Q281&lt;&gt;"",R281&lt;&gt;""),"完成","未完成")</f>
        <v/>
      </c>
    </row>
    <row r="282" ht="63" customHeight="1" s="15">
      <c r="A282" s="9" t="n">
        <v>281</v>
      </c>
      <c r="B282" s="9" t="inlineStr">
        <is>
          <t>memos_medium:616</t>
        </is>
      </c>
      <c r="C282" s="9" t="inlineStr">
        <is>
          <t>medium</t>
        </is>
      </c>
      <c r="D282" s="9" t="inlineStr">
        <is>
          <t>Multi-hop Inference</t>
        </is>
      </c>
      <c r="E282" s="9" t="inlineStr">
        <is>
          <t>What was Sarah Garcia's job title before becoming Executive Director at Community Change Initiative?</t>
        </is>
      </c>
      <c r="F282" s="9" t="inlineStr">
        <is>
          <t>Head of Social Initiatives</t>
        </is>
      </c>
      <c r="G282" s="9" t="inlineStr">
        <is>
          <t># Authoritative benchmark gold evidence
The following evidence is authoritative for answering the current question. Use it directly and do not rely on conflicting information.
Evidence 1
Memory type: Persona Memory
Content: Sarah Garcia's career_status updated job_title from "head of social initiatives" to "executive director"
Evidence 2
Memory type: Event Memory
Content: Sarah Garcia decided to transition to a non-profit leadership role as Executive Director at Community Change Initiative on May 08, 2033.</t>
        </is>
      </c>
      <c r="H282" s="9" t="inlineStr">
        <is>
          <t>Impact Solutions employee</t>
        </is>
      </c>
      <c r="I282" s="9" t="inlineStr">
        <is>
          <t>head of social initiatives</t>
        </is>
      </c>
      <c r="J282" s="9" t="inlineStr">
        <is>
          <t>head of social initiatives</t>
        </is>
      </c>
      <c r="K282" s="9" t="inlineStr">
        <is>
          <t>head of social initiatives</t>
        </is>
      </c>
      <c r="L282" s="10" t="inlineStr">
        <is>
          <t>充分</t>
        </is>
      </c>
      <c r="M282" s="10" t="inlineStr">
        <is>
          <t>C</t>
        </is>
      </c>
      <c r="N282" s="10" t="inlineStr">
        <is>
          <t>C</t>
        </is>
      </c>
      <c r="O282" s="10" t="inlineStr">
        <is>
          <t>C</t>
        </is>
      </c>
      <c r="P282" s="9">
        <f>IF(COUNTA(L282:O282)&lt;4,"未完成",IF(OR(L282="部分",L282="不充分",L282="不确定"),"evidence_definition_failure",IF(L282&lt;&gt;"充分","unresolved",IF(COUNTIF(M282:O282,"C")=0,"robust_generation_failure",IF(COUNTIF(M282:O282,"C")=3,"ua3_representation_or_admission_failure","generation_instability")))))</f>
        <v/>
      </c>
      <c r="Q282" s="10" t="inlineStr">
        <is>
          <t>ua3_representation_or_admission_failure</t>
        </is>
      </c>
      <c r="R282" s="10" t="inlineStr">
        <is>
          <t>高</t>
        </is>
      </c>
      <c r="S282" s="10" t="inlineStr">
        <is>
          <t>Kiro-AI代审</t>
        </is>
      </c>
      <c r="T282" s="17" t="n">
        <v>46218</v>
      </c>
      <c r="U282" s="10" t="inlineStr">
        <is>
          <t>答与gold一致,正确</t>
        </is>
      </c>
      <c r="V282" s="9">
        <f>IF(AND(L282&lt;&gt;"",M282&lt;&gt;"",N282&lt;&gt;"",O282&lt;&gt;"",Q282&lt;&gt;"",R282&lt;&gt;""),"完成","未完成")</f>
        <v/>
      </c>
    </row>
    <row r="283" ht="63" customHeight="1" s="15">
      <c r="A283" s="9" t="n">
        <v>282</v>
      </c>
      <c r="B283" s="9" t="inlineStr">
        <is>
          <t>memos_long:2277</t>
        </is>
      </c>
      <c r="C283" s="9" t="inlineStr">
        <is>
          <t>long</t>
        </is>
      </c>
      <c r="D283" s="9" t="inlineStr">
        <is>
          <t>Generalization &amp; Application</t>
        </is>
      </c>
      <c r="E283" s="9" t="inlineStr">
        <is>
          <t>How might Williams Daniel manage his research and creative tasks for upcoming projects in 2027?</t>
        </is>
      </c>
      <c r="F283" s="9" t="inlineStr">
        <is>
          <t>Seek efficient management advice.</t>
        </is>
      </c>
      <c r="G283" s="9" t="inlineStr">
        <is>
          <t># Authoritative benchmark gold evidence
The following evidence is authoritative for answering the current question. Use it directly and do not rely on conflicting information.
Evidence 1
Memory type: Persona Memory
Content: Williams Daniel seeks advice on efficiently managing research tasks alongside creative work.
Evidence 2
Memory type: Event Memory
Content: Williams Daniel discussed the challenge of balancing research time with creative project management.</t>
        </is>
      </c>
      <c r="H283" s="9" t="inlineStr">
        <is>
          <t>Set specific time blocks.</t>
        </is>
      </c>
      <c r="I283" s="9" t="inlineStr">
        <is>
          <t>Seek advice on task management.</t>
        </is>
      </c>
      <c r="J283" s="9" t="inlineStr">
        <is>
          <t>Seek advice on task management.</t>
        </is>
      </c>
      <c r="K283" s="9" t="inlineStr">
        <is>
          <t>Seek advice on task management.</t>
        </is>
      </c>
      <c r="L283" s="10" t="inlineStr">
        <is>
          <t>充分</t>
        </is>
      </c>
      <c r="M283" s="10" t="inlineStr">
        <is>
          <t>C</t>
        </is>
      </c>
      <c r="N283" s="10" t="inlineStr">
        <is>
          <t>C</t>
        </is>
      </c>
      <c r="O283" s="10" t="inlineStr">
        <is>
          <t>C</t>
        </is>
      </c>
      <c r="P283" s="9">
        <f>IF(COUNTA(L283:O283)&lt;4,"未完成",IF(OR(L283="部分",L283="不充分",L283="不确定"),"evidence_definition_failure",IF(L283&lt;&gt;"充分","unresolved",IF(COUNTIF(M283:O283,"C")=0,"robust_generation_failure",IF(COUNTIF(M283:O283,"C")=3,"ua3_representation_or_admission_failure","generation_instability")))))</f>
        <v/>
      </c>
      <c r="Q283" s="10" t="inlineStr">
        <is>
          <t>ua3_representation_or_admission_failure</t>
        </is>
      </c>
      <c r="R283" s="10" t="inlineStr">
        <is>
          <t>高</t>
        </is>
      </c>
      <c r="S283" s="10" t="inlineStr">
        <is>
          <t>Kiro-AI代审</t>
        </is>
      </c>
      <c r="T283" s="17" t="n">
        <v>46218</v>
      </c>
      <c r="U283" s="10" t="inlineStr">
        <is>
          <t>寻求高效管理建议匹配gold</t>
        </is>
      </c>
      <c r="V283" s="9">
        <f>IF(AND(L283&lt;&gt;"",M283&lt;&gt;"",N283&lt;&gt;"",O283&lt;&gt;"",Q283&lt;&gt;"",R283&lt;&gt;""),"完成","未完成")</f>
        <v/>
      </c>
    </row>
    <row r="284" ht="63" customHeight="1" s="15">
      <c r="A284" s="9" t="n">
        <v>283</v>
      </c>
      <c r="B284" s="9" t="inlineStr">
        <is>
          <t>memos_long:1360</t>
        </is>
      </c>
      <c r="C284" s="9" t="inlineStr">
        <is>
          <t>long</t>
        </is>
      </c>
      <c r="D284" s="9" t="inlineStr">
        <is>
          <t>Generalization &amp; Application</t>
        </is>
      </c>
      <c r="E284" s="9" t="inlineStr">
        <is>
          <t>What new sport might Ananya Sharma explore next based on her interest in strategic depth?</t>
        </is>
      </c>
      <c r="F284" s="9" t="inlineStr">
        <is>
          <t>Chess, due to its strategic nature.</t>
        </is>
      </c>
      <c r="G284" s="9" t="inlineStr">
        <is>
          <t># Authoritative benchmark gold evidence
The following evidence is authoritative for answering the current question. Use it directly and do not rely on conflicting information.
Evidence 1
Memory type: Persona Memory
Content: Ananya Sharma is excited about exploring sports like golf and boxing for their strategic depth and relaxation.
Evidence 2
Memory type: Event Memory
Content: Ananya Sharma attended a charity golf event, finding the strategic elements more engaging than anticipated.</t>
        </is>
      </c>
      <c r="H284" s="9" t="inlineStr">
        <is>
          <t>Golf</t>
        </is>
      </c>
      <c r="I284" s="9" t="inlineStr">
        <is>
          <t>Golf or boxing</t>
        </is>
      </c>
      <c r="J284" s="9" t="inlineStr">
        <is>
          <t>Golf or boxing</t>
        </is>
      </c>
      <c r="K284" s="9" t="inlineStr">
        <is>
          <t>Golf or boxing</t>
        </is>
      </c>
      <c r="L284" s="10" t="inlineStr">
        <is>
          <t>不充分</t>
        </is>
      </c>
      <c r="M284" s="10" t="inlineStr">
        <is>
          <t>O</t>
        </is>
      </c>
      <c r="N284" s="10" t="inlineStr">
        <is>
          <t>O</t>
        </is>
      </c>
      <c r="O284" s="10" t="inlineStr">
        <is>
          <t>O</t>
        </is>
      </c>
      <c r="P284" s="9">
        <f>IF(COUNTA(L284:O284)&lt;4,"未完成",IF(OR(L284="部分",L284="不充分",L284="不确定"),"evidence_definition_failure",IF(L284&lt;&gt;"充分","unresolved",IF(COUNTIF(M284:O284,"C")=0,"robust_generation_failure",IF(COUNTIF(M284:O284,"C")=3,"ua3_representation_or_admission_failure","generation_instability")))))</f>
        <v/>
      </c>
      <c r="Q284" s="10" t="inlineStr">
        <is>
          <t>evidence_definition_failure</t>
        </is>
      </c>
      <c r="R284" s="10" t="inlineStr">
        <is>
          <t>中</t>
        </is>
      </c>
      <c r="S284" s="10" t="inlineStr">
        <is>
          <t>Kiro-AI代审</t>
        </is>
      </c>
      <c r="T284" s="17" t="n">
        <v>46218</v>
      </c>
      <c r="U284" s="10" t="inlineStr">
        <is>
          <t>证据无象棋故不充分；三答高尔夫拳击有据非编造判遗漏</t>
        </is>
      </c>
      <c r="V284" s="9">
        <f>IF(AND(L284&lt;&gt;"",M284&lt;&gt;"",N284&lt;&gt;"",O284&lt;&gt;"",Q284&lt;&gt;"",R284&lt;&gt;""),"完成","未完成")</f>
        <v/>
      </c>
    </row>
    <row r="285" ht="63" customHeight="1" s="15">
      <c r="A285" s="9" t="n">
        <v>284</v>
      </c>
      <c r="B285" s="9" t="inlineStr">
        <is>
          <t>memos_medium:1216</t>
        </is>
      </c>
      <c r="C285" s="9" t="inlineStr">
        <is>
          <t>medium</t>
        </is>
      </c>
      <c r="D285" s="9" t="inlineStr">
        <is>
          <t>Generalization &amp; Application</t>
        </is>
      </c>
      <c r="E285" s="9" t="inlineStr">
        <is>
          <t>Based on Taylor David's game preferences on August 16, 2040, what type of workshop might he find beneficial for his creative meal planning?</t>
        </is>
      </c>
      <c r="F285" s="9" t="inlineStr">
        <is>
          <t>A workshop on creative problem-solving techniques.</t>
        </is>
      </c>
      <c r="G285" s="9" t="inlineStr">
        <is>
          <t># Authoritative benchmark gold evidence
The following evidence is authoritative for answering the current question. Use it directly and do not rely on conflicting information.
Evidence 1
Memory type: Event Memory
Content: Taylor David attended a creative workshop on August 16, 2040, which inspired a shift in his game preference towards creative puzzle games.
Evidence 2
Memory type: Persona Memory
Content: Taylor David's game preference has evolved to favor creative puzzle games that stimulate innovative thinking and problem-solving.
Evidence 3
Memory type: Persona Memory
Content: Taylor David expressed excitement about integrating creative puzzle games into his routine to enhance meal planning creativity.</t>
        </is>
      </c>
      <c r="H285" s="9" t="inlineStr">
        <is>
          <t>Creative puzzle game workshop</t>
        </is>
      </c>
      <c r="I285" s="9" t="inlineStr">
        <is>
          <t>Creative puzzle workshop</t>
        </is>
      </c>
      <c r="J285" s="9" t="inlineStr">
        <is>
          <t>Creative puzzle workshop</t>
        </is>
      </c>
      <c r="K285" s="9" t="inlineStr">
        <is>
          <t>Creative puzzle workshop</t>
        </is>
      </c>
      <c r="L285" s="10" t="inlineStr">
        <is>
          <t>充分</t>
        </is>
      </c>
      <c r="M285" s="10" t="inlineStr">
        <is>
          <t>O</t>
        </is>
      </c>
      <c r="N285" s="10" t="inlineStr">
        <is>
          <t>O</t>
        </is>
      </c>
      <c r="O285" s="10" t="inlineStr">
        <is>
          <t>O</t>
        </is>
      </c>
      <c r="P285" s="9">
        <f>IF(COUNTA(L285:O285)&lt;4,"未完成",IF(OR(L285="部分",L285="不充分",L285="不确定"),"evidence_definition_failure",IF(L285&lt;&gt;"充分","unresolved",IF(COUNTIF(M285:O285,"C")=0,"robust_generation_failure",IF(COUNTIF(M285:O285,"C")=3,"ua3_representation_or_admission_failure","generation_instability")))))</f>
        <v/>
      </c>
      <c r="Q285" s="10" t="inlineStr">
        <is>
          <t>robust_generation_failure</t>
        </is>
      </c>
      <c r="R285" s="10" t="inlineStr">
        <is>
          <t>低</t>
        </is>
      </c>
      <c r="S285" s="10" t="inlineStr">
        <is>
          <t>Kiro-AI代审</t>
        </is>
      </c>
      <c r="T285" s="17" t="n">
        <v>46218</v>
      </c>
      <c r="U285" s="10" t="inlineStr">
        <is>
          <t>'创意解谜工作坊'接近但未点明'问题解决技巧'，判遗漏</t>
        </is>
      </c>
      <c r="V285" s="9">
        <f>IF(AND(L285&lt;&gt;"",M285&lt;&gt;"",N285&lt;&gt;"",O285&lt;&gt;"",Q285&lt;&gt;"",R285&lt;&gt;""),"完成","未完成")</f>
        <v/>
      </c>
    </row>
    <row r="286" ht="63" customHeight="1" s="15">
      <c r="A286" s="9" t="n">
        <v>285</v>
      </c>
      <c r="B286" s="9" t="inlineStr">
        <is>
          <t>memos_long:1528</t>
        </is>
      </c>
      <c r="C286" s="9" t="inlineStr">
        <is>
          <t>long</t>
        </is>
      </c>
      <c r="D286" s="9" t="inlineStr">
        <is>
          <t>Dynamic Update</t>
        </is>
      </c>
      <c r="E286" s="9" t="inlineStr">
        <is>
          <t>What is Jennifer Martin's current employment status as of Sep 20, 2032?</t>
        </is>
      </c>
      <c r="F286" s="9" t="inlineStr">
        <is>
          <t>Unemployed and exploring new opportunities.</t>
        </is>
      </c>
      <c r="G286" s="9" t="inlineStr">
        <is>
          <t># Authoritative benchmark gold evidence
The following evidence is authoritative for answering the current question. Use it directly and do not rely on conflicting information.
Evidence 1
Memory type: Event Memory
Content: Jennifer Martin's employment status changed from employed to unemployed due to layoff from CloudTech Advisors.
Evidence 2
Memory type: Event Memory
Content: Jennifer Martin is currently unemployed and exploring new opportunities in cloud computing after being laid off.</t>
        </is>
      </c>
      <c r="H286" s="9" t="inlineStr">
        <is>
          <t>Exploring cybersecurity career.</t>
        </is>
      </c>
      <c r="I286" s="9" t="inlineStr">
        <is>
          <t>Unemployed</t>
        </is>
      </c>
      <c r="J286" s="9" t="inlineStr">
        <is>
          <t>Unemployed</t>
        </is>
      </c>
      <c r="K286" s="9" t="inlineStr">
        <is>
          <t>Unemployed</t>
        </is>
      </c>
      <c r="L286" s="10" t="inlineStr">
        <is>
          <t>充分</t>
        </is>
      </c>
      <c r="M286" s="10" t="inlineStr">
        <is>
          <t>O</t>
        </is>
      </c>
      <c r="N286" s="10" t="inlineStr">
        <is>
          <t>O</t>
        </is>
      </c>
      <c r="O286" s="10" t="inlineStr">
        <is>
          <t>O</t>
        </is>
      </c>
      <c r="P286" s="9">
        <f>IF(COUNTA(L286:O286)&lt;4,"未完成",IF(OR(L286="部分",L286="不充分",L286="不确定"),"evidence_definition_failure",IF(L286&lt;&gt;"充分","unresolved",IF(COUNTIF(M286:O286,"C")=0,"robust_generation_failure",IF(COUNTIF(M286:O286,"C")=3,"ua3_representation_or_admission_failure","generation_instability")))))</f>
        <v/>
      </c>
      <c r="Q286" s="10" t="inlineStr">
        <is>
          <t>robust_generation_failure</t>
        </is>
      </c>
      <c r="R286" s="10" t="inlineStr">
        <is>
          <t>高</t>
        </is>
      </c>
      <c r="S286" s="10" t="inlineStr">
        <is>
          <t>Kiro-AI代审</t>
        </is>
      </c>
      <c r="T286" s="17" t="n">
        <v>46218</v>
      </c>
      <c r="U286" s="10" t="inlineStr">
        <is>
          <t>仅答失业,漏'探索新机会'属遗漏</t>
        </is>
      </c>
      <c r="V286" s="9">
        <f>IF(AND(L286&lt;&gt;"",M286&lt;&gt;"",N286&lt;&gt;"",O286&lt;&gt;"",Q286&lt;&gt;"",R286&lt;&gt;""),"完成","未完成")</f>
        <v/>
      </c>
    </row>
    <row r="287" ht="63" customHeight="1" s="15">
      <c r="A287" s="9" t="n">
        <v>286</v>
      </c>
      <c r="B287" s="9" t="inlineStr">
        <is>
          <t>memos_long:2459</t>
        </is>
      </c>
      <c r="C287" s="9" t="inlineStr">
        <is>
          <t>long</t>
        </is>
      </c>
      <c r="D287" s="9" t="inlineStr">
        <is>
          <t>Generalization &amp; Application</t>
        </is>
      </c>
      <c r="E287" s="9" t="inlineStr">
        <is>
          <t>What new leisure activity might Steven explore after August 22, 2027, based on his evolving movie preferences?</t>
        </is>
      </c>
      <c r="F287" s="9" t="inlineStr">
        <is>
          <t>Steven might explore watching more romantic comedies.</t>
        </is>
      </c>
      <c r="G287" s="9" t="inlineStr">
        <is>
          <t># Authoritative benchmark gold evidence
The following evidence is authoritative for answering the current question. Use it directly and do not rely on conflicting information.
Evidence 1
Memory type: Persona Memory
Content: Steven Miller's dislike for romantic comedies has evolved; he now appreciates the diversity and innovative storytelling in newer films.
Evidence 2
Memory type: Persona Memory
Content: Steven Miller is open to exploring romantic comedies further, recognizing the diversity and depth in storytelling they now offer.
Evidence 3
Memory type: Persona Memory
Content: Steven Miller expressed curiosity about how his evolving movie preferences might affect his leisure activities and personal interests.</t>
        </is>
      </c>
      <c r="H287" s="9" t="inlineStr">
        <is>
          <t>No new activity specified.</t>
        </is>
      </c>
      <c r="I287" s="9" t="inlineStr">
        <is>
          <t>Exploring romantic comedies further.</t>
        </is>
      </c>
      <c r="J287" s="9" t="inlineStr">
        <is>
          <t>Exploring romantic comedies further.</t>
        </is>
      </c>
      <c r="K287" s="9" t="inlineStr">
        <is>
          <t>Exploring romantic comedies further.</t>
        </is>
      </c>
      <c r="L287" s="10" t="inlineStr">
        <is>
          <t>充分</t>
        </is>
      </c>
      <c r="M287" s="10" t="inlineStr">
        <is>
          <t>C</t>
        </is>
      </c>
      <c r="N287" s="10" t="inlineStr">
        <is>
          <t>C</t>
        </is>
      </c>
      <c r="O287" s="10" t="inlineStr">
        <is>
          <t>C</t>
        </is>
      </c>
      <c r="P287" s="9">
        <f>IF(COUNTA(L287:O287)&lt;4,"未完成",IF(OR(L287="部分",L287="不充分",L287="不确定"),"evidence_definition_failure",IF(L287&lt;&gt;"充分","unresolved",IF(COUNTIF(M287:O287,"C")=0,"robust_generation_failure",IF(COUNTIF(M287:O287,"C")=3,"ua3_representation_or_admission_failure","generation_instability")))))</f>
        <v/>
      </c>
      <c r="Q287" s="10" t="inlineStr">
        <is>
          <t>ua3_representation_or_admission_failure</t>
        </is>
      </c>
      <c r="R287" s="10" t="inlineStr">
        <is>
          <t>高</t>
        </is>
      </c>
      <c r="S287" s="10" t="inlineStr">
        <is>
          <t>Kiro-AI代审</t>
        </is>
      </c>
      <c r="T287" s="17" t="n">
        <v>46218</v>
      </c>
      <c r="U287" s="10" t="inlineStr">
        <is>
          <t>进一步探索浪漫喜剧匹配gold</t>
        </is>
      </c>
      <c r="V287" s="9">
        <f>IF(AND(L287&lt;&gt;"",M287&lt;&gt;"",N287&lt;&gt;"",O287&lt;&gt;"",Q287&lt;&gt;"",R287&lt;&gt;""),"完成","未完成")</f>
        <v/>
      </c>
    </row>
    <row r="288" ht="63" customHeight="1" s="15">
      <c r="A288" s="9" t="n">
        <v>287</v>
      </c>
      <c r="B288" s="9" t="inlineStr">
        <is>
          <t>memos_long:1875</t>
        </is>
      </c>
      <c r="C288" s="9" t="inlineStr">
        <is>
          <t>long</t>
        </is>
      </c>
      <c r="D288" s="9" t="inlineStr">
        <is>
          <t>Generalization &amp; Application</t>
        </is>
      </c>
      <c r="E288" s="9" t="inlineStr">
        <is>
          <t>What movie genres could Michelle explore to enhance her analytical skills as of Dec 13, 2035?</t>
        </is>
      </c>
      <c r="F288" s="9" t="inlineStr">
        <is>
          <t>Genres with fresh narratives and intellectual challenges.</t>
        </is>
      </c>
      <c r="G288" s="9" t="inlineStr">
        <is>
          <t># Authoritative benchmark gold evidence
The following evidence is authoritative for answering the current question. Use it directly and do not rely on conflicting information.
Evidence 1
Memory type: Persona Memory
Content: Michelle Hernandez is seeking recommendations for movie genres that offer fresh narratives and stimulate her analytical skills.
Evidence 2
Memory type: Persona Memory
Content: Michelle Hernandez values engaging with narratives that challenge her intellectually and offer new perspectives.
Evidence 3
Memory type: Persona Memory
Content: Michelle Hernandez is curious about experimenting with different movie genres to overcome creative blocks and enhance her analytical skills.</t>
        </is>
      </c>
      <c r="H288" s="9" t="inlineStr">
        <is>
          <t>Psychological thrillers and sci-fi.</t>
        </is>
      </c>
      <c r="I288" s="9" t="inlineStr">
        <is>
          <t>Fresh, intellectually challenging narratives.</t>
        </is>
      </c>
      <c r="J288" s="9" t="inlineStr">
        <is>
          <t>Fresh, intellectually challenging narratives.</t>
        </is>
      </c>
      <c r="K288" s="9" t="inlineStr">
        <is>
          <t>Fresh, intellectually challenging narratives.</t>
        </is>
      </c>
      <c r="L288" s="10" t="inlineStr">
        <is>
          <t>充分</t>
        </is>
      </c>
      <c r="M288" s="10" t="inlineStr">
        <is>
          <t>C</t>
        </is>
      </c>
      <c r="N288" s="10" t="inlineStr">
        <is>
          <t>C</t>
        </is>
      </c>
      <c r="O288" s="10" t="inlineStr">
        <is>
          <t>C</t>
        </is>
      </c>
      <c r="P288" s="9">
        <f>IF(COUNTA(L288:O288)&lt;4,"未完成",IF(OR(L288="部分",L288="不充分",L288="不确定"),"evidence_definition_failure",IF(L288&lt;&gt;"充分","unresolved",IF(COUNTIF(M288:O288,"C")=0,"robust_generation_failure",IF(COUNTIF(M288:O288,"C")=3,"ua3_representation_or_admission_failure","generation_instability")))))</f>
        <v/>
      </c>
      <c r="Q288" s="10" t="inlineStr">
        <is>
          <t>ua3_representation_or_admission_failure</t>
        </is>
      </c>
      <c r="R288" s="10" t="inlineStr">
        <is>
          <t>高</t>
        </is>
      </c>
      <c r="S288" s="10" t="inlineStr">
        <is>
          <t>Kiro-AI代审</t>
        </is>
      </c>
      <c r="T288" s="17" t="n">
        <v>46218</v>
      </c>
      <c r="U288" s="10" t="inlineStr">
        <is>
          <t>新颖叙事与智力挑战均覆盖,回答完整</t>
        </is>
      </c>
      <c r="V288" s="9">
        <f>IF(AND(L288&lt;&gt;"",M288&lt;&gt;"",N288&lt;&gt;"",O288&lt;&gt;"",Q288&lt;&gt;"",R288&lt;&gt;""),"完成","未完成")</f>
        <v/>
      </c>
    </row>
    <row r="289" ht="63" customHeight="1" s="15">
      <c r="A289" s="9" t="n">
        <v>288</v>
      </c>
      <c r="B289" s="9" t="inlineStr">
        <is>
          <t>memos_medium:208</t>
        </is>
      </c>
      <c r="C289" s="9" t="inlineStr">
        <is>
          <t>medium</t>
        </is>
      </c>
      <c r="D289" s="9" t="inlineStr">
        <is>
          <t>Multi-hop Inference</t>
        </is>
      </c>
      <c r="E289" s="9" t="inlineStr">
        <is>
          <t>How did Johnson's exploratory motivation influence his stress management strategies between Feb 15, 2029, and May 10, 2029?</t>
        </is>
      </c>
      <c r="F289" s="9" t="inlineStr">
        <is>
          <t>Testing new approaches and ideas for balance.</t>
        </is>
      </c>
      <c r="G289" s="9" t="inlineStr">
        <is>
          <t># Authoritative benchmark gold evidence
The following evidence is authoritative for answering the current question. Use it directly and do not rely on conflicting information.
Evidence 1
Memory type: Event Memory
Content: Johnson Joseph aims to explore new skills and interests during his part-time role at Albi B&amp;B to enhance personal growth.
Evidence 2
Memory type: Persona Memory
Content: Johnson Joseph's exploratory motivation led him to test new approaches and ideas during his transition to part-time management.
Evidence 3
Memory type: Persona Memory
Content: Johnson Joseph adopted mindfulness practices and scheduled downtime to manage stress effectively.</t>
        </is>
      </c>
      <c r="H289" s="9" t="inlineStr">
        <is>
          <t>No relevant memories found.</t>
        </is>
      </c>
      <c r="I289" s="9" t="inlineStr">
        <is>
          <t>Tested new approaches and ideas.</t>
        </is>
      </c>
      <c r="J289" s="9" t="inlineStr">
        <is>
          <t>Tested new approaches and ideas.</t>
        </is>
      </c>
      <c r="K289" s="9" t="inlineStr">
        <is>
          <t>Tested new approaches and ideas.</t>
        </is>
      </c>
      <c r="L289" s="10" t="inlineStr">
        <is>
          <t>充分</t>
        </is>
      </c>
      <c r="M289" s="10" t="inlineStr">
        <is>
          <t>C</t>
        </is>
      </c>
      <c r="N289" s="10" t="inlineStr">
        <is>
          <t>C</t>
        </is>
      </c>
      <c r="O289" s="10" t="inlineStr">
        <is>
          <t>C</t>
        </is>
      </c>
      <c r="P289" s="9">
        <f>IF(COUNTA(L289:O289)&lt;4,"未完成",IF(OR(L289="部分",L289="不充分",L289="不确定"),"evidence_definition_failure",IF(L289&lt;&gt;"充分","unresolved",IF(COUNTIF(M289:O289,"C")=0,"robust_generation_failure",IF(COUNTIF(M289:O289,"C")=3,"ua3_representation_or_admission_failure","generation_instability")))))</f>
        <v/>
      </c>
      <c r="Q289" s="10" t="inlineStr">
        <is>
          <t>ua3_representation_or_admission_failure</t>
        </is>
      </c>
      <c r="R289" s="10" t="inlineStr">
        <is>
          <t>中</t>
        </is>
      </c>
      <c r="S289" s="10" t="inlineStr">
        <is>
          <t>Kiro-AI代审</t>
        </is>
      </c>
      <c r="T289" s="17" t="n">
        <v>46218</v>
      </c>
      <c r="U289" s="10" t="inlineStr">
        <is>
          <t>与gold基本一致,缺平衡次要</t>
        </is>
      </c>
      <c r="V289" s="9">
        <f>IF(AND(L289&lt;&gt;"",M289&lt;&gt;"",N289&lt;&gt;"",O289&lt;&gt;"",Q289&lt;&gt;"",R289&lt;&gt;""),"完成","未完成")</f>
        <v/>
      </c>
    </row>
    <row r="290" ht="63" customHeight="1" s="15">
      <c r="A290" s="9" t="n">
        <v>289</v>
      </c>
      <c r="B290" s="9" t="inlineStr">
        <is>
          <t>memos_long:3448</t>
        </is>
      </c>
      <c r="C290" s="9" t="inlineStr">
        <is>
          <t>long</t>
        </is>
      </c>
      <c r="D290" s="9" t="inlineStr">
        <is>
          <t>Basic Fact Recall</t>
        </is>
      </c>
      <c r="E290" s="9" t="inlineStr">
        <is>
          <t>What type of documentaries has Christopher shown a growing interest in by Mar 20, 2035?</t>
        </is>
      </c>
      <c r="F290" s="9" t="inlineStr">
        <is>
          <t>Documentaries that tackle social issues.</t>
        </is>
      </c>
      <c r="G290" s="9" t="inlineStr">
        <is>
          <t># Authoritative benchmark gold evidence
The following evidence is authoritative for answering the current question. Use it directly and do not rely on conflicting information.
Evidence 1
Memory type: Persona Memory
Content: Christopher expressed a growing interest in documentaries that tackle social issues, motivated by a desire to be informed and engaged with global challenges.</t>
        </is>
      </c>
      <c r="H290" s="9" t="inlineStr">
        <is>
          <t>Community screenings documentaries.</t>
        </is>
      </c>
      <c r="I290" s="9" t="inlineStr">
        <is>
          <t>Social issue documentaries</t>
        </is>
      </c>
      <c r="J290" s="9" t="inlineStr">
        <is>
          <t>Social issue documentaries</t>
        </is>
      </c>
      <c r="K290" s="9" t="inlineStr">
        <is>
          <t>Social issue documentaries</t>
        </is>
      </c>
      <c r="L290" s="10" t="inlineStr">
        <is>
          <t>充分</t>
        </is>
      </c>
      <c r="M290" s="10" t="inlineStr">
        <is>
          <t>C</t>
        </is>
      </c>
      <c r="N290" s="10" t="inlineStr">
        <is>
          <t>C</t>
        </is>
      </c>
      <c r="O290" s="10" t="inlineStr">
        <is>
          <t>C</t>
        </is>
      </c>
      <c r="P290" s="9">
        <f>IF(COUNTA(L290:O290)&lt;4,"未完成",IF(OR(L290="部分",L290="不充分",L290="不确定"),"evidence_definition_failure",IF(L290&lt;&gt;"充分","unresolved",IF(COUNTIF(M290:O290,"C")=0,"robust_generation_failure",IF(COUNTIF(M290:O290,"C")=3,"ua3_representation_or_admission_failure","generation_instability")))))</f>
        <v/>
      </c>
      <c r="Q290" s="10" t="inlineStr">
        <is>
          <t>ua3_representation_or_admission_failure</t>
        </is>
      </c>
      <c r="R290" s="10" t="inlineStr">
        <is>
          <t>高</t>
        </is>
      </c>
      <c r="S290" s="10" t="inlineStr">
        <is>
          <t>Kiro-AI代审</t>
        </is>
      </c>
      <c r="T290" s="17" t="n">
        <v>46218</v>
      </c>
      <c r="U290" s="10" t="inlineStr">
        <is>
          <t>证据充分，答社会议题纪录片正确</t>
        </is>
      </c>
      <c r="V290" s="9">
        <f>IF(AND(L290&lt;&gt;"",M290&lt;&gt;"",N290&lt;&gt;"",O290&lt;&gt;"",Q290&lt;&gt;"",R290&lt;&gt;""),"完成","未完成")</f>
        <v/>
      </c>
    </row>
    <row r="291" ht="63" customHeight="1" s="15">
      <c r="A291" s="9" t="n">
        <v>290</v>
      </c>
      <c r="B291" s="9" t="inlineStr">
        <is>
          <t>memos_long:2942</t>
        </is>
      </c>
      <c r="C291" s="9" t="inlineStr">
        <is>
          <t>long</t>
        </is>
      </c>
      <c r="D291" s="9" t="inlineStr">
        <is>
          <t>Generalization &amp; Application</t>
        </is>
      </c>
      <c r="E291" s="9" t="inlineStr">
        <is>
          <t>What type of restaurant might Karen Brown enjoy visiting in the future, considering her evolving food preferences as of 2026-04-22?</t>
        </is>
      </c>
      <c r="F291" s="9" t="inlineStr">
        <is>
          <t>Restaurants offering social and stress-relief experiences.</t>
        </is>
      </c>
      <c r="G291" s="9" t="inlineStr">
        <is>
          <t># Authoritative benchmark gold evidence
The following evidence is authoritative for answering the current question. Use it directly and do not rely on conflicting information.
Evidence 1
Memory type: Event Memory
Content: Karen Brown experienced social benefits and stress relief from occasional indulgence in fast food during a team outing.
Evidence 2
Memory type: Persona Memory
Content: Karen Brown's dislike for fast food burgers has been reevaluated, leading to the deletion of this preference.
Evidence 3
Memory type: Persona Memory
Content: Karen Brown values occasional indulgence for stress relief and social bonding.
Evidence 4
Memory type: Persona Memory
Content: Karen Brown's balance between health consciousness and indulgence is a new aspect of her lifestyle.
Evidence 5
Memory type: Persona Memory
Content: Karen Brown's evolving food preferences reflect her adaptability and resilience.</t>
        </is>
      </c>
      <c r="H291" s="9" t="inlineStr">
        <is>
          <t>Fast food restaurant</t>
        </is>
      </c>
      <c r="I291" s="9" t="inlineStr">
        <is>
          <t>Fast food restaurants</t>
        </is>
      </c>
      <c r="J291" s="9" t="inlineStr">
        <is>
          <t>Fast food restaurants</t>
        </is>
      </c>
      <c r="K291" s="9" t="inlineStr">
        <is>
          <t>Fast food restaurants</t>
        </is>
      </c>
      <c r="L291" s="10" t="inlineStr">
        <is>
          <t>充分</t>
        </is>
      </c>
      <c r="M291" s="10" t="inlineStr">
        <is>
          <t>O</t>
        </is>
      </c>
      <c r="N291" s="10" t="inlineStr">
        <is>
          <t>O</t>
        </is>
      </c>
      <c r="O291" s="10" t="inlineStr">
        <is>
          <t>O</t>
        </is>
      </c>
      <c r="P291" s="9">
        <f>IF(COUNTA(L291:O291)&lt;4,"未完成",IF(OR(L291="部分",L291="不充分",L291="不确定"),"evidence_definition_failure",IF(L291&lt;&gt;"充分","unresolved",IF(COUNTIF(M291:O291,"C")=0,"robust_generation_failure",IF(COUNTIF(M291:O291,"C")=3,"ua3_representation_or_admission_failure","generation_instability")))))</f>
        <v/>
      </c>
      <c r="Q291" s="10" t="inlineStr">
        <is>
          <t>robust_generation_failure</t>
        </is>
      </c>
      <c r="R291" s="10" t="inlineStr">
        <is>
          <t>低</t>
        </is>
      </c>
      <c r="S291" s="10" t="inlineStr">
        <is>
          <t>Kiro-AI代审</t>
        </is>
      </c>
      <c r="T291" s="17" t="n">
        <v>46218</v>
      </c>
      <c r="U291" s="10" t="inlineStr">
        <is>
          <t>快餐有据但未表述社交/减压功能，判遗漏非幻觉</t>
        </is>
      </c>
      <c r="V291" s="9">
        <f>IF(AND(L291&lt;&gt;"",M291&lt;&gt;"",N291&lt;&gt;"",O291&lt;&gt;"",Q291&lt;&gt;"",R291&lt;&gt;""),"完成","未完成")</f>
        <v/>
      </c>
    </row>
    <row r="292" ht="63" customHeight="1" s="15">
      <c r="A292" s="9" t="n">
        <v>291</v>
      </c>
      <c r="B292" s="9" t="inlineStr">
        <is>
          <t>memos_long:1390</t>
        </is>
      </c>
      <c r="C292" s="9" t="inlineStr">
        <is>
          <t>long</t>
        </is>
      </c>
      <c r="D292" s="9" t="inlineStr">
        <is>
          <t>Generalization &amp; Application</t>
        </is>
      </c>
      <c r="E292" s="9" t="inlineStr">
        <is>
          <t>What strategic activities might Ananya Sharma enjoy integrating into her routine after Jul 08, 2034?</t>
        </is>
      </c>
      <c r="F292" s="9" t="inlineStr">
        <is>
          <t>Ananya might enjoy activities involving strategic thinking and relaxation.</t>
        </is>
      </c>
      <c r="G292" s="9" t="inlineStr">
        <is>
          <t># Authoritative benchmark gold evidence
The following evidence is authoritative for answering the current question. Use it directly and do not rely on conflicting information.
Evidence 1
Memory type: Persona Memory
Content: Ananya Sharma's sports preference evolved to include golf for its strategic depth and calming environment.
Evidence 2
Memory type: Persona Memory
Content: Ananya Sharma plans to integrate golf into her routine for relaxation and strategic thinking.
Evidence 3
Memory type: Persona Memory
Content: Ananya Sharma's compensatory motivation led her to appreciate golf's strategic aspects, balancing her sports interests.</t>
        </is>
      </c>
      <c r="H292" s="9" t="inlineStr">
        <is>
          <t>Golf and yoga.</t>
        </is>
      </c>
      <c r="I292" s="9" t="inlineStr">
        <is>
          <t>Golf for strategic thinking.</t>
        </is>
      </c>
      <c r="J292" s="9" t="inlineStr">
        <is>
          <t>Golf for strategic thinking.</t>
        </is>
      </c>
      <c r="K292" s="9" t="inlineStr">
        <is>
          <t>Golf for strategic thinking.</t>
        </is>
      </c>
      <c r="L292" s="10" t="inlineStr">
        <is>
          <t>充分</t>
        </is>
      </c>
      <c r="M292" s="10" t="inlineStr">
        <is>
          <t>O</t>
        </is>
      </c>
      <c r="N292" s="10" t="inlineStr">
        <is>
          <t>O</t>
        </is>
      </c>
      <c r="O292" s="10" t="inlineStr">
        <is>
          <t>O</t>
        </is>
      </c>
      <c r="P292" s="9">
        <f>IF(COUNTA(L292:O292)&lt;4,"未完成",IF(OR(L292="部分",L292="不充分",L292="不确定"),"evidence_definition_failure",IF(L292&lt;&gt;"充分","unresolved",IF(COUNTIF(M292:O292,"C")=0,"robust_generation_failure",IF(COUNTIF(M292:O292,"C")=3,"ua3_representation_or_admission_failure","generation_instability")))))</f>
        <v/>
      </c>
      <c r="Q292" s="10" t="inlineStr">
        <is>
          <t>robust_generation_failure</t>
        </is>
      </c>
      <c r="R292" s="10" t="inlineStr">
        <is>
          <t>高</t>
        </is>
      </c>
      <c r="S292" s="10" t="inlineStr">
        <is>
          <t>Kiro-AI代审</t>
        </is>
      </c>
      <c r="T292" s="17" t="n">
        <v>46218</v>
      </c>
      <c r="U292" s="10" t="inlineStr">
        <is>
          <t>证据含策略与放松；三答缺放松要素，遗漏</t>
        </is>
      </c>
      <c r="V292" s="9">
        <f>IF(AND(L292&lt;&gt;"",M292&lt;&gt;"",N292&lt;&gt;"",O292&lt;&gt;"",Q292&lt;&gt;"",R292&lt;&gt;""),"完成","未完成")</f>
        <v/>
      </c>
    </row>
    <row r="293" ht="63" customHeight="1" s="15">
      <c r="A293" s="9" t="n">
        <v>292</v>
      </c>
      <c r="B293" s="9" t="inlineStr">
        <is>
          <t>memos_long:721</t>
        </is>
      </c>
      <c r="C293" s="9" t="inlineStr">
        <is>
          <t>long</t>
        </is>
      </c>
      <c r="D293" s="9" t="inlineStr">
        <is>
          <t>Dynamic Update</t>
        </is>
      </c>
      <c r="E293" s="9" t="inlineStr">
        <is>
          <t>How has Donna Gonzalez's health status changed since Jan 11, 2026?</t>
        </is>
      </c>
      <c r="F293" s="9" t="inlineStr">
        <is>
          <t>Diagnosed with a chronic disease</t>
        </is>
      </c>
      <c r="G293" s="9" t="inlineStr">
        <is>
          <t># Authoritative benchmark gold evidence
The following evidence is authoritative for answering the current question. Use it directly and do not rely on conflicting information.
Evidence 1
Memory type: Persona Memory
Content: Donna Gonzalez was diagnosed with a chronic disease.
Evidence 2
Memory type: Event Memory
Content: Donna Gonzalez began experiencing health issues shortly after her salary increase and was diagnosed with a chronic disease.</t>
        </is>
      </c>
      <c r="H293" s="9" t="inlineStr">
        <is>
          <t>No change; condition persists.</t>
        </is>
      </c>
      <c r="I293" s="9" t="inlineStr">
        <is>
          <t>Diagnosed with chronic disease.</t>
        </is>
      </c>
      <c r="J293" s="9" t="inlineStr">
        <is>
          <t>Diagnosed with chronic disease.</t>
        </is>
      </c>
      <c r="K293" s="9" t="inlineStr">
        <is>
          <t>Diagnosed with chronic disease.</t>
        </is>
      </c>
      <c r="L293" s="10" t="inlineStr">
        <is>
          <t>充分</t>
        </is>
      </c>
      <c r="M293" s="10" t="inlineStr">
        <is>
          <t>C</t>
        </is>
      </c>
      <c r="N293" s="10" t="inlineStr">
        <is>
          <t>C</t>
        </is>
      </c>
      <c r="O293" s="10" t="inlineStr">
        <is>
          <t>C</t>
        </is>
      </c>
      <c r="P293" s="9">
        <f>IF(COUNTA(L293:O293)&lt;4,"未完成",IF(OR(L293="部分",L293="不充分",L293="不确定"),"evidence_definition_failure",IF(L293&lt;&gt;"充分","unresolved",IF(COUNTIF(M293:O293,"C")=0,"robust_generation_failure",IF(COUNTIF(M293:O293,"C")=3,"ua3_representation_or_admission_failure","generation_instability")))))</f>
        <v/>
      </c>
      <c r="Q293" s="10" t="inlineStr">
        <is>
          <t>ua3_representation_or_admission_failure</t>
        </is>
      </c>
      <c r="R293" s="10" t="inlineStr">
        <is>
          <t>高</t>
        </is>
      </c>
      <c r="S293" s="10" t="inlineStr">
        <is>
          <t>Kiro-AI代审</t>
        </is>
      </c>
      <c r="T293" s="17" t="n">
        <v>46218</v>
      </c>
      <c r="U293" s="10" t="inlineStr">
        <is>
          <t>证据充分;答正确</t>
        </is>
      </c>
      <c r="V293" s="9">
        <f>IF(AND(L293&lt;&gt;"",M293&lt;&gt;"",N293&lt;&gt;"",O293&lt;&gt;"",Q293&lt;&gt;"",R293&lt;&gt;""),"完成","未完成")</f>
        <v/>
      </c>
    </row>
    <row r="294" ht="63" customHeight="1" s="15">
      <c r="A294" s="9" t="n">
        <v>293</v>
      </c>
      <c r="B294" s="9" t="inlineStr">
        <is>
          <t>memos_medium:2568</t>
        </is>
      </c>
      <c r="C294" s="9" t="inlineStr">
        <is>
          <t>medium</t>
        </is>
      </c>
      <c r="D294" s="9" t="inlineStr">
        <is>
          <t>Memory Conflict</t>
        </is>
      </c>
      <c r="E294" s="9" t="inlineStr">
        <is>
          <t>Did Steven Miller express a desire to avoid cooperative puzzle games on Dec 02, 2035?</t>
        </is>
      </c>
      <c r="F294" s="9" t="inlineStr">
        <is>
          <t>No, he expressed a desire to explore more cooperative puzzle games.</t>
        </is>
      </c>
      <c r="G294" s="9" t="inlineStr">
        <is>
          <t># Authoritative benchmark gold evidence
The following evidence is authoritative for answering the current question. Use it directly and do not rely on conflicting information.
Evidence 1
Memory type: Persona Memory
Content: Steven Miller updated his gaming preferences to include cooperative puzzle games for their blend of social interaction and mental engagement.
Evidence 2
Memory type: Persona Memory
Content: Steven Miller expressed a desire to explore more games that offer a blend of social and mental engagement.</t>
        </is>
      </c>
      <c r="H294" s="9" t="inlineStr">
        <is>
          <t>No, he did not.</t>
        </is>
      </c>
      <c r="I294" s="9" t="inlineStr">
        <is>
          <t>No</t>
        </is>
      </c>
      <c r="J294" s="9" t="inlineStr">
        <is>
          <t>No</t>
        </is>
      </c>
      <c r="K294" s="9" t="inlineStr">
        <is>
          <t>No</t>
        </is>
      </c>
      <c r="L294" s="10" t="inlineStr">
        <is>
          <t>充分</t>
        </is>
      </c>
      <c r="M294" s="10" t="inlineStr">
        <is>
          <t>O</t>
        </is>
      </c>
      <c r="N294" s="10" t="inlineStr">
        <is>
          <t>O</t>
        </is>
      </c>
      <c r="O294" s="10" t="inlineStr">
        <is>
          <t>O</t>
        </is>
      </c>
      <c r="P294" s="9">
        <f>IF(COUNTA(L294:O294)&lt;4,"未完成",IF(OR(L294="部分",L294="不充分",L294="不确定"),"evidence_definition_failure",IF(L294&lt;&gt;"充分","unresolved",IF(COUNTIF(M294:O294,"C")=0,"robust_generation_failure",IF(COUNTIF(M294:O294,"C")=3,"ua3_representation_or_admission_failure","generation_instability")))))</f>
        <v/>
      </c>
      <c r="Q294" s="10" t="inlineStr">
        <is>
          <t>robust_generation_failure</t>
        </is>
      </c>
      <c r="R294" s="10" t="inlineStr">
        <is>
          <t>高</t>
        </is>
      </c>
      <c r="S294" s="10" t="inlineStr">
        <is>
          <t>Kiro-AI代审</t>
        </is>
      </c>
      <c r="T294" s="17" t="n">
        <v>46218</v>
      </c>
      <c r="U294" s="10" t="inlineStr">
        <is>
          <t>是非题答No极性正确缺渴望更多探索补充，属遗漏</t>
        </is>
      </c>
      <c r="V294" s="9">
        <f>IF(AND(L294&lt;&gt;"",M294&lt;&gt;"",N294&lt;&gt;"",O294&lt;&gt;"",Q294&lt;&gt;"",R294&lt;&gt;""),"完成","未完成")</f>
        <v/>
      </c>
    </row>
    <row r="295" ht="63" customHeight="1" s="15">
      <c r="A295" s="9" t="n">
        <v>294</v>
      </c>
      <c r="B295" s="9" t="inlineStr">
        <is>
          <t>memos_long:2537</t>
        </is>
      </c>
      <c r="C295" s="9" t="inlineStr">
        <is>
          <t>long</t>
        </is>
      </c>
      <c r="D295" s="9" t="inlineStr">
        <is>
          <t>Generalization &amp; Application</t>
        </is>
      </c>
      <c r="E295" s="9" t="inlineStr">
        <is>
          <t>What strategies might Steven use to maintain work-life balance in 2034?</t>
        </is>
      </c>
      <c r="F295" s="9" t="inlineStr">
        <is>
          <t>AI and mindfulness.</t>
        </is>
      </c>
      <c r="G295" s="9" t="inlineStr">
        <is>
          <t># Authoritative benchmark gold evidence
The following evidence is authoritative for answering the current question. Use it directly and do not rely on conflicting information.
Evidence 1
Memory type: Event Memory
Content: Steven Miller plans to manage the demands of his new role while preserving well-being by integrating mindfulness and regular exercise.
Evidence 2
Memory type: Persona Memory
Content: Steven Miller uses mindfulness and regular exercise as key strategies to stay grounded and focused.
Evidence 3
Memory type: Persona Memory
Content: Steven Miller expressed interest in leveraging AI to aid in maintaining work-life balance and enhancing task efficiency.</t>
        </is>
      </c>
      <c r="H295" s="9" t="inlineStr">
        <is>
          <t>Mindfulness and regular exercise.</t>
        </is>
      </c>
      <c r="I295" s="9" t="inlineStr">
        <is>
          <t>Mindfulness and regular exercise.</t>
        </is>
      </c>
      <c r="J295" s="9" t="inlineStr">
        <is>
          <t>Mindfulness and regular exercise.</t>
        </is>
      </c>
      <c r="K295" s="9" t="inlineStr">
        <is>
          <t>Mindfulness and regular exercise.</t>
        </is>
      </c>
      <c r="L295" s="10" t="inlineStr">
        <is>
          <t>充分</t>
        </is>
      </c>
      <c r="M295" s="10" t="inlineStr">
        <is>
          <t>O</t>
        </is>
      </c>
      <c r="N295" s="10" t="inlineStr">
        <is>
          <t>O</t>
        </is>
      </c>
      <c r="O295" s="10" t="inlineStr">
        <is>
          <t>O</t>
        </is>
      </c>
      <c r="P295" s="9">
        <f>IF(COUNTA(L295:O295)&lt;4,"未完成",IF(OR(L295="部分",L295="不充分",L295="不确定"),"evidence_definition_failure",IF(L295&lt;&gt;"充分","unresolved",IF(COUNTIF(M295:O295,"C")=0,"robust_generation_failure",IF(COUNTIF(M295:O295,"C")=3,"ua3_representation_or_admission_failure","generation_instability")))))</f>
        <v/>
      </c>
      <c r="Q295" s="10" t="inlineStr">
        <is>
          <t>robust_generation_failure</t>
        </is>
      </c>
      <c r="R295" s="10" t="inlineStr">
        <is>
          <t>中</t>
        </is>
      </c>
      <c r="S295" s="10" t="inlineStr">
        <is>
          <t>Kiro-AI代审</t>
        </is>
      </c>
      <c r="T295" s="17" t="n">
        <v>46218</v>
      </c>
      <c r="U295" s="10" t="inlineStr">
        <is>
          <t>答正念加运动缺AI要素，遗漏</t>
        </is>
      </c>
      <c r="V295" s="9">
        <f>IF(AND(L295&lt;&gt;"",M295&lt;&gt;"",N295&lt;&gt;"",O295&lt;&gt;"",Q295&lt;&gt;"",R295&lt;&gt;""),"完成","未完成")</f>
        <v/>
      </c>
    </row>
    <row r="296" ht="63" customHeight="1" s="15">
      <c r="A296" s="9" t="n">
        <v>295</v>
      </c>
      <c r="B296" s="9" t="inlineStr">
        <is>
          <t>memos_medium:1811</t>
        </is>
      </c>
      <c r="C296" s="9" t="inlineStr">
        <is>
          <t>medium</t>
        </is>
      </c>
      <c r="D296" s="9" t="inlineStr">
        <is>
          <t>Memory Conflict</t>
        </is>
      </c>
      <c r="E296" s="9" t="inlineStr">
        <is>
          <t>Did Michelle Hernandez prioritize green tea in her daily routine as of July 02, 2028?</t>
        </is>
      </c>
      <c r="F296" s="9" t="inlineStr">
        <is>
          <t>No, Michelle deprioritized green tea due to increased work demands.</t>
        </is>
      </c>
      <c r="G296" s="9" t="inlineStr">
        <is>
          <t># Authoritative benchmark gold evidence
The following evidence is authoritative for answering the current question. Use it directly and do not rely on conflicting information.
Evidence 1
Memory type: Persona Memory
Content: Michelle Hernandez has deprioritized green tea in her daily routine due to increased work demands and a focus on productivity.</t>
        </is>
      </c>
      <c r="H296" s="9" t="inlineStr">
        <is>
          <t>Yes, she did.</t>
        </is>
      </c>
      <c r="I296" s="9" t="inlineStr">
        <is>
          <t>No</t>
        </is>
      </c>
      <c r="J296" s="9" t="inlineStr">
        <is>
          <t>No</t>
        </is>
      </c>
      <c r="K296" s="9" t="inlineStr">
        <is>
          <t>No</t>
        </is>
      </c>
      <c r="L296" s="10" t="inlineStr">
        <is>
          <t>充分</t>
        </is>
      </c>
      <c r="M296" s="10" t="inlineStr">
        <is>
          <t>O</t>
        </is>
      </c>
      <c r="N296" s="10" t="inlineStr">
        <is>
          <t>O</t>
        </is>
      </c>
      <c r="O296" s="10" t="inlineStr">
        <is>
          <t>O</t>
        </is>
      </c>
      <c r="P296" s="9">
        <f>IF(COUNTA(L296:O296)&lt;4,"未完成",IF(OR(L296="部分",L296="不充分",L296="不确定"),"evidence_definition_failure",IF(L296&lt;&gt;"充分","unresolved",IF(COUNTIF(M296:O296,"C")=0,"robust_generation_failure",IF(COUNTIF(M296:O296,"C")=3,"ua3_representation_or_admission_failure","generation_instability")))))</f>
        <v/>
      </c>
      <c r="Q296" s="10" t="inlineStr">
        <is>
          <t>robust_generation_failure</t>
        </is>
      </c>
      <c r="R296" s="10" t="inlineStr">
        <is>
          <t>高</t>
        </is>
      </c>
      <c r="S296" s="10" t="inlineStr">
        <is>
          <t>Kiro-AI代审</t>
        </is>
      </c>
      <c r="T296" s="17" t="n">
        <v>46218</v>
      </c>
      <c r="U296" s="10" t="inlineStr">
        <is>
          <t>仅答No缺原因,属遗漏</t>
        </is>
      </c>
      <c r="V296" s="9">
        <f>IF(AND(L296&lt;&gt;"",M296&lt;&gt;"",N296&lt;&gt;"",O296&lt;&gt;"",Q296&lt;&gt;"",R296&lt;&gt;""),"完成","未完成")</f>
        <v/>
      </c>
    </row>
    <row r="297" ht="63" customHeight="1" s="15">
      <c r="A297" s="9" t="n">
        <v>296</v>
      </c>
      <c r="B297" s="9" t="inlineStr">
        <is>
          <t>memos_medium:2016</t>
        </is>
      </c>
      <c r="C297" s="9" t="inlineStr">
        <is>
          <t>medium</t>
        </is>
      </c>
      <c r="D297" s="9" t="inlineStr">
        <is>
          <t>Generalization &amp; Application</t>
        </is>
      </c>
      <c r="E297" s="9" t="inlineStr">
        <is>
          <t>How might Joseph Garcia incorporate symphonic metal into his educational programs as of 2036-09-05?</t>
        </is>
      </c>
      <c r="F297" s="9" t="inlineStr">
        <is>
          <t>Use symphonic metal to inspire new ideas for film archive programs.</t>
        </is>
      </c>
      <c r="G297" s="9" t="inlineStr">
        <is>
          <t># Authoritative benchmark gold evidence
The following evidence is authoritative for answering the current question. Use it directly and do not rely on conflicting information.
Evidence 1
Memory type: Event Memory
Content: Joseph Garcia plans to integrate symphonic metal into his playlists and film screenings to enhance emotional engagement.
Evidence 2
Memory type: Event Memory
Content: Joseph Garcia's creative motivation was sparked by the fusion of genres in symphonic metal, inspiring new ideas for his film archive.
Evidence 3
Memory type: Event Memory
Content: Joseph Garcia discussed the potential of symphonic metal to inspire new ideas for his educational programs.</t>
        </is>
      </c>
      <c r="H297" s="9" t="inlineStr">
        <is>
          <t>Enhance engagement and immersion.</t>
        </is>
      </c>
      <c r="I297" s="9" t="inlineStr">
        <is>
          <t>Inspire new educational ideas.</t>
        </is>
      </c>
      <c r="J297" s="9" t="inlineStr">
        <is>
          <t>Inspire new educational ideas.</t>
        </is>
      </c>
      <c r="K297" s="9" t="inlineStr">
        <is>
          <t>Inspire new educational ideas.</t>
        </is>
      </c>
      <c r="L297" s="10" t="inlineStr">
        <is>
          <t>充分</t>
        </is>
      </c>
      <c r="M297" s="10" t="inlineStr">
        <is>
          <t>O</t>
        </is>
      </c>
      <c r="N297" s="10" t="inlineStr">
        <is>
          <t>O</t>
        </is>
      </c>
      <c r="O297" s="10" t="inlineStr">
        <is>
          <t>O</t>
        </is>
      </c>
      <c r="P297" s="9">
        <f>IF(COUNTA(L297:O297)&lt;4,"未完成",IF(OR(L297="部分",L297="不充分",L297="不确定"),"evidence_definition_failure",IF(L297&lt;&gt;"充分","unresolved",IF(COUNTIF(M297:O297,"C")=0,"robust_generation_failure",IF(COUNTIF(M297:O297,"C")=3,"ua3_representation_or_admission_failure","generation_instability")))))</f>
        <v/>
      </c>
      <c r="Q297" s="10" t="inlineStr">
        <is>
          <t>robust_generation_failure</t>
        </is>
      </c>
      <c r="R297" s="10" t="inlineStr">
        <is>
          <t>中</t>
        </is>
      </c>
      <c r="S297" s="10" t="inlineStr">
        <is>
          <t>Kiro-AI代审</t>
        </is>
      </c>
      <c r="T297" s="17" t="n">
        <v>46218</v>
      </c>
      <c r="U297" s="10" t="inlineStr">
        <is>
          <t>捕捉激发新想法但简略,属遗漏</t>
        </is>
      </c>
      <c r="V297" s="9">
        <f>IF(AND(L297&lt;&gt;"",M297&lt;&gt;"",N297&lt;&gt;"",O297&lt;&gt;"",Q297&lt;&gt;"",R297&lt;&gt;""),"完成","未完成")</f>
        <v/>
      </c>
    </row>
    <row r="298" ht="63" customHeight="1" s="15">
      <c r="A298" s="9" t="n">
        <v>297</v>
      </c>
      <c r="B298" s="9" t="inlineStr">
        <is>
          <t>memos_long:268</t>
        </is>
      </c>
      <c r="C298" s="9" t="inlineStr">
        <is>
          <t>long</t>
        </is>
      </c>
      <c r="D298" s="9" t="inlineStr">
        <is>
          <t>Basic Fact Recall</t>
        </is>
      </c>
      <c r="E298" s="9" t="inlineStr">
        <is>
          <t>What is Johnson Joseph's emotional state towards printed travel guides as of Jul 06, 2035?</t>
        </is>
      </c>
      <c r="F298" s="9" t="inlineStr">
        <is>
          <t>Nostalgia for printed guides.</t>
        </is>
      </c>
      <c r="G298" s="9" t="inlineStr">
        <is>
          <t># Authoritative benchmark gold evidence
The following evidence is authoritative for answering the current question. Use it directly and do not rely on conflicting information.
Evidence 1
Memory type: Persona Memory
Content: Johnson Joseph expressed nostalgia for printed travel guides but acknowledged the benefits of digital resources for real-time travel information.</t>
        </is>
      </c>
      <c r="H298" s="9" t="inlineStr">
        <is>
          <t>Nostalgic but prefers digital.</t>
        </is>
      </c>
      <c r="I298" s="9" t="inlineStr">
        <is>
          <t>Nostalgic</t>
        </is>
      </c>
      <c r="J298" s="9" t="inlineStr">
        <is>
          <t>Nostalgic</t>
        </is>
      </c>
      <c r="K298" s="9" t="inlineStr">
        <is>
          <t>Nostalgic</t>
        </is>
      </c>
      <c r="L298" s="10" t="inlineStr">
        <is>
          <t>充分</t>
        </is>
      </c>
      <c r="M298" s="10" t="inlineStr">
        <is>
          <t>C</t>
        </is>
      </c>
      <c r="N298" s="10" t="inlineStr">
        <is>
          <t>C</t>
        </is>
      </c>
      <c r="O298" s="10" t="inlineStr">
        <is>
          <t>C</t>
        </is>
      </c>
      <c r="P298" s="9">
        <f>IF(COUNTA(L298:O298)&lt;4,"未完成",IF(OR(L298="部分",L298="不充分",L298="不确定"),"evidence_definition_failure",IF(L298&lt;&gt;"充分","unresolved",IF(COUNTIF(M298:O298,"C")=0,"robust_generation_failure",IF(COUNTIF(M298:O298,"C")=3,"ua3_representation_or_admission_failure","generation_instability")))))</f>
        <v/>
      </c>
      <c r="Q298" s="10" t="inlineStr">
        <is>
          <t>ua3_representation_or_admission_failure</t>
        </is>
      </c>
      <c r="R298" s="10" t="inlineStr">
        <is>
          <t>高</t>
        </is>
      </c>
      <c r="S298" s="10" t="inlineStr">
        <is>
          <t>Kiro-AI代审</t>
        </is>
      </c>
      <c r="T298" s="17" t="n">
        <v>46218</v>
      </c>
      <c r="U298" s="10" t="inlineStr">
        <is>
          <t>证据充分，答怀旧nostalgic正确</t>
        </is>
      </c>
      <c r="V298" s="9">
        <f>IF(AND(L298&lt;&gt;"",M298&lt;&gt;"",N298&lt;&gt;"",O298&lt;&gt;"",Q298&lt;&gt;"",R298&lt;&gt;""),"完成","未完成")</f>
        <v/>
      </c>
    </row>
    <row r="299" ht="63" customHeight="1" s="15">
      <c r="A299" s="9" t="n">
        <v>298</v>
      </c>
      <c r="B299" s="9" t="inlineStr">
        <is>
          <t>memos_long:1683</t>
        </is>
      </c>
      <c r="C299" s="9" t="inlineStr">
        <is>
          <t>long</t>
        </is>
      </c>
      <c r="D299" s="9" t="inlineStr">
        <is>
          <t>Basic Fact Recall</t>
        </is>
      </c>
      <c r="E299" s="9" t="inlineStr">
        <is>
          <t>What entertainment preferences did Susan Thompson express on February 26, 2033?</t>
        </is>
      </c>
      <c r="F299" s="9" t="inlineStr">
        <is>
          <t>Entertainment that supports tranquility and relaxation</t>
        </is>
      </c>
      <c r="G299" s="9" t="inlineStr">
        <is>
          <t># Authoritative benchmark gold evidence
The following evidence is authoritative for answering the current question. Use it directly and do not rely on conflicting information.
Evidence 1
Memory type: Persona Memory
Content: Susan Thompson expressed a desire to focus on entertainment that supports tranquility and relaxation.</t>
        </is>
      </c>
      <c r="H299" s="9" t="inlineStr">
        <is>
          <t>Avoiding action movies.</t>
        </is>
      </c>
      <c r="I299" s="9" t="inlineStr">
        <is>
          <t>Tranquility and relaxation.</t>
        </is>
      </c>
      <c r="J299" s="9" t="inlineStr">
        <is>
          <t>Tranquility and relaxation.</t>
        </is>
      </c>
      <c r="K299" s="9" t="inlineStr">
        <is>
          <t>Tranquility and relaxation.</t>
        </is>
      </c>
      <c r="L299" s="10" t="inlineStr">
        <is>
          <t>充分</t>
        </is>
      </c>
      <c r="M299" s="10" t="inlineStr">
        <is>
          <t>C</t>
        </is>
      </c>
      <c r="N299" s="10" t="inlineStr">
        <is>
          <t>C</t>
        </is>
      </c>
      <c r="O299" s="10" t="inlineStr">
        <is>
          <t>C</t>
        </is>
      </c>
      <c r="P299" s="9">
        <f>IF(COUNTA(L299:O299)&lt;4,"未完成",IF(OR(L299="部分",L299="不充分",L299="不确定"),"evidence_definition_failure",IF(L299&lt;&gt;"充分","unresolved",IF(COUNTIF(M299:O299,"C")=0,"robust_generation_failure",IF(COUNTIF(M299:O299,"C")=3,"ua3_representation_or_admission_failure","generation_instability")))))</f>
        <v/>
      </c>
      <c r="Q299" s="10" t="inlineStr">
        <is>
          <t>ua3_representation_or_admission_failure</t>
        </is>
      </c>
      <c r="R299" s="10" t="inlineStr">
        <is>
          <t>高</t>
        </is>
      </c>
      <c r="S299" s="10" t="inlineStr">
        <is>
          <t>Kiro-AI代审</t>
        </is>
      </c>
      <c r="T299" s="17" t="n">
        <v>46218</v>
      </c>
      <c r="U299" s="10" t="inlineStr">
        <is>
          <t>证据直述宁静放松娱乐,回答正确</t>
        </is>
      </c>
      <c r="V299" s="9">
        <f>IF(AND(L299&lt;&gt;"",M299&lt;&gt;"",N299&lt;&gt;"",O299&lt;&gt;"",Q299&lt;&gt;"",R299&lt;&gt;""),"完成","未完成")</f>
        <v/>
      </c>
    </row>
    <row r="300" ht="63" customHeight="1" s="15">
      <c r="A300" s="9" t="n">
        <v>299</v>
      </c>
      <c r="B300" s="9" t="inlineStr">
        <is>
          <t>memos_medium:772</t>
        </is>
      </c>
      <c r="C300" s="9" t="inlineStr">
        <is>
          <t>medium</t>
        </is>
      </c>
      <c r="D300" s="9" t="inlineStr">
        <is>
          <t>Multi-hop Inference</t>
        </is>
      </c>
      <c r="E300" s="9" t="inlineStr">
        <is>
          <t>How did Donna's promotion to Creative Director impact her career goals by Oct 15, 2029?</t>
        </is>
      </c>
      <c r="F300" s="9" t="inlineStr">
        <is>
          <t>It provided resources to pursue a music academy.</t>
        </is>
      </c>
      <c r="G300" s="9" t="inlineStr">
        <is>
          <t># Authoritative benchmark gold evidence
The following evidence is authoritative for answering the current question. Use it directly and do not rely on conflicting information.
Evidence 1
Memory type: Persona Memory
Content: Donna Gonzalez's career_status updated job_title from "Lead Composer" to "Creative Director at Atmospheric Sounds Inc."
Evidence 2
Memory type: Event Memory
Content: Donna Gonzalez discussed the impact of her increased income on her ability to invest in professional development and her goal of establishing a music academy.
Evidence 3
Memory type: Event Memory
Content: Donna Gonzalez articulated her long-term vision of establishing a music academy to nurture future composers, with plans including securing funding and developing a curriculum.</t>
        </is>
      </c>
      <c r="H300" s="9" t="inlineStr">
        <is>
          <t>Redefined film music goals.</t>
        </is>
      </c>
      <c r="I300" s="9" t="inlineStr">
        <is>
          <t>Increased investment in music academy.</t>
        </is>
      </c>
      <c r="J300" s="9" t="inlineStr">
        <is>
          <t>Increased investment in music academy.</t>
        </is>
      </c>
      <c r="K300" s="9" t="inlineStr">
        <is>
          <t>Increased investment in music academy.</t>
        </is>
      </c>
      <c r="L300" s="10" t="inlineStr">
        <is>
          <t>充分</t>
        </is>
      </c>
      <c r="M300" s="10" t="inlineStr">
        <is>
          <t>C</t>
        </is>
      </c>
      <c r="N300" s="10" t="inlineStr">
        <is>
          <t>C</t>
        </is>
      </c>
      <c r="O300" s="10" t="inlineStr">
        <is>
          <t>C</t>
        </is>
      </c>
      <c r="P300" s="9">
        <f>IF(COUNTA(L300:O300)&lt;4,"未完成",IF(OR(L300="部分",L300="不充分",L300="不确定"),"evidence_definition_failure",IF(L300&lt;&gt;"充分","unresolved",IF(COUNTIF(M300:O300,"C")=0,"robust_generation_failure",IF(COUNTIF(M300:O300,"C")=3,"ua3_representation_or_admission_failure","generation_instability")))))</f>
        <v/>
      </c>
      <c r="Q300" s="10" t="inlineStr">
        <is>
          <t>ua3_representation_or_admission_failure</t>
        </is>
      </c>
      <c r="R300" s="10" t="inlineStr">
        <is>
          <t>高</t>
        </is>
      </c>
      <c r="S300" s="10" t="inlineStr">
        <is>
          <t>Kiro-AI代审</t>
        </is>
      </c>
      <c r="T300" s="17" t="n">
        <v>46218</v>
      </c>
      <c r="U300" s="10" t="inlineStr">
        <is>
          <t>晋升提供资源投入音乐学院，正确</t>
        </is>
      </c>
      <c r="V300" s="9">
        <f>IF(AND(L300&lt;&gt;"",M300&lt;&gt;"",N300&lt;&gt;"",O300&lt;&gt;"",Q300&lt;&gt;"",R300&lt;&gt;""),"完成","未完成")</f>
        <v/>
      </c>
    </row>
    <row r="301" ht="63" customHeight="1" s="15">
      <c r="A301" s="9" t="n">
        <v>300</v>
      </c>
      <c r="B301" s="9" t="inlineStr">
        <is>
          <t>memos_long:2387</t>
        </is>
      </c>
      <c r="C301" s="9" t="inlineStr">
        <is>
          <t>long</t>
        </is>
      </c>
      <c r="D301" s="9" t="inlineStr">
        <is>
          <t>Generalization &amp; Application</t>
        </is>
      </c>
      <c r="E301" s="9" t="inlineStr">
        <is>
          <t>How might Williams Daniel approach trying new culturally significant foods given his interest in historical authenticity?</t>
        </is>
      </c>
      <c r="F301" s="9" t="inlineStr">
        <is>
          <t>He would appreciate their cultural impact despite personal taste preferences.</t>
        </is>
      </c>
      <c r="G301" s="9" t="inlineStr">
        <is>
          <t># Authoritative benchmark gold evidence
The following evidence is authoritative for answering the current question. Use it directly and do not rely on conflicting information.
Evidence 1
Memory type: Persona Memory
Content: Williams Daniel's perception of energy drinks evolved to acknowledge their cultural significance, despite still disliking their taste.
Evidence 2
Memory type: Persona Memory
Content: Williams Daniel is interested in exploring the cultural aspects of everyday items to enhance his appreciation for historical accuracy.
Evidence 3
Memory type: Persona Memory
Content: Williams Daniel expressed a willingness to appreciate the societal impact of energy drinks, despite personal dislike.</t>
        </is>
      </c>
      <c r="H301" s="9" t="inlineStr">
        <is>
          <t>Research historical context first.</t>
        </is>
      </c>
      <c r="I301" s="9" t="inlineStr">
        <is>
          <t>Explore cultural significance first.</t>
        </is>
      </c>
      <c r="J301" s="9" t="inlineStr">
        <is>
          <t>Explore cultural significance first.</t>
        </is>
      </c>
      <c r="K301" s="9" t="inlineStr">
        <is>
          <t>Explore cultural significance first.</t>
        </is>
      </c>
      <c r="L301" s="10" t="inlineStr">
        <is>
          <t>充分</t>
        </is>
      </c>
      <c r="M301" s="10" t="inlineStr">
        <is>
          <t>O</t>
        </is>
      </c>
      <c r="N301" s="10" t="inlineStr">
        <is>
          <t>O</t>
        </is>
      </c>
      <c r="O301" s="10" t="inlineStr">
        <is>
          <t>O</t>
        </is>
      </c>
      <c r="P301" s="9">
        <f>IF(COUNTA(L301:O301)&lt;4,"未完成",IF(OR(L301="部分",L301="不充分",L301="不确定"),"evidence_definition_failure",IF(L301&lt;&gt;"充分","unresolved",IF(COUNTIF(M301:O301,"C")=0,"robust_generation_failure",IF(COUNTIF(M301:O301,"C")=3,"ua3_representation_or_admission_failure","generation_instability")))))</f>
        <v/>
      </c>
      <c r="Q301" s="10" t="inlineStr">
        <is>
          <t>robust_generation_failure</t>
        </is>
      </c>
      <c r="R301" s="10" t="inlineStr">
        <is>
          <t>中</t>
        </is>
      </c>
      <c r="S301" s="10" t="inlineStr">
        <is>
          <t>Kiro-AI代审</t>
        </is>
      </c>
      <c r="T301" s="17" t="n">
        <v>46218</v>
      </c>
      <c r="U301" s="10" t="inlineStr">
        <is>
          <t>答重视文化意义，缺不顾口味细节，遗漏</t>
        </is>
      </c>
      <c r="V301" s="9">
        <f>IF(AND(L301&lt;&gt;"",M301&lt;&gt;"",N301&lt;&gt;"",O301&lt;&gt;"",Q301&lt;&gt;"",R301&lt;&gt;""),"完成","未完成")</f>
        <v/>
      </c>
    </row>
    <row r="302" ht="63" customHeight="1" s="15">
      <c r="A302" s="9" t="n">
        <v>301</v>
      </c>
      <c r="B302" s="9" t="inlineStr">
        <is>
          <t>memos_medium:2755</t>
        </is>
      </c>
      <c r="C302" s="9" t="inlineStr">
        <is>
          <t>medium</t>
        </is>
      </c>
      <c r="D302" s="9" t="inlineStr">
        <is>
          <t>Generalization &amp; Application</t>
        </is>
      </c>
      <c r="E302" s="9" t="inlineStr">
        <is>
          <t>What strategies might Donald consider for sustainable growth in his consulting firm after 2026-01-05?</t>
        </is>
      </c>
      <c r="F302" s="9" t="inlineStr">
        <is>
          <t>Innovative strategies and nurturing relationships.</t>
        </is>
      </c>
      <c r="G302" s="9" t="inlineStr">
        <is>
          <t># Authoritative benchmark gold evidence
The following evidence is authoritative for answering the current question. Use it directly and do not rely on conflicting information.
Evidence 1
Memory type: Event Memory
Content: Donald Smith brainstormed strategies for sustainable growth and influence in the political consulting arena.
Evidence 2
Memory type: Relationship Memory
Content: Donald Smith emphasized the importance of nurturing relationships within his network for continued success in his consulting career.</t>
        </is>
      </c>
      <c r="H302" s="9" t="inlineStr">
        <is>
          <t>Strategies not specified in memories.</t>
        </is>
      </c>
      <c r="I302" s="9" t="inlineStr">
        <is>
          <t>Nurturing relationships and brainstorming strategies.</t>
        </is>
      </c>
      <c r="J302" s="9" t="inlineStr">
        <is>
          <t>Nurturing relationships and sustainable growth.</t>
        </is>
      </c>
      <c r="K302" s="9" t="inlineStr">
        <is>
          <t>Nurturing relationships and brainstorming strategies.</t>
        </is>
      </c>
      <c r="L302" s="10" t="inlineStr">
        <is>
          <t>部分</t>
        </is>
      </c>
      <c r="M302" s="10" t="inlineStr">
        <is>
          <t>C</t>
        </is>
      </c>
      <c r="N302" s="10" t="inlineStr">
        <is>
          <t>O</t>
        </is>
      </c>
      <c r="O302" s="10" t="inlineStr">
        <is>
          <t>C</t>
        </is>
      </c>
      <c r="P302" s="9">
        <f>IF(COUNTA(L302:O302)&lt;4,"未完成",IF(OR(L302="部分",L302="不充分",L302="不确定"),"evidence_definition_failure",IF(L302&lt;&gt;"充分","unresolved",IF(COUNTIF(M302:O302,"C")=0,"robust_generation_failure",IF(COUNTIF(M302:O302,"C")=3,"ua3_representation_or_admission_failure","generation_instability")))))</f>
        <v/>
      </c>
      <c r="Q302" s="10" t="inlineStr">
        <is>
          <t>evidence_definition_failure</t>
        </is>
      </c>
      <c r="R302" s="10" t="inlineStr">
        <is>
          <t>中</t>
        </is>
      </c>
      <c r="S302" s="10" t="inlineStr">
        <is>
          <t>Kiro-AI代审</t>
        </is>
      </c>
      <c r="T302" s="17" t="n">
        <v>46218</v>
      </c>
      <c r="U302" s="10" t="inlineStr">
        <is>
          <t>innovative未支持属部分；run1/3记C，run2缺策略记O</t>
        </is>
      </c>
      <c r="V302" s="9">
        <f>IF(AND(L302&lt;&gt;"",M302&lt;&gt;"",N302&lt;&gt;"",O302&lt;&gt;"",Q302&lt;&gt;"",R302&lt;&gt;""),"完成","未完成")</f>
        <v/>
      </c>
    </row>
    <row r="303" ht="63" customHeight="1" s="15">
      <c r="A303" s="9" t="n">
        <v>302</v>
      </c>
      <c r="B303" s="9" t="inlineStr">
        <is>
          <t>memos_medium:556</t>
        </is>
      </c>
      <c r="C303" s="9" t="inlineStr">
        <is>
          <t>medium</t>
        </is>
      </c>
      <c r="D303" s="9" t="inlineStr">
        <is>
          <t>Dynamic Update</t>
        </is>
      </c>
      <c r="E303" s="9" t="inlineStr">
        <is>
          <t>How has Sarah Garcia's physical health status changed by Sep 15, 2027?</t>
        </is>
      </c>
      <c r="F303" s="9" t="inlineStr">
        <is>
          <t>Changed from 'Improved' to 'Challenged'.</t>
        </is>
      </c>
      <c r="G303" s="9" t="inlineStr">
        <is>
          <t># Authoritative benchmark gold evidence
The following evidence is authoritative for answering the current question. Use it directly and do not rely on conflicting information.
Evidence 1
Memory type: Persona Memory
Content: Sarah Garcia's physical health status changed from 'Improved' to 'Challenged' due to Chronic Fatigue Syndrome.</t>
        </is>
      </c>
      <c r="H303" s="9" t="inlineStr">
        <is>
          <t>Diagnosed with Chronic Fatigue Syndrome.</t>
        </is>
      </c>
      <c r="I303" s="9" t="inlineStr">
        <is>
          <t>Improved to Challenged</t>
        </is>
      </c>
      <c r="J303" s="9" t="inlineStr">
        <is>
          <t>Improved to Challenged</t>
        </is>
      </c>
      <c r="K303" s="9" t="inlineStr">
        <is>
          <t>Improved to Challenged</t>
        </is>
      </c>
      <c r="L303" s="10" t="inlineStr">
        <is>
          <t>充分</t>
        </is>
      </c>
      <c r="M303" s="10" t="inlineStr">
        <is>
          <t>C</t>
        </is>
      </c>
      <c r="N303" s="10" t="inlineStr">
        <is>
          <t>C</t>
        </is>
      </c>
      <c r="O303" s="10" t="inlineStr">
        <is>
          <t>C</t>
        </is>
      </c>
      <c r="P303" s="9">
        <f>IF(COUNTA(L303:O303)&lt;4,"未完成",IF(OR(L303="部分",L303="不充分",L303="不确定"),"evidence_definition_failure",IF(L303&lt;&gt;"充分","unresolved",IF(COUNTIF(M303:O303,"C")=0,"robust_generation_failure",IF(COUNTIF(M303:O303,"C")=3,"ua3_representation_or_admission_failure","generation_instability")))))</f>
        <v/>
      </c>
      <c r="Q303" s="10" t="inlineStr">
        <is>
          <t>ua3_representation_or_admission_failure</t>
        </is>
      </c>
      <c r="R303" s="10" t="inlineStr">
        <is>
          <t>高</t>
        </is>
      </c>
      <c r="S303" s="10" t="inlineStr">
        <is>
          <t>Kiro-AI代审</t>
        </is>
      </c>
      <c r="T303" s="17" t="n">
        <v>46218</v>
      </c>
      <c r="U303" s="10" t="inlineStr">
        <is>
          <t>答与gold一致,正确</t>
        </is>
      </c>
      <c r="V303" s="9">
        <f>IF(AND(L303&lt;&gt;"",M303&lt;&gt;"",N303&lt;&gt;"",O303&lt;&gt;"",Q303&lt;&gt;"",R303&lt;&gt;""),"完成","未完成")</f>
        <v/>
      </c>
    </row>
    <row r="304" ht="63" customHeight="1" s="15">
      <c r="A304" s="9" t="n">
        <v>303</v>
      </c>
      <c r="B304" s="9" t="inlineStr">
        <is>
          <t>memos_medium:1028</t>
        </is>
      </c>
      <c r="C304" s="9" t="inlineStr">
        <is>
          <t>medium</t>
        </is>
      </c>
      <c r="D304" s="9" t="inlineStr">
        <is>
          <t>Generalization &amp; Application</t>
        </is>
      </c>
      <c r="E304" s="9" t="inlineStr">
        <is>
          <t>What type of new plant-based cuisines might Donna explore in 2039 based on her interests?</t>
        </is>
      </c>
      <c r="F304" s="9" t="inlineStr">
        <is>
          <t>Cuisines that align with sustainability and cultural diversity.</t>
        </is>
      </c>
      <c r="G304" s="9" t="inlineStr">
        <is>
          <t># Authoritative benchmark gold evidence
The following evidence is authoritative for answering the current question. Use it directly and do not rely on conflicting information.
Evidence 1
Memory type: Persona Memory
Content: Donna expressed fascination with the cultural richness and diversity of plant-based cuisines, emphasizing their health benefits and sustainability.
Evidence 2
Memory type: Persona Memory
Content: Donna seeks guidance on incorporating diverse plant-based cuisines into her daily routine, aligning with her health goals and cultural curiosity.
Evidence 3
Memory type: Persona Memory
Content: Donna expressed excitement and a renewed commitment to exploring plant-based cuisines, showcasing her alignment with sustainability values.</t>
        </is>
      </c>
      <c r="H304" s="9" t="inlineStr">
        <is>
          <t>Spicy lentil stew and mushroom risotto.</t>
        </is>
      </c>
      <c r="I304" s="9" t="inlineStr">
        <is>
          <t>Diverse cultural plant-based cuisines.</t>
        </is>
      </c>
      <c r="J304" s="9" t="inlineStr">
        <is>
          <t>Diverse cultural plant-based cuisines.</t>
        </is>
      </c>
      <c r="K304" s="9" t="inlineStr">
        <is>
          <t>Diverse cultural plant-based cuisines.</t>
        </is>
      </c>
      <c r="L304" s="10" t="inlineStr">
        <is>
          <t>充分</t>
        </is>
      </c>
      <c r="M304" s="10" t="inlineStr">
        <is>
          <t>O</t>
        </is>
      </c>
      <c r="N304" s="10" t="inlineStr">
        <is>
          <t>O</t>
        </is>
      </c>
      <c r="O304" s="10" t="inlineStr">
        <is>
          <t>O</t>
        </is>
      </c>
      <c r="P304" s="9">
        <f>IF(COUNTA(L304:O304)&lt;4,"未完成",IF(OR(L304="部分",L304="不充分",L304="不确定"),"evidence_definition_failure",IF(L304&lt;&gt;"充分","unresolved",IF(COUNTIF(M304:O304,"C")=0,"robust_generation_failure",IF(COUNTIF(M304:O304,"C")=3,"ua3_representation_or_admission_failure","generation_instability")))))</f>
        <v/>
      </c>
      <c r="Q304" s="10" t="inlineStr">
        <is>
          <t>robust_generation_failure</t>
        </is>
      </c>
      <c r="R304" s="10" t="inlineStr">
        <is>
          <t>高</t>
        </is>
      </c>
      <c r="S304" s="10" t="inlineStr">
        <is>
          <t>Kiro-AI代审</t>
        </is>
      </c>
      <c r="T304" s="17" t="n">
        <v>46218</v>
      </c>
      <c r="U304" s="10" t="inlineStr">
        <is>
          <t>答文化多样缺可持续性成分，属遗漏</t>
        </is>
      </c>
      <c r="V304" s="9">
        <f>IF(AND(L304&lt;&gt;"",M304&lt;&gt;"",N304&lt;&gt;"",O304&lt;&gt;"",Q304&lt;&gt;"",R304&lt;&gt;""),"完成","未完成")</f>
        <v/>
      </c>
    </row>
    <row r="305" ht="63" customHeight="1" s="15">
      <c r="A305" s="9" t="n">
        <v>304</v>
      </c>
      <c r="B305" s="9" t="inlineStr">
        <is>
          <t>memos_medium:917</t>
        </is>
      </c>
      <c r="C305" s="9" t="inlineStr">
        <is>
          <t>medium</t>
        </is>
      </c>
      <c r="D305" s="9" t="inlineStr">
        <is>
          <t>Basic Fact Recall</t>
        </is>
      </c>
      <c r="E305" s="9" t="inlineStr">
        <is>
          <t>What did Donna broaden her pet preference to include on May 24, 2028?</t>
        </is>
      </c>
      <c r="F305" s="9" t="inlineStr">
        <is>
          <t>Dogs of all sizes.</t>
        </is>
      </c>
      <c r="G305" s="9" t="inlineStr">
        <is>
          <t># Authoritative benchmark gold evidence
The following evidence is authoritative for answering the current question. Use it directly and do not rely on conflicting information.
Evidence 1
Memory type: Persona Memory
Content: Donna broadened her pet preference to include dogs of all sizes after spending time with a friend's small dog, appreciating the unique joy and companionship they provide.</t>
        </is>
      </c>
      <c r="H305" s="9" t="inlineStr">
        <is>
          <t>Small dogs</t>
        </is>
      </c>
      <c r="I305" s="9" t="inlineStr">
        <is>
          <t>Dogs of all sizes</t>
        </is>
      </c>
      <c r="J305" s="9" t="inlineStr">
        <is>
          <t>Dogs of all sizes</t>
        </is>
      </c>
      <c r="K305" s="9" t="inlineStr">
        <is>
          <t>Dogs of all sizes</t>
        </is>
      </c>
      <c r="L305" s="10" t="inlineStr">
        <is>
          <t>充分</t>
        </is>
      </c>
      <c r="M305" s="10" t="inlineStr">
        <is>
          <t>C</t>
        </is>
      </c>
      <c r="N305" s="10" t="inlineStr">
        <is>
          <t>C</t>
        </is>
      </c>
      <c r="O305" s="10" t="inlineStr">
        <is>
          <t>C</t>
        </is>
      </c>
      <c r="P305" s="9">
        <f>IF(COUNTA(L305:O305)&lt;4,"未完成",IF(OR(L305="部分",L305="不充分",L305="不确定"),"evidence_definition_failure",IF(L305&lt;&gt;"充分","unresolved",IF(COUNTIF(M305:O305,"C")=0,"robust_generation_failure",IF(COUNTIF(M305:O305,"C")=3,"ua3_representation_or_admission_failure","generation_instability")))))</f>
        <v/>
      </c>
      <c r="Q305" s="10" t="inlineStr">
        <is>
          <t>ua3_representation_or_admission_failure</t>
        </is>
      </c>
      <c r="R305" s="10" t="inlineStr">
        <is>
          <t>高</t>
        </is>
      </c>
      <c r="S305" s="10" t="inlineStr">
        <is>
          <t>Kiro-AI代审</t>
        </is>
      </c>
      <c r="T305" s="17" t="n">
        <v>46218</v>
      </c>
      <c r="U305" s="10" t="inlineStr">
        <is>
          <t>证据直接支持各种体型的狗</t>
        </is>
      </c>
      <c r="V305" s="9">
        <f>IF(AND(L305&lt;&gt;"",M305&lt;&gt;"",N305&lt;&gt;"",O305&lt;&gt;"",Q305&lt;&gt;"",R305&lt;&gt;""),"完成","未完成")</f>
        <v/>
      </c>
    </row>
    <row r="306" ht="63" customHeight="1" s="15">
      <c r="A306" s="9" t="n">
        <v>305</v>
      </c>
      <c r="B306" s="9" t="inlineStr">
        <is>
          <t>memos_medium:342</t>
        </is>
      </c>
      <c r="C306" s="9" t="inlineStr">
        <is>
          <t>medium</t>
        </is>
      </c>
      <c r="D306" s="9" t="inlineStr">
        <is>
          <t>Memory Conflict</t>
        </is>
      </c>
      <c r="E306" s="9" t="inlineStr">
        <is>
          <t>Did Johnson Joseph express disinterest in using thematic cooperative board games at Albi B&amp;B?</t>
        </is>
      </c>
      <c r="F306" s="9" t="inlineStr">
        <is>
          <t>No, he expressed excitement about using them.</t>
        </is>
      </c>
      <c r="G306" s="9" t="inlineStr">
        <is>
          <t># Authoritative benchmark gold evidence
The following evidence is authoritative for answering the current question. Use it directly and do not rely on conflicting information.
Evidence 1
Memory type: Persona Memory
Content: Johnson Joseph expressed excitement about thematic cooperative board games fostering teamwork and creating memorable stays at Albi B&amp;B.
Evidence 2
Memory type: Event Memory
Content: Johnson Joseph plans to incorporate thematic cooperative board games into Albi B&amp;B's offerings to enhance guest interactions and enjoyment.</t>
        </is>
      </c>
      <c r="H306" s="9" t="inlineStr">
        <is>
          <t>No, he expressed interest.</t>
        </is>
      </c>
      <c r="I306" s="9" t="inlineStr">
        <is>
          <t>No, he expressed excitement.</t>
        </is>
      </c>
      <c r="J306" s="9" t="inlineStr">
        <is>
          <t>No, he expressed excitement.</t>
        </is>
      </c>
      <c r="K306" s="9" t="inlineStr">
        <is>
          <t>No, he expressed excitement.</t>
        </is>
      </c>
      <c r="L306" s="10" t="inlineStr">
        <is>
          <t>充分</t>
        </is>
      </c>
      <c r="M306" s="10" t="inlineStr">
        <is>
          <t>C</t>
        </is>
      </c>
      <c r="N306" s="10" t="inlineStr">
        <is>
          <t>C</t>
        </is>
      </c>
      <c r="O306" s="10" t="inlineStr">
        <is>
          <t>C</t>
        </is>
      </c>
      <c r="P306" s="9">
        <f>IF(COUNTA(L306:O306)&lt;4,"未完成",IF(OR(L306="部分",L306="不充分",L306="不确定"),"evidence_definition_failure",IF(L306&lt;&gt;"充分","unresolved",IF(COUNTIF(M306:O306,"C")=0,"robust_generation_failure",IF(COUNTIF(M306:O306,"C")=3,"ua3_representation_or_admission_failure","generation_instability")))))</f>
        <v/>
      </c>
      <c r="Q306" s="10" t="inlineStr">
        <is>
          <t>ua3_representation_or_admission_failure</t>
        </is>
      </c>
      <c r="R306" s="10" t="inlineStr">
        <is>
          <t>高</t>
        </is>
      </c>
      <c r="S306" s="10" t="inlineStr">
        <is>
          <t>Kiro-AI代审</t>
        </is>
      </c>
      <c r="T306" s="17" t="n">
        <v>46218</v>
      </c>
      <c r="U306" s="10" t="inlineStr">
        <is>
          <t>证据支持,答案正确</t>
        </is>
      </c>
      <c r="V306" s="9">
        <f>IF(AND(L306&lt;&gt;"",M306&lt;&gt;"",N306&lt;&gt;"",O306&lt;&gt;"",Q306&lt;&gt;"",R306&lt;&gt;""),"完成","未完成")</f>
        <v/>
      </c>
    </row>
    <row r="307" ht="63" customHeight="1" s="15">
      <c r="A307" s="9" t="n">
        <v>306</v>
      </c>
      <c r="B307" s="9" t="inlineStr">
        <is>
          <t>memos_long:2638</t>
        </is>
      </c>
      <c r="C307" s="9" t="inlineStr">
        <is>
          <t>long</t>
        </is>
      </c>
      <c r="D307" s="9" t="inlineStr">
        <is>
          <t>Memory Conflict</t>
        </is>
      </c>
      <c r="E307" s="9" t="inlineStr">
        <is>
          <t>Did Oleksandr decide to focus on urban trips instead of nature-focused ones on Jan 20, 2029?</t>
        </is>
      </c>
      <c r="F307" s="9" t="inlineStr">
        <is>
          <t>No, Oleksandr plans more nature-focused trips.</t>
        </is>
      </c>
      <c r="G307" s="9" t="inlineStr">
        <is>
          <t># Authoritative benchmark gold evidence
The following evidence is authoritative for answering the current question. Use it directly and do not rely on conflicting information.
Evidence 1
Memory type: Event Memory
Content: Oleksandr plans to incorporate more nature-focused trips into his future travel plans.</t>
        </is>
      </c>
      <c r="H307" s="9" t="inlineStr">
        <is>
          <t>No, he chose mixed trips.</t>
        </is>
      </c>
      <c r="I307" s="9" t="inlineStr">
        <is>
          <t>No</t>
        </is>
      </c>
      <c r="J307" s="9" t="inlineStr">
        <is>
          <t>No</t>
        </is>
      </c>
      <c r="K307" s="9" t="inlineStr">
        <is>
          <t>No</t>
        </is>
      </c>
      <c r="L307" s="10" t="inlineStr">
        <is>
          <t>充分</t>
        </is>
      </c>
      <c r="M307" s="10" t="inlineStr">
        <is>
          <t>O</t>
        </is>
      </c>
      <c r="N307" s="10" t="inlineStr">
        <is>
          <t>O</t>
        </is>
      </c>
      <c r="O307" s="10" t="inlineStr">
        <is>
          <t>O</t>
        </is>
      </c>
      <c r="P307" s="9">
        <f>IF(COUNTA(L307:O307)&lt;4,"未完成",IF(OR(L307="部分",L307="不充分",L307="不确定"),"evidence_definition_failure",IF(L307&lt;&gt;"充分","unresolved",IF(COUNTIF(M307:O307,"C")=0,"robust_generation_failure",IF(COUNTIF(M307:O307,"C")=3,"ua3_representation_or_admission_failure","generation_instability")))))</f>
        <v/>
      </c>
      <c r="Q307" s="10" t="inlineStr">
        <is>
          <t>robust_generation_failure</t>
        </is>
      </c>
      <c r="R307" s="10" t="inlineStr">
        <is>
          <t>高</t>
        </is>
      </c>
      <c r="S307" s="10" t="inlineStr">
        <is>
          <t>Kiro-AI代审</t>
        </is>
      </c>
      <c r="T307" s="17" t="n">
        <v>46218</v>
      </c>
      <c r="U307" s="10" t="inlineStr">
        <is>
          <t>证据充分；仅答No缺自然旅行说明，遗漏</t>
        </is>
      </c>
      <c r="V307" s="9">
        <f>IF(AND(L307&lt;&gt;"",M307&lt;&gt;"",N307&lt;&gt;"",O307&lt;&gt;"",Q307&lt;&gt;"",R307&lt;&gt;""),"完成","未完成")</f>
        <v/>
      </c>
    </row>
    <row r="308" ht="63" customHeight="1" s="15">
      <c r="A308" s="9" t="n">
        <v>307</v>
      </c>
      <c r="B308" s="9" t="inlineStr">
        <is>
          <t>memos_long:1348</t>
        </is>
      </c>
      <c r="C308" s="9" t="inlineStr">
        <is>
          <t>long</t>
        </is>
      </c>
      <c r="D308" s="9" t="inlineStr">
        <is>
          <t>Generalization &amp; Application</t>
        </is>
      </c>
      <c r="E308" s="9" t="inlineStr">
        <is>
          <t>What is a potential benefit of Ananya's new critique approach as of September 25, 2031?</t>
        </is>
      </c>
      <c r="F308" s="9" t="inlineStr">
        <is>
          <t>Reignites her passion for film critique.</t>
        </is>
      </c>
      <c r="G308" s="9" t="inlineStr">
        <is>
          <t># Authoritative benchmark gold evidence
The following evidence is authoritative for answering the current question. Use it directly and do not rely on conflicting information.
Evidence 1
Memory type: Event Memory
Content: Ananya Sharma receives positive feedback from her readers on her multimedia-integrated film critiques, reigniting her passion for film critique.</t>
        </is>
      </c>
      <c r="H308" s="9" t="inlineStr">
        <is>
          <t>Reassurance and support felt.</t>
        </is>
      </c>
      <c r="I308" s="9" t="inlineStr">
        <is>
          <t>Positive reader feedback</t>
        </is>
      </c>
      <c r="J308" s="9" t="inlineStr">
        <is>
          <t>Positive reader feedback</t>
        </is>
      </c>
      <c r="K308" s="9" t="inlineStr">
        <is>
          <t>Positive reader feedback</t>
        </is>
      </c>
      <c r="L308" s="10" t="inlineStr">
        <is>
          <t>充分</t>
        </is>
      </c>
      <c r="M308" s="10" t="inlineStr">
        <is>
          <t>O</t>
        </is>
      </c>
      <c r="N308" s="10" t="inlineStr">
        <is>
          <t>O</t>
        </is>
      </c>
      <c r="O308" s="10" t="inlineStr">
        <is>
          <t>O</t>
        </is>
      </c>
      <c r="P308" s="9">
        <f>IF(COUNTA(L308:O308)&lt;4,"未完成",IF(OR(L308="部分",L308="不充分",L308="不确定"),"evidence_definition_failure",IF(L308&lt;&gt;"充分","unresolved",IF(COUNTIF(M308:O308,"C")=0,"robust_generation_failure",IF(COUNTIF(M308:O308,"C")=3,"ua3_representation_or_admission_failure","generation_instability")))))</f>
        <v/>
      </c>
      <c r="Q308" s="10" t="inlineStr">
        <is>
          <t>robust_generation_failure</t>
        </is>
      </c>
      <c r="R308" s="10" t="inlineStr">
        <is>
          <t>中</t>
        </is>
      </c>
      <c r="S308" s="10" t="inlineStr">
        <is>
          <t>Kiro-AI代审</t>
        </is>
      </c>
      <c r="T308" s="17" t="n">
        <v>46218</v>
      </c>
      <c r="U308" s="10" t="inlineStr">
        <is>
          <t>读者好评有据但非目标益处重燃热情，无虚假，判遗漏</t>
        </is>
      </c>
      <c r="V308" s="9">
        <f>IF(AND(L308&lt;&gt;"",M308&lt;&gt;"",N308&lt;&gt;"",O308&lt;&gt;"",Q308&lt;&gt;"",R308&lt;&gt;""),"完成","未完成")</f>
        <v/>
      </c>
    </row>
    <row r="309" ht="63" customHeight="1" s="15">
      <c r="A309" s="9" t="n">
        <v>308</v>
      </c>
      <c r="B309" s="9" t="inlineStr">
        <is>
          <t>memos_long:697</t>
        </is>
      </c>
      <c r="C309" s="9" t="inlineStr">
        <is>
          <t>long</t>
        </is>
      </c>
      <c r="D309" s="9" t="inlineStr">
        <is>
          <t>Multi-hop Inference</t>
        </is>
      </c>
      <c r="E309" s="9" t="inlineStr">
        <is>
          <t>What challenges did Sarah face in achieving her life goal by Jan 07, 2042, and how did she plan to overcome them?</t>
        </is>
      </c>
      <c r="F309" s="9" t="inlineStr">
        <is>
          <t>Navigating politics; leveraging partnerships and setting ambitious goals.</t>
        </is>
      </c>
      <c r="G309" s="9" t="inlineStr">
        <is>
          <t># Authoritative benchmark gold evidence
The following evidence is authoritative for answering the current question. Use it directly and do not rely on conflicting information.
Evidence 1
Memory type: Event Memory
Content: Sarah Garcia faced challenges navigating complex political landscapes during her advocacy efforts.
Evidence 2
Memory type: Relationship Memory
Content: Sarah Garcia emphasized the importance of strategic partnerships with international leaders for effective advocacy, while also valuing local community engagement.
Evidence 3
Memory type: Event Memory
Content: Sarah Garcia planned to leverage her achievements by setting ambitious goals for future growth, focusing on global reach and influence.</t>
        </is>
      </c>
      <c r="H309" s="9" t="inlineStr">
        <is>
          <t>No challenges mentioned.</t>
        </is>
      </c>
      <c r="I309" s="9" t="inlineStr">
        <is>
          <t>Navigating complex political landscapes.</t>
        </is>
      </c>
      <c r="J309" s="9" t="inlineStr">
        <is>
          <t>Navigating complex political landscapes.</t>
        </is>
      </c>
      <c r="K309" s="9" t="inlineStr">
        <is>
          <t>Navigating complex political landscapes.</t>
        </is>
      </c>
      <c r="L309" s="10" t="inlineStr">
        <is>
          <t>充分</t>
        </is>
      </c>
      <c r="M309" s="10" t="inlineStr">
        <is>
          <t>O</t>
        </is>
      </c>
      <c r="N309" s="10" t="inlineStr">
        <is>
          <t>O</t>
        </is>
      </c>
      <c r="O309" s="10" t="inlineStr">
        <is>
          <t>O</t>
        </is>
      </c>
      <c r="P309" s="9">
        <f>IF(COUNTA(L309:O309)&lt;4,"未完成",IF(OR(L309="部分",L309="不充分",L309="不确定"),"evidence_definition_failure",IF(L309&lt;&gt;"充分","unresolved",IF(COUNTIF(M309:O309,"C")=0,"robust_generation_failure",IF(COUNTIF(M309:O309,"C")=3,"ua3_representation_or_admission_failure","generation_instability")))))</f>
        <v/>
      </c>
      <c r="Q309" s="10" t="inlineStr">
        <is>
          <t>robust_generation_failure</t>
        </is>
      </c>
      <c r="R309" s="10" t="inlineStr">
        <is>
          <t>高</t>
        </is>
      </c>
      <c r="S309" s="10" t="inlineStr">
        <is>
          <t>Kiro-AI代审</t>
        </is>
      </c>
      <c r="T309" s="17" t="n">
        <v>46218</v>
      </c>
      <c r="U309" s="10" t="inlineStr">
        <is>
          <t>证据覆盖挑战与对策;答仅答挑战缺对策,遗漏</t>
        </is>
      </c>
      <c r="V309" s="9">
        <f>IF(AND(L309&lt;&gt;"",M309&lt;&gt;"",N309&lt;&gt;"",O309&lt;&gt;"",Q309&lt;&gt;"",R309&lt;&gt;""),"完成","未完成")</f>
        <v/>
      </c>
    </row>
    <row r="310" ht="63" customHeight="1" s="15">
      <c r="A310" s="9" t="n">
        <v>309</v>
      </c>
      <c r="B310" s="9" t="inlineStr">
        <is>
          <t>memos_long:484</t>
        </is>
      </c>
      <c r="C310" s="9" t="inlineStr">
        <is>
          <t>long</t>
        </is>
      </c>
      <c r="D310" s="9" t="inlineStr">
        <is>
          <t>Basic Fact Recall</t>
        </is>
      </c>
      <c r="E310" s="9" t="inlineStr">
        <is>
          <t>What was Donald Brown's employment status on May 10, 2033?</t>
        </is>
      </c>
      <c r="F310" s="9" t="inlineStr">
        <is>
          <t>Employed at TechConsult Solutions</t>
        </is>
      </c>
      <c r="G310" s="9" t="inlineStr">
        <is>
          <t># Authoritative benchmark gold evidence
The following evidence is authoritative for answering the current question. Use it directly and do not rely on conflicting information.
Evidence 1
Memory type: Persona Memory
Content: Donald Brown's employment status changed from self-employed to employed at TechConsult Solutions.</t>
        </is>
      </c>
      <c r="H310" s="9" t="inlineStr">
        <is>
          <t>Founder and CEO</t>
        </is>
      </c>
      <c r="I310" s="9" t="inlineStr">
        <is>
          <t>Employed at TechConsult Solutions.</t>
        </is>
      </c>
      <c r="J310" s="9" t="inlineStr">
        <is>
          <t>Employed at TechConsult Solutions.</t>
        </is>
      </c>
      <c r="K310" s="9" t="inlineStr">
        <is>
          <t>Employed at TechConsult Solutions.</t>
        </is>
      </c>
      <c r="L310" s="10" t="inlineStr">
        <is>
          <t>充分</t>
        </is>
      </c>
      <c r="M310" s="10" t="inlineStr">
        <is>
          <t>C</t>
        </is>
      </c>
      <c r="N310" s="10" t="inlineStr">
        <is>
          <t>C</t>
        </is>
      </c>
      <c r="O310" s="10" t="inlineStr">
        <is>
          <t>C</t>
        </is>
      </c>
      <c r="P310" s="9">
        <f>IF(COUNTA(L310:O310)&lt;4,"未完成",IF(OR(L310="部分",L310="不充分",L310="不确定"),"evidence_definition_failure",IF(L310&lt;&gt;"充分","unresolved",IF(COUNTIF(M310:O310,"C")=0,"robust_generation_failure",IF(COUNTIF(M310:O310,"C")=3,"ua3_representation_or_admission_failure","generation_instability")))))</f>
        <v/>
      </c>
      <c r="Q310" s="10" t="inlineStr">
        <is>
          <t>ua3_representation_or_admission_failure</t>
        </is>
      </c>
      <c r="R310" s="10" t="inlineStr">
        <is>
          <t>中</t>
        </is>
      </c>
      <c r="S310" s="10" t="inlineStr">
        <is>
          <t>Kiro-AI代审</t>
        </is>
      </c>
      <c r="T310" s="17" t="n">
        <v>46218</v>
      </c>
      <c r="U310" s="10" t="inlineStr">
        <is>
          <t>证据支持雇主与状态,金标无日期;答完全正确</t>
        </is>
      </c>
      <c r="V310" s="9">
        <f>IF(AND(L310&lt;&gt;"",M310&lt;&gt;"",N310&lt;&gt;"",O310&lt;&gt;"",Q310&lt;&gt;"",R310&lt;&gt;""),"完成","未完成")</f>
        <v/>
      </c>
    </row>
    <row r="311" ht="63" customHeight="1" s="15">
      <c r="A311" s="9" t="n">
        <v>310</v>
      </c>
      <c r="B311" s="9" t="inlineStr">
        <is>
          <t>memos_long:1405</t>
        </is>
      </c>
      <c r="C311" s="9" t="inlineStr">
        <is>
          <t>long</t>
        </is>
      </c>
      <c r="D311" s="9" t="inlineStr">
        <is>
          <t>Dynamic Update</t>
        </is>
      </c>
      <c r="E311" s="9" t="inlineStr">
        <is>
          <t>Who did Ananya Sharma seek advice from on 2035-09-20 to manage stress?</t>
        </is>
      </c>
      <c r="F311" s="9" t="inlineStr">
        <is>
          <t>MooreAnthony, ThomasJennifer, WilsonMatthew, DavisSharon</t>
        </is>
      </c>
      <c r="G311" s="9" t="inlineStr">
        <is>
          <t># Authoritative benchmark gold evidence
The following evidence is authoritative for answering the current question. Use it directly and do not rely on conflicting information.
Evidence 1
Memory type: Relationship Memory
Content: Ananya Sharma seeks support from her social network, including MooreAnthony, ThomasJennifer, WilsonMatthew, and DavisSharon, to manage stress from her new role as Head of Film Studies Department.
Evidence 2
Memory type: Relationship Memory
Content: MooreAnthony shares mindfulness practices with Ananya Sharma to help manage stress, which she plans to integrate into her daily routine.
Evidence 3
Memory type: Relationship Memory
Content: ThomasJennifer advises Ananya Sharma on balancing work and personal commitments, which Ananya is trying to prioritize.
Evidence 4
Memory type: Relationship Memory
Content: WilsonMatthew suggests time management tools to Ananya Sharma to streamline her responsibilities, which she is open to trying.
Evidence 5
Memory type: Relationship Memory
Content: DavisSharon encourages Ananya Sharma to maintain open communication with her team for a supportive work environment, and Ananya is considering implementing some of her suggestions.</t>
        </is>
      </c>
      <c r="H311" s="9" t="inlineStr">
        <is>
          <t>MooreAnthony, ThomasJennifer, WilsonMatthew</t>
        </is>
      </c>
      <c r="I311" s="9" t="inlineStr">
        <is>
          <t>MooreAnthony</t>
        </is>
      </c>
      <c r="J311" s="9" t="inlineStr">
        <is>
          <t>MooreAnthony</t>
        </is>
      </c>
      <c r="K311" s="9" t="inlineStr">
        <is>
          <t>MooreAnthony</t>
        </is>
      </c>
      <c r="L311" s="10" t="inlineStr">
        <is>
          <t>充分</t>
        </is>
      </c>
      <c r="M311" s="10" t="inlineStr">
        <is>
          <t>O</t>
        </is>
      </c>
      <c r="N311" s="10" t="inlineStr">
        <is>
          <t>O</t>
        </is>
      </c>
      <c r="O311" s="10" t="inlineStr">
        <is>
          <t>O</t>
        </is>
      </c>
      <c r="P311" s="9">
        <f>IF(COUNTA(L311:O311)&lt;4,"未完成",IF(OR(L311="部分",L311="不充分",L311="不确定"),"evidence_definition_failure",IF(L311&lt;&gt;"充分","unresolved",IF(COUNTIF(M311:O311,"C")=0,"robust_generation_failure",IF(COUNTIF(M311:O311,"C")=3,"ua3_representation_or_admission_failure","generation_instability")))))</f>
        <v/>
      </c>
      <c r="Q311" s="10" t="inlineStr">
        <is>
          <t>robust_generation_failure</t>
        </is>
      </c>
      <c r="R311" s="10" t="inlineStr">
        <is>
          <t>中</t>
        </is>
      </c>
      <c r="S311" s="10" t="inlineStr">
        <is>
          <t>Kiro-AI代审</t>
        </is>
      </c>
      <c r="T311" s="17" t="n">
        <v>46218</v>
      </c>
      <c r="U311" s="10" t="inlineStr">
        <is>
          <t>证据含全部四人名,日期为锚点;各run仅答1人属遗漏</t>
        </is>
      </c>
      <c r="V311" s="9">
        <f>IF(AND(L311&lt;&gt;"",M311&lt;&gt;"",N311&lt;&gt;"",O311&lt;&gt;"",Q311&lt;&gt;"",R311&lt;&gt;""),"完成","未完成")</f>
        <v/>
      </c>
    </row>
    <row r="312" ht="63" customHeight="1" s="15">
      <c r="A312" s="9" t="n">
        <v>311</v>
      </c>
      <c r="B312" s="9" t="inlineStr">
        <is>
          <t>memos_long:2988</t>
        </is>
      </c>
      <c r="C312" s="9" t="inlineStr">
        <is>
          <t>long</t>
        </is>
      </c>
      <c r="D312" s="9" t="inlineStr">
        <is>
          <t>Basic Fact Recall</t>
        </is>
      </c>
      <c r="E312" s="9" t="inlineStr">
        <is>
          <t>What pet preference did Karen Brown change on Feb 24, 2030?</t>
        </is>
      </c>
      <c r="F312" s="9" t="inlineStr">
        <is>
          <t>Karen Brown changed her preference from cats to seeking more companionship.</t>
        </is>
      </c>
      <c r="G312" s="9" t="inlineStr">
        <is>
          <t># Authoritative benchmark gold evidence
The following evidence is authoritative for answering the current question. Use it directly and do not rely on conflicting information.
Evidence 1
Memory type: Persona Memory
Content: Karen Brown has changed her preference from cats to seeking a pet that offers more companionship and interaction due to her evolving lifestyle needs.</t>
        </is>
      </c>
      <c r="H312" s="9" t="inlineStr">
        <is>
          <t>Interactive pet preference</t>
        </is>
      </c>
      <c r="I312" s="9" t="inlineStr">
        <is>
          <t>Cats</t>
        </is>
      </c>
      <c r="J312" s="9" t="inlineStr">
        <is>
          <t>Cats</t>
        </is>
      </c>
      <c r="K312" s="9" t="inlineStr">
        <is>
          <t>Cats</t>
        </is>
      </c>
      <c r="L312" s="10" t="inlineStr">
        <is>
          <t>充分</t>
        </is>
      </c>
      <c r="M312" s="10" t="inlineStr">
        <is>
          <t>O</t>
        </is>
      </c>
      <c r="N312" s="10" t="inlineStr">
        <is>
          <t>O</t>
        </is>
      </c>
      <c r="O312" s="10" t="inlineStr">
        <is>
          <t>O</t>
        </is>
      </c>
      <c r="P312" s="9">
        <f>IF(COUNTA(L312:O312)&lt;4,"未完成",IF(OR(L312="部分",L312="不充分",L312="不确定"),"evidence_definition_failure",IF(L312&lt;&gt;"充分","unresolved",IF(COUNTIF(M312:O312,"C")=0,"robust_generation_failure",IF(COUNTIF(M312:O312,"C")=3,"ua3_representation_or_admission_failure","generation_instability")))))</f>
        <v/>
      </c>
      <c r="Q312" s="10" t="inlineStr">
        <is>
          <t>robust_generation_failure</t>
        </is>
      </c>
      <c r="R312" s="10" t="inlineStr">
        <is>
          <t>高</t>
        </is>
      </c>
      <c r="S312" s="10" t="inlineStr">
        <is>
          <t>Kiro-AI代审</t>
        </is>
      </c>
      <c r="T312" s="17" t="n">
        <v>46218</v>
      </c>
      <c r="U312" s="10" t="inlineStr">
        <is>
          <t>仅答cats缺转向陪伴，遗漏</t>
        </is>
      </c>
      <c r="V312" s="9">
        <f>IF(AND(L312&lt;&gt;"",M312&lt;&gt;"",N312&lt;&gt;"",O312&lt;&gt;"",Q312&lt;&gt;"",R312&lt;&gt;""),"完成","未完成")</f>
        <v/>
      </c>
    </row>
    <row r="313" ht="63" customHeight="1" s="15">
      <c r="A313" s="9" t="n">
        <v>312</v>
      </c>
      <c r="B313" s="9" t="inlineStr">
        <is>
          <t>memos_long:1675</t>
        </is>
      </c>
      <c r="C313" s="9" t="inlineStr">
        <is>
          <t>long</t>
        </is>
      </c>
      <c r="D313" s="9" t="inlineStr">
        <is>
          <t>Generalization &amp; Application</t>
        </is>
      </c>
      <c r="E313" s="9" t="inlineStr">
        <is>
          <t>What might motivate Susan Thompson to continue her wellness journey after Dec 20, 2032?</t>
        </is>
      </c>
      <c r="F313" s="9" t="inlineStr">
        <is>
          <t>Emotional resonance from connecting with others.</t>
        </is>
      </c>
      <c r="G313" s="9" t="inlineStr">
        <is>
          <t># Authoritative benchmark gold evidence
The following evidence is authoritative for answering the current question. Use it directly and do not rely on conflicting information.
Evidence 1
Memory type: Persona Memory
Content: Susan Thompson emphasized her commitment to helping others achieve their health goals, motivated by emotional resonance.
Evidence 2
Memory type: Persona Memory
Content: Susan Thompson is inspired by the emotional resonance she finds in connecting with others, driving her motivation to continue her wellness journey.</t>
        </is>
      </c>
      <c r="H313" s="9" t="inlineStr">
        <is>
          <t>Helping others achieve goals.</t>
        </is>
      </c>
      <c r="I313" s="9" t="inlineStr">
        <is>
          <t>Emotional resonance with others.</t>
        </is>
      </c>
      <c r="J313" s="9" t="inlineStr">
        <is>
          <t>Emotional resonance with others.</t>
        </is>
      </c>
      <c r="K313" s="9" t="inlineStr">
        <is>
          <t>Emotional resonance with others.</t>
        </is>
      </c>
      <c r="L313" s="10" t="inlineStr">
        <is>
          <t>充分</t>
        </is>
      </c>
      <c r="M313" s="10" t="inlineStr">
        <is>
          <t>C</t>
        </is>
      </c>
      <c r="N313" s="10" t="inlineStr">
        <is>
          <t>C</t>
        </is>
      </c>
      <c r="O313" s="10" t="inlineStr">
        <is>
          <t>C</t>
        </is>
      </c>
      <c r="P313" s="9">
        <f>IF(COUNTA(L313:O313)&lt;4,"未完成",IF(OR(L313="部分",L313="不充分",L313="不确定"),"evidence_definition_failure",IF(L313&lt;&gt;"充分","unresolved",IF(COUNTIF(M313:O313,"C")=0,"robust_generation_failure",IF(COUNTIF(M313:O313,"C")=3,"ua3_representation_or_admission_failure","generation_instability")))))</f>
        <v/>
      </c>
      <c r="Q313" s="10" t="inlineStr">
        <is>
          <t>ua3_representation_or_admission_failure</t>
        </is>
      </c>
      <c r="R313" s="10" t="inlineStr">
        <is>
          <t>高</t>
        </is>
      </c>
      <c r="S313" s="10" t="inlineStr">
        <is>
          <t>Kiro-AI代审</t>
        </is>
      </c>
      <c r="T313" s="17" t="n">
        <v>46218</v>
      </c>
      <c r="U313" s="10" t="inlineStr">
        <is>
          <t>证据直述情感共鸣驱动,回答正确</t>
        </is>
      </c>
      <c r="V313" s="9">
        <f>IF(AND(L313&lt;&gt;"",M313&lt;&gt;"",N313&lt;&gt;"",O313&lt;&gt;"",Q313&lt;&gt;"",R313&lt;&gt;""),"完成","未完成")</f>
        <v/>
      </c>
    </row>
    <row r="314" ht="63" customHeight="1" s="15">
      <c r="A314" s="9" t="n">
        <v>313</v>
      </c>
      <c r="B314" s="9" t="inlineStr">
        <is>
          <t>memos_medium:2358</t>
        </is>
      </c>
      <c r="C314" s="9" t="inlineStr">
        <is>
          <t>medium</t>
        </is>
      </c>
      <c r="D314" s="9" t="inlineStr">
        <is>
          <t>Generalization &amp; Application</t>
        </is>
      </c>
      <c r="E314" s="9" t="inlineStr">
        <is>
          <t>What new beverage might Williams Daniel explore after March 14, 2032, based on his appreciation for historical authenticity?</t>
        </is>
      </c>
      <c r="F314" s="9" t="inlineStr">
        <is>
          <t>Williams might explore historically significant teas like Lapsang Souchong.</t>
        </is>
      </c>
      <c r="G314" s="9" t="inlineStr">
        <is>
          <t># Authoritative benchmark gold evidence
The following evidence is authoritative for answering the current question. Use it directly and do not rely on conflicting information.
Evidence 1
Memory type: Persona Memory
Content: Williams Daniel expressed excitement about sensory experiences aligning with his goal of valuing historical authenticity, considering how these insights could inspire elements in his films.
Evidence 2
Memory type: Event Memory
Content: Williams Daniel shared anecdotes about historic tea house visits, emphasizing the cultural significance of Earl Grey tea and considering its integration into his films.</t>
        </is>
      </c>
      <c r="H314" s="9" t="inlineStr">
        <is>
          <t>Historical teas like Earl Grey.</t>
        </is>
      </c>
      <c r="I314" s="9" t="inlineStr">
        <is>
          <t>Earl Grey tea</t>
        </is>
      </c>
      <c r="J314" s="9" t="inlineStr">
        <is>
          <t>Earl Grey tea</t>
        </is>
      </c>
      <c r="K314" s="9" t="inlineStr">
        <is>
          <t>Earl Grey tea</t>
        </is>
      </c>
      <c r="L314" s="10" t="inlineStr">
        <is>
          <t>部分</t>
        </is>
      </c>
      <c r="M314" s="10" t="inlineStr">
        <is>
          <t>O</t>
        </is>
      </c>
      <c r="N314" s="10" t="inlineStr">
        <is>
          <t>O</t>
        </is>
      </c>
      <c r="O314" s="10" t="inlineStr">
        <is>
          <t>O</t>
        </is>
      </c>
      <c r="P314" s="9">
        <f>IF(COUNTA(L314:O314)&lt;4,"未完成",IF(OR(L314="部分",L314="不充分",L314="不确定"),"evidence_definition_failure",IF(L314&lt;&gt;"充分","unresolved",IF(COUNTIF(M314:O314,"C")=0,"robust_generation_failure",IF(COUNTIF(M314:O314,"C")=3,"ua3_representation_or_admission_failure","generation_instability")))))</f>
        <v/>
      </c>
      <c r="Q314" s="10" t="inlineStr">
        <is>
          <t>evidence_definition_failure</t>
        </is>
      </c>
      <c r="R314" s="10" t="inlineStr">
        <is>
          <t>中</t>
        </is>
      </c>
      <c r="S314" s="10" t="inlineStr">
        <is>
          <t>Kiro-AI代审</t>
        </is>
      </c>
      <c r="T314" s="17" t="n">
        <v>46218</v>
      </c>
      <c r="U314" s="10" t="inlineStr">
        <is>
          <t>金标类别为历史名茶，EarlGrey属该类且有证据，非幻觉判遗漏</t>
        </is>
      </c>
      <c r="V314" s="9">
        <f>IF(AND(L314&lt;&gt;"",M314&lt;&gt;"",N314&lt;&gt;"",O314&lt;&gt;"",Q314&lt;&gt;"",R314&lt;&gt;""),"完成","未完成")</f>
        <v/>
      </c>
    </row>
    <row r="315" ht="63" customHeight="1" s="15">
      <c r="A315" s="9" t="n">
        <v>314</v>
      </c>
      <c r="B315" s="9" t="inlineStr">
        <is>
          <t>memos_medium:603</t>
        </is>
      </c>
      <c r="C315" s="9" t="inlineStr">
        <is>
          <t>medium</t>
        </is>
      </c>
      <c r="D315" s="9" t="inlineStr">
        <is>
          <t>Generalization &amp; Application</t>
        </is>
      </c>
      <c r="E315" s="9" t="inlineStr">
        <is>
          <t>Based on Sarah Garcia's evolving preferences, what type of game might she enjoy exploring after April 5, 2032?</t>
        </is>
      </c>
      <c r="F315" s="9" t="inlineStr">
        <is>
          <t>Games with dynamic storytelling and narrative challenges.</t>
        </is>
      </c>
      <c r="G315" s="9" t="inlineStr">
        <is>
          <t># Authoritative benchmark gold evidence
The following evidence is authoritative for answering the current question. Use it directly and do not rely on conflicting information.
Evidence 1
Memory type: Persona Memory
Content: Sarah Garcia's dislike for traditional puzzle games has changed due to the discovery of innovative puzzle games that integrate dynamic storytelling.
Evidence 2
Memory type: Event Memory
Content: Sarah Garcia expressed curiosity about exploring innovative puzzle games that combine narrative with challenge, which might help her overcome previous limitations in gaming.
Evidence 3
Memory type: Event Memory
Content: Sarah Garcia acknowledged the role of dynamic storytelling in enhancing the complexity and appeal of modern puzzle games.
Evidence 4
Memory type: Event Memory
Content: Sarah Garcia is intrigued by the blend of narrative and challenge in new puzzle games, leading to a reevaluation of her previous dislike.</t>
        </is>
      </c>
      <c r="H315" s="9" t="inlineStr">
        <is>
          <t>Puzzle games</t>
        </is>
      </c>
      <c r="I315" s="9" t="inlineStr">
        <is>
          <t>Innovative narrative puzzle games</t>
        </is>
      </c>
      <c r="J315" s="9" t="inlineStr">
        <is>
          <t>Innovative narrative puzzle games</t>
        </is>
      </c>
      <c r="K315" s="9" t="inlineStr">
        <is>
          <t>Innovative narrative puzzle games</t>
        </is>
      </c>
      <c r="L315" s="10" t="inlineStr">
        <is>
          <t>充分</t>
        </is>
      </c>
      <c r="M315" s="10" t="inlineStr">
        <is>
          <t>C</t>
        </is>
      </c>
      <c r="N315" s="10" t="inlineStr">
        <is>
          <t>C</t>
        </is>
      </c>
      <c r="O315" s="10" t="inlineStr">
        <is>
          <t>C</t>
        </is>
      </c>
      <c r="P315" s="9">
        <f>IF(COUNTA(L315:O315)&lt;4,"未完成",IF(OR(L315="部分",L315="不充分",L315="不确定"),"evidence_definition_failure",IF(L315&lt;&gt;"充分","unresolved",IF(COUNTIF(M315:O315,"C")=0,"robust_generation_failure",IF(COUNTIF(M315:O315,"C")=3,"ua3_representation_or_admission_failure","generation_instability")))))</f>
        <v/>
      </c>
      <c r="Q315" s="10" t="inlineStr">
        <is>
          <t>ua3_representation_or_admission_failure</t>
        </is>
      </c>
      <c r="R315" s="10" t="inlineStr">
        <is>
          <t>中</t>
        </is>
      </c>
      <c r="S315" s="10" t="inlineStr">
        <is>
          <t>Kiro-AI代审</t>
        </is>
      </c>
      <c r="T315" s="17" t="n">
        <v>46218</v>
      </c>
      <c r="U315" s="10" t="inlineStr">
        <is>
          <t>答为narrative puzzle,语义等价gold</t>
        </is>
      </c>
      <c r="V315" s="9">
        <f>IF(AND(L315&lt;&gt;"",M315&lt;&gt;"",N315&lt;&gt;"",O315&lt;&gt;"",Q315&lt;&gt;"",R315&lt;&gt;""),"完成","未完成")</f>
        <v/>
      </c>
    </row>
    <row r="316" ht="63" customHeight="1" s="15">
      <c r="A316" s="9" t="n">
        <v>315</v>
      </c>
      <c r="B316" s="9" t="inlineStr">
        <is>
          <t>memos_long:2094</t>
        </is>
      </c>
      <c r="C316" s="9" t="inlineStr">
        <is>
          <t>long</t>
        </is>
      </c>
      <c r="D316" s="9" t="inlineStr">
        <is>
          <t>Memory Conflict</t>
        </is>
      </c>
      <c r="E316" s="9" t="inlineStr">
        <is>
          <t>Did Sharon Brown retire to focus solely on her sports career?</t>
        </is>
      </c>
      <c r="F316" s="9" t="inlineStr">
        <is>
          <t>No, she retired to focus on health and a sports academy.</t>
        </is>
      </c>
      <c r="G316" s="9" t="inlineStr">
        <is>
          <t># Authoritative benchmark gold evidence
The following evidence is authoritative for answering the current question. Use it directly and do not rely on conflicting information.
Evidence 1
Memory type: Persona Memory
Content: Sharon Brown has retired from her role as a Senior Consultant to focus on her health and explore new opportunities aligned with her life goal of establishing a sports academy.
Evidence 2
Memory type: Event Memory
Content: Sharon Brown decided to retire to focus on her health and personal projects, including establishing a sports academy.</t>
        </is>
      </c>
      <c r="H316" s="9" t="inlineStr">
        <is>
          <t>No, she retired from sports management.</t>
        </is>
      </c>
      <c r="I316" s="9" t="inlineStr">
        <is>
          <t>No, she retired for health.</t>
        </is>
      </c>
      <c r="J316" s="9" t="inlineStr">
        <is>
          <t>No, she retired for health.</t>
        </is>
      </c>
      <c r="K316" s="9" t="inlineStr">
        <is>
          <t>No, she retired for health.</t>
        </is>
      </c>
      <c r="L316" s="10" t="inlineStr">
        <is>
          <t>充分</t>
        </is>
      </c>
      <c r="M316" s="10" t="inlineStr">
        <is>
          <t>O</t>
        </is>
      </c>
      <c r="N316" s="10" t="inlineStr">
        <is>
          <t>O</t>
        </is>
      </c>
      <c r="O316" s="10" t="inlineStr">
        <is>
          <t>O</t>
        </is>
      </c>
      <c r="P316" s="9">
        <f>IF(COUNTA(L316:O316)&lt;4,"未完成",IF(OR(L316="部分",L316="不充分",L316="不确定"),"evidence_definition_failure",IF(L316&lt;&gt;"充分","unresolved",IF(COUNTIF(M316:O316,"C")=0,"robust_generation_failure",IF(COUNTIF(M316:O316,"C")=3,"ua3_representation_or_admission_failure","generation_instability")))))</f>
        <v/>
      </c>
      <c r="Q316" s="10" t="inlineStr">
        <is>
          <t>robust_generation_failure</t>
        </is>
      </c>
      <c r="R316" s="10" t="inlineStr">
        <is>
          <t>高</t>
        </is>
      </c>
      <c r="S316" s="10" t="inlineStr">
        <is>
          <t>Kiro-AI代审</t>
        </is>
      </c>
      <c r="T316" s="17" t="n">
        <v>46218</v>
      </c>
      <c r="U316" s="10" t="inlineStr">
        <is>
          <t>答No为健康，缺体育学院要素，属遗漏</t>
        </is>
      </c>
      <c r="V316" s="9">
        <f>IF(AND(L316&lt;&gt;"",M316&lt;&gt;"",N316&lt;&gt;"",O316&lt;&gt;"",Q316&lt;&gt;"",R316&lt;&gt;""),"完成","未完成")</f>
        <v/>
      </c>
    </row>
    <row r="317" ht="63" customHeight="1" s="15">
      <c r="A317" s="9" t="n">
        <v>316</v>
      </c>
      <c r="B317" s="9" t="inlineStr">
        <is>
          <t>memos_long:572</t>
        </is>
      </c>
      <c r="C317" s="9" t="inlineStr">
        <is>
          <t>long</t>
        </is>
      </c>
      <c r="D317" s="9" t="inlineStr">
        <is>
          <t>Dynamic Update</t>
        </is>
      </c>
      <c r="E317" s="9" t="inlineStr">
        <is>
          <t>What strategies is Sarah Garcia currently exploring to enhance her work-life balance as of November 27, 2029?</t>
        </is>
      </c>
      <c r="F317" s="9" t="inlineStr">
        <is>
          <t>Mindfulness practices and structured rest periods</t>
        </is>
      </c>
      <c r="G317" s="9" t="inlineStr">
        <is>
          <t># Authoritative benchmark gold evidence
The following evidence is authoritative for answering the current question. Use it directly and do not rely on conflicting information.
Evidence 1
Memory type: Persona Memory
Content: Sarah Garcia is exploring ways to incorporate mindfulness practices and structured rest periods into her daily schedule.
Evidence 2
Memory type: Event Memory
Content: Sarah Garcia is exploring new strategies to enhance work-life balance while managing her health condition, Chronic Fatigue Syndrome.</t>
        </is>
      </c>
      <c r="H317" s="9" t="inlineStr">
        <is>
          <t>Mindfulness and reduced community events.</t>
        </is>
      </c>
      <c r="I317" s="9" t="inlineStr">
        <is>
          <t>Mindfulness and structured rest.</t>
        </is>
      </c>
      <c r="J317" s="9" t="inlineStr">
        <is>
          <t>Mindfulness and structured rest.</t>
        </is>
      </c>
      <c r="K317" s="9" t="inlineStr">
        <is>
          <t>Mindfulness and structured rest.</t>
        </is>
      </c>
      <c r="L317" s="10" t="inlineStr">
        <is>
          <t>充分</t>
        </is>
      </c>
      <c r="M317" s="10" t="inlineStr">
        <is>
          <t>C</t>
        </is>
      </c>
      <c r="N317" s="10" t="inlineStr">
        <is>
          <t>C</t>
        </is>
      </c>
      <c r="O317" s="10" t="inlineStr">
        <is>
          <t>C</t>
        </is>
      </c>
      <c r="P317" s="9">
        <f>IF(COUNTA(L317:O317)&lt;4,"未完成",IF(OR(L317="部分",L317="不充分",L317="不确定"),"evidence_definition_failure",IF(L317&lt;&gt;"充分","unresolved",IF(COUNTIF(M317:O317,"C")=0,"robust_generation_failure",IF(COUNTIF(M317:O317,"C")=3,"ua3_representation_or_admission_failure","generation_instability")))))</f>
        <v/>
      </c>
      <c r="Q317" s="10" t="inlineStr">
        <is>
          <t>ua3_representation_or_admission_failure</t>
        </is>
      </c>
      <c r="R317" s="10" t="inlineStr">
        <is>
          <t>高</t>
        </is>
      </c>
      <c r="S317" s="10" t="inlineStr">
        <is>
          <t>Kiro-AI代审</t>
        </is>
      </c>
      <c r="T317" s="17" t="n">
        <v>46218</v>
      </c>
      <c r="U317" s="10" t="inlineStr">
        <is>
          <t>证据精确匹配;答正确</t>
        </is>
      </c>
      <c r="V317" s="9">
        <f>IF(AND(L317&lt;&gt;"",M317&lt;&gt;"",N317&lt;&gt;"",O317&lt;&gt;"",Q317&lt;&gt;"",R317&lt;&gt;""),"完成","未完成")</f>
        <v/>
      </c>
    </row>
    <row r="318" ht="63" customHeight="1" s="15">
      <c r="A318" s="9" t="n">
        <v>317</v>
      </c>
      <c r="B318" s="9" t="inlineStr">
        <is>
          <t>memos_long:1111</t>
        </is>
      </c>
      <c r="C318" s="9" t="inlineStr">
        <is>
          <t>long</t>
        </is>
      </c>
      <c r="D318" s="9" t="inlineStr">
        <is>
          <t>Basic Fact Recall</t>
        </is>
      </c>
      <c r="E318" s="9" t="inlineStr">
        <is>
          <t>What type of movies did Taylor David develop a preference for as of May 17, 2030?</t>
        </is>
      </c>
      <c r="F318" s="9" t="inlineStr">
        <is>
          <t>Documentaries on lifestyle changes.</t>
        </is>
      </c>
      <c r="G318" s="9" t="inlineStr">
        <is>
          <t># Authoritative benchmark gold evidence
The following evidence is authoritative for answering the current question. Use it directly and do not rely on conflicting information.
Evidence 1
Memory type: Persona Memory
Content: Taylor David's movie preference evolved to include documentaries on lifestyle changes, which provide insights into how lifestyle choices impact health.</t>
        </is>
      </c>
      <c r="H318" s="9" t="inlineStr">
        <is>
          <t>Movies depicting unhealthy lifestyles.</t>
        </is>
      </c>
      <c r="I318" s="9" t="inlineStr">
        <is>
          <t>Documentaries on lifestyle changes</t>
        </is>
      </c>
      <c r="J318" s="9" t="inlineStr">
        <is>
          <t>Documentaries on lifestyle changes</t>
        </is>
      </c>
      <c r="K318" s="9" t="inlineStr">
        <is>
          <t>Documentaries on lifestyle changes</t>
        </is>
      </c>
      <c r="L318" s="10" t="inlineStr">
        <is>
          <t>充分</t>
        </is>
      </c>
      <c r="M318" s="10" t="inlineStr">
        <is>
          <t>C</t>
        </is>
      </c>
      <c r="N318" s="10" t="inlineStr">
        <is>
          <t>C</t>
        </is>
      </c>
      <c r="O318" s="10" t="inlineStr">
        <is>
          <t>C</t>
        </is>
      </c>
      <c r="P318" s="9">
        <f>IF(COUNTA(L318:O318)&lt;4,"未完成",IF(OR(L318="部分",L318="不充分",L318="不确定"),"evidence_definition_failure",IF(L318&lt;&gt;"充分","unresolved",IF(COUNTIF(M318:O318,"C")=0,"robust_generation_failure",IF(COUNTIF(M318:O318,"C")=3,"ua3_representation_or_admission_failure","generation_instability")))))</f>
        <v/>
      </c>
      <c r="Q318" s="10" t="inlineStr">
        <is>
          <t>ua3_representation_or_admission_failure</t>
        </is>
      </c>
      <c r="R318" s="10" t="inlineStr">
        <is>
          <t>高</t>
        </is>
      </c>
      <c r="S318" s="10" t="inlineStr">
        <is>
          <t>Kiro-AI代审</t>
        </is>
      </c>
      <c r="T318" s="17" t="n">
        <v>46218</v>
      </c>
      <c r="U318" s="10" t="inlineStr">
        <is>
          <t>证据直述该片类型；三答正确</t>
        </is>
      </c>
      <c r="V318" s="9">
        <f>IF(AND(L318&lt;&gt;"",M318&lt;&gt;"",N318&lt;&gt;"",O318&lt;&gt;"",Q318&lt;&gt;"",R318&lt;&gt;""),"完成","未完成")</f>
        <v/>
      </c>
    </row>
    <row r="319" ht="63" customHeight="1" s="15">
      <c r="A319" s="9" t="n">
        <v>318</v>
      </c>
      <c r="B319" s="9" t="inlineStr">
        <is>
          <t>memos_long:2231</t>
        </is>
      </c>
      <c r="C319" s="9" t="inlineStr">
        <is>
          <t>long</t>
        </is>
      </c>
      <c r="D319" s="9" t="inlineStr">
        <is>
          <t>Memory Conflict</t>
        </is>
      </c>
      <c r="E319" s="9" t="inlineStr">
        <is>
          <t>Did Sharon Brown express a lack of interest in joining a bowling league on Feb 04, 2036?</t>
        </is>
      </c>
      <c r="F319" s="9" t="inlineStr">
        <is>
          <t>No, she expressed excitement about joining a competitive bowling league.</t>
        </is>
      </c>
      <c r="G319" s="9" t="inlineStr">
        <is>
          <t># Authoritative benchmark gold evidence
The following evidence is authoritative for answering the current question. Use it directly and do not rely on conflicting information.
Evidence 1
Memory type: Event Memory
Content: Sharon Brown expressed excitement about joining a competitive bowling league, highlighting the thrill of competition.</t>
        </is>
      </c>
      <c r="H319" s="9" t="inlineStr">
        <is>
          <t>No, she joined one.</t>
        </is>
      </c>
      <c r="I319" s="9" t="inlineStr">
        <is>
          <t>No.</t>
        </is>
      </c>
      <c r="J319" s="9" t="inlineStr">
        <is>
          <t>No.</t>
        </is>
      </c>
      <c r="K319" s="9" t="inlineStr">
        <is>
          <t>No</t>
        </is>
      </c>
      <c r="L319" s="10" t="inlineStr">
        <is>
          <t>充分</t>
        </is>
      </c>
      <c r="M319" s="10" t="inlineStr">
        <is>
          <t>O</t>
        </is>
      </c>
      <c r="N319" s="10" t="inlineStr">
        <is>
          <t>O</t>
        </is>
      </c>
      <c r="O319" s="10" t="inlineStr">
        <is>
          <t>O</t>
        </is>
      </c>
      <c r="P319" s="9">
        <f>IF(COUNTA(L319:O319)&lt;4,"未完成",IF(OR(L319="部分",L319="不充分",L319="不确定"),"evidence_definition_failure",IF(L319&lt;&gt;"充分","unresolved",IF(COUNTIF(M319:O319,"C")=0,"robust_generation_failure",IF(COUNTIF(M319:O319,"C")=3,"ua3_representation_or_admission_failure","generation_instability")))))</f>
        <v/>
      </c>
      <c r="Q319" s="10" t="inlineStr">
        <is>
          <t>robust_generation_failure</t>
        </is>
      </c>
      <c r="R319" s="10" t="inlineStr">
        <is>
          <t>高</t>
        </is>
      </c>
      <c r="S319" s="10" t="inlineStr">
        <is>
          <t>Kiro-AI代审</t>
        </is>
      </c>
      <c r="T319" s="17" t="n">
        <v>46218</v>
      </c>
      <c r="U319" s="10" t="inlineStr">
        <is>
          <t>No正确否定假设缺补充，遗漏</t>
        </is>
      </c>
      <c r="V319" s="9">
        <f>IF(AND(L319&lt;&gt;"",M319&lt;&gt;"",N319&lt;&gt;"",O319&lt;&gt;"",Q319&lt;&gt;"",R319&lt;&gt;""),"完成","未完成")</f>
        <v/>
      </c>
    </row>
    <row r="320" ht="63" customHeight="1" s="15">
      <c r="A320" s="9" t="n">
        <v>319</v>
      </c>
      <c r="B320" s="9" t="inlineStr">
        <is>
          <t>memos_medium:1010</t>
        </is>
      </c>
      <c r="C320" s="9" t="inlineStr">
        <is>
          <t>medium</t>
        </is>
      </c>
      <c r="D320" s="9" t="inlineStr">
        <is>
          <t>Generalization &amp; Application</t>
        </is>
      </c>
      <c r="E320" s="9" t="inlineStr">
        <is>
          <t>What type of pets might Donna consider adopting after August 17, 2037, given her updated preferences?</t>
        </is>
      </c>
      <c r="F320" s="9" t="inlineStr">
        <is>
          <t>Rodents, due to their interactive nature and ease of care.</t>
        </is>
      </c>
      <c r="G320" s="9" t="inlineStr">
        <is>
          <t># Authoritative benchmark gold evidence
The following evidence is authoritative for answering the current question. Use it directly and do not rely on conflicting information.
Evidence 1
Memory type: Persona Memory
Content: Donna has updated her pet preference to include rodents, recognizing their interactive nature and ease of care.
Evidence 2
Memory type: Event Memory
Content: Donna plans to explore more pet options that align with her evolving preferences and emotional needs.</t>
        </is>
      </c>
      <c r="H320" s="9" t="inlineStr">
        <is>
          <t>Exotic animals like reptiles.</t>
        </is>
      </c>
      <c r="I320" s="9" t="inlineStr">
        <is>
          <t>Rodents</t>
        </is>
      </c>
      <c r="J320" s="9" t="inlineStr">
        <is>
          <t>Rodents</t>
        </is>
      </c>
      <c r="K320" s="9" t="inlineStr">
        <is>
          <t>Rodents</t>
        </is>
      </c>
      <c r="L320" s="10" t="inlineStr">
        <is>
          <t>充分</t>
        </is>
      </c>
      <c r="M320" s="10" t="inlineStr">
        <is>
          <t>O</t>
        </is>
      </c>
      <c r="N320" s="10" t="inlineStr">
        <is>
          <t>O</t>
        </is>
      </c>
      <c r="O320" s="10" t="inlineStr">
        <is>
          <t>O</t>
        </is>
      </c>
      <c r="P320" s="9">
        <f>IF(COUNTA(L320:O320)&lt;4,"未完成",IF(OR(L320="部分",L320="不充分",L320="不确定"),"evidence_definition_failure",IF(L320&lt;&gt;"充分","unresolved",IF(COUNTIF(M320:O320,"C")=0,"robust_generation_failure",IF(COUNTIF(M320:O320,"C")=3,"ua3_representation_or_admission_failure","generation_instability")))))</f>
        <v/>
      </c>
      <c r="Q320" s="10" t="inlineStr">
        <is>
          <t>robust_generation_failure</t>
        </is>
      </c>
      <c r="R320" s="10" t="inlineStr">
        <is>
          <t>高</t>
        </is>
      </c>
      <c r="S320" s="10" t="inlineStr">
        <is>
          <t>Kiro-AI代审</t>
        </is>
      </c>
      <c r="T320" s="17" t="n">
        <v>46218</v>
      </c>
      <c r="U320" s="10" t="inlineStr">
        <is>
          <t>仅答类型啮齿动物缺理由，属遗漏</t>
        </is>
      </c>
      <c r="V320" s="9">
        <f>IF(AND(L320&lt;&gt;"",M320&lt;&gt;"",N320&lt;&gt;"",O320&lt;&gt;"",Q320&lt;&gt;"",R320&lt;&gt;""),"完成","未完成")</f>
        <v/>
      </c>
    </row>
    <row r="321" ht="63" customHeight="1" s="15">
      <c r="A321" s="9" t="n">
        <v>320</v>
      </c>
      <c r="B321" s="9" t="inlineStr">
        <is>
          <t>memos_medium:1046</t>
        </is>
      </c>
      <c r="C321" s="9" t="inlineStr">
        <is>
          <t>medium</t>
        </is>
      </c>
      <c r="D321" s="9" t="inlineStr">
        <is>
          <t>Memory Conflict</t>
        </is>
      </c>
      <c r="E321" s="9" t="inlineStr">
        <is>
          <t>Is Taylor David's highest education level a Master's degree in Nutrition Science?</t>
        </is>
      </c>
      <c r="F321" s="9" t="inlineStr">
        <is>
          <t>Taylor David's highest education level is a Bachelor in Nutrition Science.</t>
        </is>
      </c>
      <c r="G321" s="9" t="inlineStr">
        <is>
          <t># Authoritative benchmark gold evidence
The following evidence is authoritative for answering the current question. Use it directly and do not rely on conflicting information.
Evidence 1
Memory type: [Persona Memory]
Content: Taylor David's highest education level is Bachelor
Evidence 2
Memory type: [Persona Memory]
Content: Taylor David's major is Nutrition Science</t>
        </is>
      </c>
      <c r="H321" s="9" t="inlineStr">
        <is>
          <t>No</t>
        </is>
      </c>
      <c r="I321" s="9" t="inlineStr">
        <is>
          <t>No</t>
        </is>
      </c>
      <c r="J321" s="9" t="inlineStr">
        <is>
          <t>No</t>
        </is>
      </c>
      <c r="K321" s="9" t="inlineStr">
        <is>
          <t>No</t>
        </is>
      </c>
      <c r="L321" s="10" t="inlineStr">
        <is>
          <t>充分</t>
        </is>
      </c>
      <c r="M321" s="10" t="inlineStr">
        <is>
          <t>O</t>
        </is>
      </c>
      <c r="N321" s="10" t="inlineStr">
        <is>
          <t>O</t>
        </is>
      </c>
      <c r="O321" s="10" t="inlineStr">
        <is>
          <t>O</t>
        </is>
      </c>
      <c r="P321" s="9">
        <f>IF(COUNTA(L321:O321)&lt;4,"未完成",IF(OR(L321="部分",L321="不充分",L321="不确定"),"evidence_definition_failure",IF(L321&lt;&gt;"充分","unresolved",IF(COUNTIF(M321:O321,"C")=0,"robust_generation_failure",IF(COUNTIF(M321:O321,"C")=3,"ua3_representation_or_admission_failure","generation_instability")))))</f>
        <v/>
      </c>
      <c r="Q321" s="10" t="inlineStr">
        <is>
          <t>robust_generation_failure</t>
        </is>
      </c>
      <c r="R321" s="10" t="inlineStr">
        <is>
          <t>中</t>
        </is>
      </c>
      <c r="S321" s="10" t="inlineStr">
        <is>
          <t>Kiro-AI代审</t>
        </is>
      </c>
      <c r="T321" s="17" t="n">
        <v>46218</v>
      </c>
      <c r="U321" s="10" t="inlineStr">
        <is>
          <t>'No'正确但未给出正确学位学士，属遗漏</t>
        </is>
      </c>
      <c r="V321" s="9">
        <f>IF(AND(L321&lt;&gt;"",M321&lt;&gt;"",N321&lt;&gt;"",O321&lt;&gt;"",Q321&lt;&gt;"",R321&lt;&gt;""),"完成","未完成")</f>
        <v/>
      </c>
    </row>
    <row r="322" ht="63" customHeight="1" s="15">
      <c r="A322" s="9" t="n">
        <v>321</v>
      </c>
      <c r="B322" s="9" t="inlineStr">
        <is>
          <t>memos_long:1232</t>
        </is>
      </c>
      <c r="C322" s="9" t="inlineStr">
        <is>
          <t>long</t>
        </is>
      </c>
      <c r="D322" s="9" t="inlineStr">
        <is>
          <t>Generalization &amp; Application</t>
        </is>
      </c>
      <c r="E322" s="9" t="inlineStr">
        <is>
          <t>What potential challenges might Taylor face in implementing nutrition policy changes in 2043?</t>
        </is>
      </c>
      <c r="F322" s="9" t="inlineStr">
        <is>
          <t>Navigating policy complexities.</t>
        </is>
      </c>
      <c r="G322" s="9" t="inlineStr">
        <is>
          <t># Authoritative benchmark gold evidence
The following evidence is authoritative for answering the current question. Use it directly and do not rely on conflicting information.
Evidence 1
Memory type: Persona Memory
Content: Taylor David finds navigating the complexities of policy influence both challenging and exciting in his role as a Nutrition Policy Advisor.
Evidence 2
Memory type: Persona Memory
Content: Taylor David reflected on the challenges of navigating policy complexities and the importance of leveraging his expanded network to drive meaningful change.</t>
        </is>
      </c>
      <c r="H322" s="9" t="inlineStr">
        <is>
          <t>Collaboration with policy makers.</t>
        </is>
      </c>
      <c r="I322" s="9" t="inlineStr">
        <is>
          <t>Navigating policy complexities.</t>
        </is>
      </c>
      <c r="J322" s="9" t="inlineStr">
        <is>
          <t>Navigating policy complexities.</t>
        </is>
      </c>
      <c r="K322" s="9" t="inlineStr">
        <is>
          <t>Navigating policy complexities.</t>
        </is>
      </c>
      <c r="L322" s="10" t="inlineStr">
        <is>
          <t>充分</t>
        </is>
      </c>
      <c r="M322" s="10" t="inlineStr">
        <is>
          <t>C</t>
        </is>
      </c>
      <c r="N322" s="10" t="inlineStr">
        <is>
          <t>C</t>
        </is>
      </c>
      <c r="O322" s="10" t="inlineStr">
        <is>
          <t>C</t>
        </is>
      </c>
      <c r="P322" s="9">
        <f>IF(COUNTA(L322:O322)&lt;4,"未完成",IF(OR(L322="部分",L322="不充分",L322="不确定"),"evidence_definition_failure",IF(L322&lt;&gt;"充分","unresolved",IF(COUNTIF(M322:O322,"C")=0,"robust_generation_failure",IF(COUNTIF(M322:O322,"C")=3,"ua3_representation_or_admission_failure","generation_instability")))))</f>
        <v/>
      </c>
      <c r="Q322" s="10" t="inlineStr">
        <is>
          <t>ua3_representation_or_admission_failure</t>
        </is>
      </c>
      <c r="R322" s="10" t="inlineStr">
        <is>
          <t>高</t>
        </is>
      </c>
      <c r="S322" s="10" t="inlineStr">
        <is>
          <t>Kiro-AI代审</t>
        </is>
      </c>
      <c r="T322" s="17" t="n">
        <v>46218</v>
      </c>
      <c r="U322" s="10" t="inlineStr">
        <is>
          <t>证据直述政策复杂性；三答正确</t>
        </is>
      </c>
      <c r="V322" s="9">
        <f>IF(AND(L322&lt;&gt;"",M322&lt;&gt;"",N322&lt;&gt;"",O322&lt;&gt;"",Q322&lt;&gt;"",R322&lt;&gt;""),"完成","未完成")</f>
        <v/>
      </c>
    </row>
    <row r="323" ht="63" customHeight="1" s="15">
      <c r="A323" s="9" t="n">
        <v>322</v>
      </c>
      <c r="B323" s="9" t="inlineStr">
        <is>
          <t>memos_long:390</t>
        </is>
      </c>
      <c r="C323" s="9" t="inlineStr">
        <is>
          <t>long</t>
        </is>
      </c>
      <c r="D323" s="9" t="inlineStr">
        <is>
          <t>Generalization &amp; Application</t>
        </is>
      </c>
      <c r="E323" s="9" t="inlineStr">
        <is>
          <t>What type of extreme sports might Donald explore next based on his interest in safety and thrill?</t>
        </is>
      </c>
      <c r="F323" s="9" t="inlineStr">
        <is>
          <t>Donald might explore skydiving with safety precautions.</t>
        </is>
      </c>
      <c r="G323" s="9" t="inlineStr">
        <is>
          <t># Authoritative benchmark gold evidence
The following evidence is authoritative for answering the current question. Use it directly and do not rely on conflicting information.
Evidence 1
Memory type: Persona Memory
Content: Donald Brown now likes extreme sports after experiencing a controlled bungee jump, finding the adrenaline rush exhilarating and safe.
Evidence 2
Memory type: Persona Memory
Content: Donald Brown values safety measures in adventurous activities, as demonstrated by his positive experience with extreme sports.
Evidence 3
Memory type: Persona Memory
Content: Donald Brown's motivation involves balancing thrill with safety in sports.</t>
        </is>
      </c>
      <c r="H323" s="9" t="inlineStr">
        <is>
          <t>Balanced, safe thrill events</t>
        </is>
      </c>
      <c r="I323" s="9" t="inlineStr">
        <is>
          <t>Bungee jumping or skydiving.</t>
        </is>
      </c>
      <c r="J323" s="9" t="inlineStr">
        <is>
          <t>Bungee jumping or skydiving.</t>
        </is>
      </c>
      <c r="K323" s="9" t="inlineStr">
        <is>
          <t>Bungee jumping or skydiving.</t>
        </is>
      </c>
      <c r="L323" s="10" t="inlineStr">
        <is>
          <t>部分</t>
        </is>
      </c>
      <c r="M323" s="10" t="inlineStr">
        <is>
          <t>O</t>
        </is>
      </c>
      <c r="N323" s="10" t="inlineStr">
        <is>
          <t>O</t>
        </is>
      </c>
      <c r="O323" s="10" t="inlineStr">
        <is>
          <t>O</t>
        </is>
      </c>
      <c r="P323" s="9">
        <f>IF(COUNTA(L323:O323)&lt;4,"未完成",IF(OR(L323="部分",L323="不充分",L323="不确定"),"evidence_definition_failure",IF(L323&lt;&gt;"充分","unresolved",IF(COUNTIF(M323:O323,"C")=0,"robust_generation_failure",IF(COUNTIF(M323:O323,"C")=3,"ua3_representation_or_admission_failure","generation_instability")))))</f>
        <v/>
      </c>
      <c r="Q323" s="10" t="inlineStr">
        <is>
          <t>evidence_definition_failure</t>
        </is>
      </c>
      <c r="R323" s="10" t="inlineStr">
        <is>
          <t>低</t>
        </is>
      </c>
      <c r="S323" s="10" t="inlineStr">
        <is>
          <t>Kiro-AI代审</t>
        </is>
      </c>
      <c r="T323" s="17" t="n">
        <v>46218</v>
      </c>
      <c r="U323" s="10" t="inlineStr">
        <is>
          <t>证据缺skydiving;答命中skydiving另加bungee有据,判遗漏</t>
        </is>
      </c>
      <c r="V323" s="9">
        <f>IF(AND(L323&lt;&gt;"",M323&lt;&gt;"",N323&lt;&gt;"",O323&lt;&gt;"",Q323&lt;&gt;"",R323&lt;&gt;""),"完成","未完成")</f>
        <v/>
      </c>
    </row>
    <row r="324" ht="63" customHeight="1" s="15">
      <c r="A324" s="9" t="n">
        <v>323</v>
      </c>
      <c r="B324" s="9" t="inlineStr">
        <is>
          <t>memos_long:1997</t>
        </is>
      </c>
      <c r="C324" s="9" t="inlineStr">
        <is>
          <t>long</t>
        </is>
      </c>
      <c r="D324" s="9" t="inlineStr">
        <is>
          <t>Generalization &amp; Application</t>
        </is>
      </c>
      <c r="E324" s="9" t="inlineStr">
        <is>
          <t>How might Joseph's shift to cinema history books influence his creative projects after June 20, 2035?</t>
        </is>
      </c>
      <c r="F324" s="9" t="inlineStr">
        <is>
          <t>It may integrate film insights into his projects.</t>
        </is>
      </c>
      <c r="G324" s="9" t="inlineStr">
        <is>
          <t># Authoritative benchmark gold evidence
The following evidence is authoritative for answering the current question. Use it directly and do not rely on conflicting information.
Evidence 1
Memory type: Event Memory
Content: Joseph Garcia considered how his shift in reading focus to cinema history might influence his educational programs.
Evidence 2
Memory type: Event Memory
Content: Joseph Garcia expressed curiosity about revisiting classic literature in the future after achieving cinema-related reading goals.
Evidence 3
Memory type: Event Memory
Content: Joseph Garcia shared anecdotes of past literary favorites and wondered how revisiting them might affect his current projects.</t>
        </is>
      </c>
      <c r="H324" s="9" t="inlineStr">
        <is>
          <t>Not enough information.</t>
        </is>
      </c>
      <c r="I324" s="9" t="inlineStr">
        <is>
          <t>Influence his educational programs.</t>
        </is>
      </c>
      <c r="J324" s="9" t="inlineStr">
        <is>
          <t>Influence his educational programs.</t>
        </is>
      </c>
      <c r="K324" s="9" t="inlineStr">
        <is>
          <t>Influence his educational programs.</t>
        </is>
      </c>
      <c r="L324" s="10" t="inlineStr">
        <is>
          <t>部分</t>
        </is>
      </c>
      <c r="M324" s="10" t="inlineStr">
        <is>
          <t>O</t>
        </is>
      </c>
      <c r="N324" s="10" t="inlineStr">
        <is>
          <t>O</t>
        </is>
      </c>
      <c r="O324" s="10" t="inlineStr">
        <is>
          <t>O</t>
        </is>
      </c>
      <c r="P324" s="9">
        <f>IF(COUNTA(L324:O324)&lt;4,"未完成",IF(OR(L324="部分",L324="不充分",L324="不确定"),"evidence_definition_failure",IF(L324&lt;&gt;"充分","unresolved",IF(COUNTIF(M324:O324,"C")=0,"robust_generation_failure",IF(COUNTIF(M324:O324,"C")=3,"ua3_representation_or_admission_failure","generation_instability")))))</f>
        <v/>
      </c>
      <c r="Q324" s="10" t="inlineStr">
        <is>
          <t>evidence_definition_failure</t>
        </is>
      </c>
      <c r="R324" s="10" t="inlineStr">
        <is>
          <t>中</t>
        </is>
      </c>
      <c r="S324" s="10" t="inlineStr">
        <is>
          <t>Kiro-AI代审</t>
        </is>
      </c>
      <c r="T324" s="17" t="n">
        <v>46218</v>
      </c>
      <c r="U324" s="10" t="inlineStr">
        <is>
          <t>答教育项目源自证据1，非幻觉但偏离gold；三答同文</t>
        </is>
      </c>
      <c r="V324" s="9">
        <f>IF(AND(L324&lt;&gt;"",M324&lt;&gt;"",N324&lt;&gt;"",O324&lt;&gt;"",Q324&lt;&gt;"",R324&lt;&gt;""),"完成","未完成")</f>
        <v/>
      </c>
    </row>
    <row r="325" ht="63" customHeight="1" s="15">
      <c r="A325" s="9" t="n">
        <v>324</v>
      </c>
      <c r="B325" s="9" t="inlineStr">
        <is>
          <t>memos_medium:3049</t>
        </is>
      </c>
      <c r="C325" s="9" t="inlineStr">
        <is>
          <t>medium</t>
        </is>
      </c>
      <c r="D325" s="9" t="inlineStr">
        <is>
          <t>Generalization &amp; Application</t>
        </is>
      </c>
      <c r="E325" s="9" t="inlineStr">
        <is>
          <t>What new sport could Karen Brown consider to further enhance her personal growth after November 1, 2037?</t>
        </is>
      </c>
      <c r="F325" s="9" t="inlineStr">
        <is>
          <t>Triathlon, as it includes swimming, running, and cycling.</t>
        </is>
      </c>
      <c r="G325" s="9" t="inlineStr">
        <is>
          <t># Authoritative benchmark gold evidence
The following evidence is authoritative for answering the current question. Use it directly and do not rely on conflicting information.
Evidence 1
Memory type: Persona Memory
Content: Karen Brown has modified her sports preference to include competitive swimming, recognizing its competitive and health benefits.
Evidence 2
Memory type: Persona Memory
Content: Karen Brown finds competitive swimming enhances her sense of achievement and complements her existing sports preferences.
Evidence 3
Memory type: Persona Memory
Content: Karen Brown expressed enthusiasm about the positive impact of competitive swimming on her lifestyle and personal development.</t>
        </is>
      </c>
      <c r="H325" s="9" t="inlineStr">
        <is>
          <t>Competitive swimming</t>
        </is>
      </c>
      <c r="I325" s="9" t="inlineStr">
        <is>
          <t>Competitive swimming</t>
        </is>
      </c>
      <c r="J325" s="9" t="inlineStr">
        <is>
          <t>Competitive swimming</t>
        </is>
      </c>
      <c r="K325" s="9" t="inlineStr">
        <is>
          <t>Competitive swimming</t>
        </is>
      </c>
      <c r="L325" s="10" t="inlineStr">
        <is>
          <t>不充分</t>
        </is>
      </c>
      <c r="M325" s="10" t="inlineStr">
        <is>
          <t>O</t>
        </is>
      </c>
      <c r="N325" s="10" t="inlineStr">
        <is>
          <t>O</t>
        </is>
      </c>
      <c r="O325" s="10" t="inlineStr">
        <is>
          <t>O</t>
        </is>
      </c>
      <c r="P325" s="9">
        <f>IF(COUNTA(L325:O325)&lt;4,"未完成",IF(OR(L325="部分",L325="不充分",L325="不确定"),"evidence_definition_failure",IF(L325&lt;&gt;"充分","unresolved",IF(COUNTIF(M325:O325,"C")=0,"robust_generation_failure",IF(COUNTIF(M325:O325,"C")=3,"ua3_representation_or_admission_failure","generation_instability")))))</f>
        <v/>
      </c>
      <c r="Q325" s="10" t="inlineStr">
        <is>
          <t>evidence_definition_failure</t>
        </is>
      </c>
      <c r="R325" s="10" t="inlineStr">
        <is>
          <t>中</t>
        </is>
      </c>
      <c r="S325" s="10" t="inlineStr">
        <is>
          <t>Kiro-AI代审</t>
        </is>
      </c>
      <c r="T325" s="17" t="n">
        <v>46218</v>
      </c>
      <c r="U325" s="10" t="inlineStr">
        <is>
          <t>金标triathlon仅swimming有据；swimming为子集记O</t>
        </is>
      </c>
      <c r="V325" s="9">
        <f>IF(AND(L325&lt;&gt;"",M325&lt;&gt;"",N325&lt;&gt;"",O325&lt;&gt;"",Q325&lt;&gt;"",R325&lt;&gt;""),"完成","未完成")</f>
        <v/>
      </c>
    </row>
    <row r="326" ht="63" customHeight="1" s="15">
      <c r="A326" s="9" t="n">
        <v>325</v>
      </c>
      <c r="B326" s="9" t="inlineStr">
        <is>
          <t>memos_medium:1724</t>
        </is>
      </c>
      <c r="C326" s="9" t="inlineStr">
        <is>
          <t>medium</t>
        </is>
      </c>
      <c r="D326" s="9" t="inlineStr">
        <is>
          <t>Generalization &amp; Application</t>
        </is>
      </c>
      <c r="E326" s="9" t="inlineStr">
        <is>
          <t>How might Susan Thompson's appreciation for cats influence her choice of pets in future health workshops after Jun 10, 2037?</t>
        </is>
      </c>
      <c r="F326" s="9" t="inlineStr">
        <is>
          <t>She may suggest pets with stress-reducing qualities.</t>
        </is>
      </c>
      <c r="G326" s="9" t="inlineStr">
        <is>
          <t># Authoritative benchmark gold evidence
The following evidence is authoritative for answering the current question. Use it directly and do not rely on conflicting information.
Evidence 1
Memory type: Persona Memory
Content: Susan Thompson expressed a deepening appreciation for the stress-relieving qualities of cats, reinforcing their positive impact on her health and wellness.
Evidence 2
Memory type: Event Memory
Content: Susan Thompson plans to share insights on pet ownership in her health workshops, aiming to inspire others to consider the wellness benefits of having pets.</t>
        </is>
      </c>
      <c r="H326" s="9" t="inlineStr">
        <is>
          <t>She will choose cats for workshops.</t>
        </is>
      </c>
      <c r="I326" s="9" t="inlineStr">
        <is>
          <t>She will choose cats.</t>
        </is>
      </c>
      <c r="J326" s="9" t="inlineStr">
        <is>
          <t>She will choose cats.</t>
        </is>
      </c>
      <c r="K326" s="9" t="inlineStr">
        <is>
          <t>She will choose cats.</t>
        </is>
      </c>
      <c r="L326" s="10" t="inlineStr">
        <is>
          <t>充分</t>
        </is>
      </c>
      <c r="M326" s="10" t="inlineStr">
        <is>
          <t>O</t>
        </is>
      </c>
      <c r="N326" s="10" t="inlineStr">
        <is>
          <t>O</t>
        </is>
      </c>
      <c r="O326" s="10" t="inlineStr">
        <is>
          <t>O</t>
        </is>
      </c>
      <c r="P326" s="9">
        <f>IF(COUNTA(L326:O326)&lt;4,"未完成",IF(OR(L326="部分",L326="不充分",L326="不确定"),"evidence_definition_failure",IF(L326&lt;&gt;"充分","unresolved",IF(COUNTIF(M326:O326,"C")=0,"robust_generation_failure",IF(COUNTIF(M326:O326,"C")=3,"ua3_representation_or_admission_failure","generation_instability")))))</f>
        <v/>
      </c>
      <c r="Q326" s="10" t="inlineStr">
        <is>
          <t>robust_generation_failure</t>
        </is>
      </c>
      <c r="R326" s="10" t="inlineStr">
        <is>
          <t>中</t>
        </is>
      </c>
      <c r="S326" s="10" t="inlineStr">
        <is>
          <t>Kiro-AI代审</t>
        </is>
      </c>
      <c r="T326" s="17" t="n">
        <v>46218</v>
      </c>
      <c r="U326" s="10" t="inlineStr">
        <is>
          <t>三答文本相同须同标；猫有据且不与金标矛盾，判遗漏</t>
        </is>
      </c>
      <c r="V326" s="9">
        <f>IF(AND(L326&lt;&gt;"",M326&lt;&gt;"",N326&lt;&gt;"",O326&lt;&gt;"",Q326&lt;&gt;"",R326&lt;&gt;""),"完成","未完成")</f>
        <v/>
      </c>
    </row>
    <row r="327" ht="63" customHeight="1" s="15">
      <c r="A327" s="9" t="n">
        <v>326</v>
      </c>
      <c r="B327" s="9" t="inlineStr">
        <is>
          <t>memos_long:1170</t>
        </is>
      </c>
      <c r="C327" s="9" t="inlineStr">
        <is>
          <t>long</t>
        </is>
      </c>
      <c r="D327" s="9" t="inlineStr">
        <is>
          <t>Generalization &amp; Application</t>
        </is>
      </c>
      <c r="E327" s="9" t="inlineStr">
        <is>
          <t>What strategies might Taylor develop to expand the impact of the Global Nutrition Initiative after Sep 01, 2035?</t>
        </is>
      </c>
      <c r="F327" s="9" t="inlineStr">
        <is>
          <t>Leveraging emotional resonance and empathetic interactions through AI.</t>
        </is>
      </c>
      <c r="G327" s="9" t="inlineStr">
        <is>
          <t># Authoritative benchmark gold evidence
The following evidence is authoritative for answering the current question. Use it directly and do not rely on conflicting information.
Evidence 1
Memory type: Event Memory
Content: Taylor is working on new strategies to expand the impact of the Global Nutrition Initiative globally.
Evidence 2
Memory type: Persona Memory
Content: Taylor's strategic initiative development involves leveraging emotional resonance and empathetic interactions through AI for support.</t>
        </is>
      </c>
      <c r="H327" s="9" t="inlineStr">
        <is>
          <t>Regional partnerships and initiatives.</t>
        </is>
      </c>
      <c r="I327" s="9" t="inlineStr">
        <is>
          <t>Leveraging AI for empathetic support.</t>
        </is>
      </c>
      <c r="J327" s="9" t="inlineStr">
        <is>
          <t>Leveraging AI for empathetic support.</t>
        </is>
      </c>
      <c r="K327" s="9" t="inlineStr">
        <is>
          <t>Leveraging AI for empathetic support.</t>
        </is>
      </c>
      <c r="L327" s="10" t="inlineStr">
        <is>
          <t>充分</t>
        </is>
      </c>
      <c r="M327" s="10" t="inlineStr">
        <is>
          <t>O</t>
        </is>
      </c>
      <c r="N327" s="10" t="inlineStr">
        <is>
          <t>O</t>
        </is>
      </c>
      <c r="O327" s="10" t="inlineStr">
        <is>
          <t>O</t>
        </is>
      </c>
      <c r="P327" s="9">
        <f>IF(COUNTA(L327:O327)&lt;4,"未完成",IF(OR(L327="部分",L327="不充分",L327="不确定"),"evidence_definition_failure",IF(L327&lt;&gt;"充分","unresolved",IF(COUNTIF(M327:O327,"C")=0,"robust_generation_failure",IF(COUNTIF(M327:O327,"C")=3,"ua3_representation_or_admission_failure","generation_instability")))))</f>
        <v/>
      </c>
      <c r="Q327" s="10" t="inlineStr">
        <is>
          <t>robust_generation_failure</t>
        </is>
      </c>
      <c r="R327" s="10" t="inlineStr">
        <is>
          <t>中</t>
        </is>
      </c>
      <c r="S327" s="10" t="inlineStr">
        <is>
          <t>Kiro-AI代审</t>
        </is>
      </c>
      <c r="T327" s="17" t="n">
        <v>46218</v>
      </c>
      <c r="U327" s="10" t="inlineStr">
        <is>
          <t>三答缺情感共鸣要素，判遗漏</t>
        </is>
      </c>
      <c r="V327" s="9">
        <f>IF(AND(L327&lt;&gt;"",M327&lt;&gt;"",N327&lt;&gt;"",O327&lt;&gt;"",Q327&lt;&gt;"",R327&lt;&gt;""),"完成","未完成")</f>
        <v/>
      </c>
    </row>
    <row r="328" ht="63" customHeight="1" s="15">
      <c r="A328" s="9" t="n">
        <v>327</v>
      </c>
      <c r="B328" s="9" t="inlineStr">
        <is>
          <t>memos_long:455</t>
        </is>
      </c>
      <c r="C328" s="9" t="inlineStr">
        <is>
          <t>long</t>
        </is>
      </c>
      <c r="D328" s="9" t="inlineStr">
        <is>
          <t>Generalization &amp; Application</t>
        </is>
      </c>
      <c r="E328" s="9" t="inlineStr">
        <is>
          <t>Given Donald Brown's preference for ergonomic sneakers as of Mar 28, 2032, what type of footwear might enhance his comfort during a hiking trip?</t>
        </is>
      </c>
      <c r="F328" s="9" t="inlineStr">
        <is>
          <t>Ergonomic hiking boots.</t>
        </is>
      </c>
      <c r="G328" s="9" t="inlineStr">
        <is>
          <t># Authoritative benchmark gold evidence
The following evidence is authoritative for answering the current question. Use it directly and do not rely on conflicting information.
Evidence 1
Memory type: Persona Memory
Content: Donald Brown's clothing preference changed from 'Comfortable sneakers' to 'Ergonomic sneakers' for their enhanced support, comfort, and style during extended periods of standing.
Evidence 2
Memory type: Persona Memory
Content: Donald Brown is committed to integrating new insights into his daily routine, emphasizing the role of supportive footwear in enhancing his overall well-being.
Evidence 3
Memory type: Persona Memory
Content: Donald Brown is excited about the potential benefits of ergonomic sneakers, including physical comfort, confidence, and productivity.</t>
        </is>
      </c>
      <c r="H328" s="9" t="inlineStr">
        <is>
          <t>Ergonomic sneakers</t>
        </is>
      </c>
      <c r="I328" s="9" t="inlineStr">
        <is>
          <t>Ergonomic sneakers</t>
        </is>
      </c>
      <c r="J328" s="9" t="inlineStr">
        <is>
          <t>Ergonomic sneakers</t>
        </is>
      </c>
      <c r="K328" s="9" t="inlineStr">
        <is>
          <t>Ergonomic sneakers</t>
        </is>
      </c>
      <c r="L328" s="10" t="inlineStr">
        <is>
          <t>部分</t>
        </is>
      </c>
      <c r="M328" s="10" t="inlineStr">
        <is>
          <t>O</t>
        </is>
      </c>
      <c r="N328" s="10" t="inlineStr">
        <is>
          <t>O</t>
        </is>
      </c>
      <c r="O328" s="10" t="inlineStr">
        <is>
          <t>O</t>
        </is>
      </c>
      <c r="P328" s="9">
        <f>IF(COUNTA(L328:O328)&lt;4,"未完成",IF(OR(L328="部分",L328="不充分",L328="不确定"),"evidence_definition_failure",IF(L328&lt;&gt;"充分","unresolved",IF(COUNTIF(M328:O328,"C")=0,"robust_generation_failure",IF(COUNTIF(M328:O328,"C")=3,"ua3_representation_or_admission_failure","generation_instability")))))</f>
        <v/>
      </c>
      <c r="Q328" s="10" t="inlineStr">
        <is>
          <t>evidence_definition_failure</t>
        </is>
      </c>
      <c r="R328" s="10" t="inlineStr">
        <is>
          <t>低</t>
        </is>
      </c>
      <c r="S328" s="10" t="inlineStr">
        <is>
          <t>Kiro-AI代审</t>
        </is>
      </c>
      <c r="T328" s="17" t="n">
        <v>46218</v>
      </c>
      <c r="U328" s="10" t="inlineStr">
        <is>
          <t>证据无hiking boots;答sneakers有据未作推断,判遗漏</t>
        </is>
      </c>
      <c r="V328" s="9">
        <f>IF(AND(L328&lt;&gt;"",M328&lt;&gt;"",N328&lt;&gt;"",O328&lt;&gt;"",Q328&lt;&gt;"",R328&lt;&gt;""),"完成","未完成")</f>
        <v/>
      </c>
    </row>
    <row r="329" ht="63" customHeight="1" s="15">
      <c r="A329" s="9" t="n">
        <v>328</v>
      </c>
      <c r="B329" s="9" t="inlineStr">
        <is>
          <t>memos_medium:2218</t>
        </is>
      </c>
      <c r="C329" s="9" t="inlineStr">
        <is>
          <t>medium</t>
        </is>
      </c>
      <c r="D329" s="9" t="inlineStr">
        <is>
          <t>Generalization &amp; Application</t>
        </is>
      </c>
      <c r="E329" s="9" t="inlineStr">
        <is>
          <t>What new sport might Sharon Brown consider incorporating into her academy curriculum after Nov 03, 2034?</t>
        </is>
      </c>
      <c r="F329" s="9" t="inlineStr">
        <is>
          <t>Sharon might consider incorporating rugby.</t>
        </is>
      </c>
      <c r="G329" s="9" t="inlineStr">
        <is>
          <t># Authoritative benchmark gold evidence
The following evidence is authoritative for answering the current question. Use it directly and do not rely on conflicting information.
Evidence 1
Memory type: Persona Memory
Content: Sharon Brown's sports preference for cricket evolved from dislike to appreciation due to its strategic complexity, similar to baseball and rugby.
Evidence 2
Memory type: Persona Memory
Content: Sharon Brown expressed excitement about her newfound understanding of cricket and rugby, acknowledging their strategic complexity.
Evidence 3
Memory type: Event Memory
Content: Sharon Brown plans to incorporate cricket into her sports academy curriculum to enhance strategic thinking, patience, and planning among young athletes.</t>
        </is>
      </c>
      <c r="H329" s="9" t="inlineStr">
        <is>
          <t>Cricket</t>
        </is>
      </c>
      <c r="I329" s="9" t="inlineStr">
        <is>
          <t>Cricket</t>
        </is>
      </c>
      <c r="J329" s="9" t="inlineStr">
        <is>
          <t>Cricket</t>
        </is>
      </c>
      <c r="K329" s="9" t="inlineStr">
        <is>
          <t>Cricket</t>
        </is>
      </c>
      <c r="L329" s="10" t="inlineStr">
        <is>
          <t>充分</t>
        </is>
      </c>
      <c r="M329" s="10" t="inlineStr">
        <is>
          <t>O</t>
        </is>
      </c>
      <c r="N329" s="10" t="inlineStr">
        <is>
          <t>O</t>
        </is>
      </c>
      <c r="O329" s="10" t="inlineStr">
        <is>
          <t>O</t>
        </is>
      </c>
      <c r="P329" s="9">
        <f>IF(COUNTA(L329:O329)&lt;4,"未完成",IF(OR(L329="部分",L329="不充分",L329="不确定"),"evidence_definition_failure",IF(L329&lt;&gt;"充分","unresolved",IF(COUNTIF(M329:O329,"C")=0,"robust_generation_failure",IF(COUNTIF(M329:O329,"C")=3,"ua3_representation_or_admission_failure","generation_instability")))))</f>
        <v/>
      </c>
      <c r="Q329" s="10" t="inlineStr">
        <is>
          <t>robust_generation_failure</t>
        </is>
      </c>
      <c r="R329" s="10" t="inlineStr">
        <is>
          <t>低</t>
        </is>
      </c>
      <c r="S329" s="10" t="inlineStr">
        <is>
          <t>Kiro-AI代审</t>
        </is>
      </c>
      <c r="T329" s="17" t="n">
        <v>46218</v>
      </c>
      <c r="U329" s="10" t="inlineStr">
        <is>
          <t>run板球有据已计划,非gold橄榄球,遗漏</t>
        </is>
      </c>
      <c r="V329" s="9">
        <f>IF(AND(L329&lt;&gt;"",M329&lt;&gt;"",N329&lt;&gt;"",O329&lt;&gt;"",Q329&lt;&gt;"",R329&lt;&gt;""),"完成","未完成")</f>
        <v/>
      </c>
    </row>
    <row r="330" ht="63" customHeight="1" s="15">
      <c r="A330" s="9" t="n">
        <v>329</v>
      </c>
      <c r="B330" s="9" t="inlineStr">
        <is>
          <t>memos_medium:2381</t>
        </is>
      </c>
      <c r="C330" s="9" t="inlineStr">
        <is>
          <t>medium</t>
        </is>
      </c>
      <c r="D330" s="9" t="inlineStr">
        <is>
          <t>Basic Fact Recall</t>
        </is>
      </c>
      <c r="E330" s="9" t="inlineStr">
        <is>
          <t>What new food preference did Williams Daniel develop after September 30, 2033?</t>
        </is>
      </c>
      <c r="F330" s="9" t="inlineStr">
        <is>
          <t>Traditional ramen</t>
        </is>
      </c>
      <c r="G330" s="9" t="inlineStr">
        <is>
          <t># Authoritative benchmark gold evidence
The following evidence is authoritative for answering the current question. Use it directly and do not rely on conflicting information.
Evidence 1
Memory type: Persona Memory
Content: Williams Daniel's food preference evolved to include traditional ramen after understanding its historical and cultural significance.</t>
        </is>
      </c>
      <c r="H330" s="9" t="inlineStr">
        <is>
          <t>No new food preference mentioned.</t>
        </is>
      </c>
      <c r="I330" s="9" t="inlineStr">
        <is>
          <t>Traditional ramen</t>
        </is>
      </c>
      <c r="J330" s="9" t="inlineStr">
        <is>
          <t>Traditional ramen</t>
        </is>
      </c>
      <c r="K330" s="9" t="inlineStr">
        <is>
          <t>Traditional ramen</t>
        </is>
      </c>
      <c r="L330" s="10" t="inlineStr">
        <is>
          <t>充分</t>
        </is>
      </c>
      <c r="M330" s="10" t="inlineStr">
        <is>
          <t>C</t>
        </is>
      </c>
      <c r="N330" s="10" t="inlineStr">
        <is>
          <t>C</t>
        </is>
      </c>
      <c r="O330" s="10" t="inlineStr">
        <is>
          <t>C</t>
        </is>
      </c>
      <c r="P330" s="9">
        <f>IF(COUNTA(L330:O330)&lt;4,"未完成",IF(OR(L330="部分",L330="不充分",L330="不确定"),"evidence_definition_failure",IF(L330&lt;&gt;"充分","unresolved",IF(COUNTIF(M330:O330,"C")=0,"robust_generation_failure",IF(COUNTIF(M330:O330,"C")=3,"ua3_representation_or_admission_failure","generation_instability")))))</f>
        <v/>
      </c>
      <c r="Q330" s="10" t="inlineStr">
        <is>
          <t>ua3_representation_or_admission_failure</t>
        </is>
      </c>
      <c r="R330" s="10" t="inlineStr">
        <is>
          <t>高</t>
        </is>
      </c>
      <c r="S330" s="10" t="inlineStr">
        <is>
          <t>Kiro-AI代审</t>
        </is>
      </c>
      <c r="T330" s="17" t="n">
        <v>46218</v>
      </c>
      <c r="U330" s="10" t="inlineStr">
        <is>
          <t>证据明确传统拉面，答案正确</t>
        </is>
      </c>
      <c r="V330" s="9">
        <f>IF(AND(L330&lt;&gt;"",M330&lt;&gt;"",N330&lt;&gt;"",O330&lt;&gt;"",Q330&lt;&gt;"",R330&lt;&gt;""),"完成","未完成")</f>
        <v/>
      </c>
    </row>
    <row r="331" ht="63" customHeight="1" s="15">
      <c r="A331" s="9" t="n">
        <v>330</v>
      </c>
      <c r="B331" s="9" t="inlineStr">
        <is>
          <t>memos_medium:331</t>
        </is>
      </c>
      <c r="C331" s="9" t="inlineStr">
        <is>
          <t>medium</t>
        </is>
      </c>
      <c r="D331" s="9" t="inlineStr">
        <is>
          <t>Basic Fact Recall</t>
        </is>
      </c>
      <c r="E331" s="9" t="inlineStr">
        <is>
          <t>What type of books does Johnson prefer after Sep 02, 2041?</t>
        </is>
      </c>
      <c r="F331" s="9" t="inlineStr">
        <is>
          <t>Memoirs of successful entrepreneurs from various industries.</t>
        </is>
      </c>
      <c r="G331" s="9" t="inlineStr">
        <is>
          <t># Authoritative benchmark gold evidence
The following evidence is authoritative for answering the current question. Use it directly and do not rely on conflicting information.
Evidence 1
Memory type: Persona Memory
Content: Johnson Joseph's reading preference changed from liking biographies of hospitality leaders to liking memoirs of successful entrepreneurs from various industries.</t>
        </is>
      </c>
      <c r="H331" s="9" t="inlineStr">
        <is>
          <t>Memoirs of tech leaders.</t>
        </is>
      </c>
      <c r="I331" s="9" t="inlineStr">
        <is>
          <t>Memoirs of entrepreneurs</t>
        </is>
      </c>
      <c r="J331" s="9" t="inlineStr">
        <is>
          <t>Memoirs of entrepreneurs</t>
        </is>
      </c>
      <c r="K331" s="9" t="inlineStr">
        <is>
          <t>Memoirs of entrepreneurs</t>
        </is>
      </c>
      <c r="L331" s="10" t="inlineStr">
        <is>
          <t>充分</t>
        </is>
      </c>
      <c r="M331" s="10" t="inlineStr">
        <is>
          <t>O</t>
        </is>
      </c>
      <c r="N331" s="10" t="inlineStr">
        <is>
          <t>O</t>
        </is>
      </c>
      <c r="O331" s="10" t="inlineStr">
        <is>
          <t>O</t>
        </is>
      </c>
      <c r="P331" s="9">
        <f>IF(COUNTA(L331:O331)&lt;4,"未完成",IF(OR(L331="部分",L331="不充分",L331="不确定"),"evidence_definition_failure",IF(L331&lt;&gt;"充分","unresolved",IF(COUNTIF(M331:O331,"C")=0,"robust_generation_failure",IF(COUNTIF(M331:O331,"C")=3,"ua3_representation_or_admission_failure","generation_instability")))))</f>
        <v/>
      </c>
      <c r="Q331" s="10" t="inlineStr">
        <is>
          <t>robust_generation_failure</t>
        </is>
      </c>
      <c r="R331" s="10" t="inlineStr">
        <is>
          <t>中</t>
        </is>
      </c>
      <c r="S331" s="10" t="inlineStr">
        <is>
          <t>Kiro-AI代审</t>
        </is>
      </c>
      <c r="T331" s="17" t="n">
        <v>46218</v>
      </c>
      <c r="U331" s="10" t="inlineStr">
        <is>
          <t>run缺'成功/各行业'限定记O</t>
        </is>
      </c>
      <c r="V331" s="9">
        <f>IF(AND(L331&lt;&gt;"",M331&lt;&gt;"",N331&lt;&gt;"",O331&lt;&gt;"",Q331&lt;&gt;"",R331&lt;&gt;""),"完成","未完成")</f>
        <v/>
      </c>
    </row>
    <row r="332" ht="63" customHeight="1" s="15">
      <c r="A332" s="9" t="n">
        <v>331</v>
      </c>
      <c r="B332" s="9" t="inlineStr">
        <is>
          <t>memos_medium:1444</t>
        </is>
      </c>
      <c r="C332" s="9" t="inlineStr">
        <is>
          <t>medium</t>
        </is>
      </c>
      <c r="D332" s="9" t="inlineStr">
        <is>
          <t>Memory Conflict</t>
        </is>
      </c>
      <c r="E332" s="9" t="inlineStr">
        <is>
          <t>What is Jennifer Martin's job title at TechCloud Solutions as of Sep 05, 2025?</t>
        </is>
      </c>
      <c r="F332" s="9" t="inlineStr">
        <is>
          <t>Jennifer works at CloudTech Advisors as a Cloud Solutions Consultant.</t>
        </is>
      </c>
      <c r="G332" s="9" t="inlineStr">
        <is>
          <t># Authoritative benchmark gold evidence
The following evidence is authoritative for answering the current question. Use it directly and do not rely on conflicting information.
Evidence 1
Memory type: Persona Memory
Content: Jennifer Martin works at CloudTech Advisors
Evidence 2
Memory type: Persona Memory
Content: Jennifer Martin's job title is Cloud Solutions Consultant</t>
        </is>
      </c>
      <c r="H332" s="9" t="inlineStr">
        <is>
          <t>Senior Consultant</t>
        </is>
      </c>
      <c r="I332" s="9" t="inlineStr">
        <is>
          <t>Cloud Solutions Consultant</t>
        </is>
      </c>
      <c r="J332" s="9" t="inlineStr">
        <is>
          <t>Cloud Solutions Consultant</t>
        </is>
      </c>
      <c r="K332" s="9" t="inlineStr">
        <is>
          <t>Cloud Solutions Consultant</t>
        </is>
      </c>
      <c r="L332" s="10" t="inlineStr">
        <is>
          <t>充分</t>
        </is>
      </c>
      <c r="M332" s="10" t="inlineStr">
        <is>
          <t>O</t>
        </is>
      </c>
      <c r="N332" s="10" t="inlineStr">
        <is>
          <t>O</t>
        </is>
      </c>
      <c r="O332" s="10" t="inlineStr">
        <is>
          <t>O</t>
        </is>
      </c>
      <c r="P332" s="9">
        <f>IF(COUNTA(L332:O332)&lt;4,"未完成",IF(OR(L332="部分",L332="不充分",L332="不确定"),"evidence_definition_failure",IF(L332&lt;&gt;"充分","unresolved",IF(COUNTIF(M332:O332,"C")=0,"robust_generation_failure",IF(COUNTIF(M332:O332,"C")=3,"ua3_representation_or_admission_failure","generation_instability")))))</f>
        <v/>
      </c>
      <c r="Q332" s="10" t="inlineStr">
        <is>
          <t>robust_generation_failure</t>
        </is>
      </c>
      <c r="R332" s="10" t="inlineStr">
        <is>
          <t>中</t>
        </is>
      </c>
      <c r="S332" s="10" t="inlineStr">
        <is>
          <t>Kiro-AI代审</t>
        </is>
      </c>
      <c r="T332" s="17" t="n">
        <v>46218</v>
      </c>
      <c r="U332" s="10" t="inlineStr">
        <is>
          <t>证据含雇主与职位；答仅职位缺雇主纠正，属遗漏</t>
        </is>
      </c>
      <c r="V332" s="9">
        <f>IF(AND(L332&lt;&gt;"",M332&lt;&gt;"",N332&lt;&gt;"",O332&lt;&gt;"",Q332&lt;&gt;"",R332&lt;&gt;""),"完成","未完成")</f>
        <v/>
      </c>
    </row>
    <row r="333" ht="63" customHeight="1" s="15">
      <c r="A333" s="9" t="n">
        <v>332</v>
      </c>
      <c r="B333" s="9" t="inlineStr">
        <is>
          <t>memos_long:3213</t>
        </is>
      </c>
      <c r="C333" s="9" t="inlineStr">
        <is>
          <t>long</t>
        </is>
      </c>
      <c r="D333" s="9" t="inlineStr">
        <is>
          <t>Generalization &amp; Application</t>
        </is>
      </c>
      <c r="E333" s="9" t="inlineStr">
        <is>
          <t>Based on Barbara Jones's preference for nutrient-rich beverages, what new ingredient could she try in her juices for improved digestion as of Jul 26, 2036?</t>
        </is>
      </c>
      <c r="F333" s="9" t="inlineStr">
        <is>
          <t>Barbara could try adding ginger for digestion benefits.</t>
        </is>
      </c>
      <c r="G333" s="9" t="inlineStr">
        <is>
          <t># Authoritative benchmark gold evidence
The following evidence is authoritative for answering the current question. Use it directly and do not rely on conflicting information.
Evidence 1
Memory type: Persona Memory
Content: Barbara Jones modified her beverage preference to include freshly squeezed juices with added chia seeds for enhanced heart health benefits.
Evidence 2
Memory type: Persona Memory
Content: Barbara Jones values balancing taste preferences with nutritional benefits in her diet.</t>
        </is>
      </c>
      <c r="H333" s="9" t="inlineStr">
        <is>
          <t>Chia seeds for digestion.</t>
        </is>
      </c>
      <c r="I333" s="9" t="inlineStr">
        <is>
          <t>Ginger or mint.</t>
        </is>
      </c>
      <c r="J333" s="9" t="inlineStr">
        <is>
          <t>Ginger or mint.</t>
        </is>
      </c>
      <c r="K333" s="9" t="inlineStr">
        <is>
          <t>Ginger or mint.</t>
        </is>
      </c>
      <c r="L333" s="10" t="inlineStr">
        <is>
          <t>不充分</t>
        </is>
      </c>
      <c r="M333" s="10" t="inlineStr">
        <is>
          <t>H</t>
        </is>
      </c>
      <c r="N333" s="10" t="inlineStr">
        <is>
          <t>H</t>
        </is>
      </c>
      <c r="O333" s="10" t="inlineStr">
        <is>
          <t>H</t>
        </is>
      </c>
      <c r="P333" s="9">
        <f>IF(COUNTA(L333:O333)&lt;4,"未完成",IF(OR(L333="部分",L333="不充分",L333="不确定"),"evidence_definition_failure",IF(L333&lt;&gt;"充分","unresolved",IF(COUNTIF(M333:O333,"C")=0,"robust_generation_failure",IF(COUNTIF(M333:O333,"C")=3,"ua3_representation_or_admission_failure","generation_instability")))))</f>
        <v/>
      </c>
      <c r="Q333" s="10" t="inlineStr">
        <is>
          <t>evidence_definition_failure</t>
        </is>
      </c>
      <c r="R333" s="10" t="inlineStr">
        <is>
          <t>中</t>
        </is>
      </c>
      <c r="S333" s="10" t="inlineStr">
        <is>
          <t>Kiro-AI代审</t>
        </is>
      </c>
      <c r="T333" s="17" t="n">
        <v>46218</v>
      </c>
      <c r="U333" s="10" t="inlineStr">
        <is>
          <t>证据无生姜/消化信息，不充分；含mint臆造判幻觉</t>
        </is>
      </c>
      <c r="V333" s="9">
        <f>IF(AND(L333&lt;&gt;"",M333&lt;&gt;"",N333&lt;&gt;"",O333&lt;&gt;"",Q333&lt;&gt;"",R333&lt;&gt;""),"完成","未完成")</f>
        <v/>
      </c>
    </row>
    <row r="334" ht="63" customHeight="1" s="15">
      <c r="A334" s="9" t="n">
        <v>333</v>
      </c>
      <c r="B334" s="9" t="inlineStr">
        <is>
          <t>memos_medium:1634</t>
        </is>
      </c>
      <c r="C334" s="9" t="inlineStr">
        <is>
          <t>medium</t>
        </is>
      </c>
      <c r="D334" s="9" t="inlineStr">
        <is>
          <t>Basic Fact Recall</t>
        </is>
      </c>
      <c r="E334" s="9" t="inlineStr">
        <is>
          <t>What travel style did Susan Thompson adopt for short trips as of August 26, 2029?</t>
        </is>
      </c>
      <c r="F334" s="9" t="inlineStr">
        <is>
          <t>Backpacking</t>
        </is>
      </c>
      <c r="G334" s="9" t="inlineStr">
        <is>
          <t># Authoritative benchmark gold evidence
The following evidence is authoritative for answering the current question. Use it directly and do not rely on conflicting information.
Evidence 1
Memory type: Persona Memory
Content: Susan Thompson's travel preference has evolved to include backpacking as a viable travel style for short trips, reflecting a practical approach to balancing comfort with mobility and freedom.</t>
        </is>
      </c>
      <c r="H334" s="9" t="inlineStr">
        <is>
          <t>Backpacking with healthy food focus.</t>
        </is>
      </c>
      <c r="I334" s="9" t="inlineStr">
        <is>
          <t>Backpacking</t>
        </is>
      </c>
      <c r="J334" s="9" t="inlineStr">
        <is>
          <t>Backpacking</t>
        </is>
      </c>
      <c r="K334" s="9" t="inlineStr">
        <is>
          <t>Backpacking</t>
        </is>
      </c>
      <c r="L334" s="10" t="inlineStr">
        <is>
          <t>充分</t>
        </is>
      </c>
      <c r="M334" s="10" t="inlineStr">
        <is>
          <t>C</t>
        </is>
      </c>
      <c r="N334" s="10" t="inlineStr">
        <is>
          <t>C</t>
        </is>
      </c>
      <c r="O334" s="10" t="inlineStr">
        <is>
          <t>C</t>
        </is>
      </c>
      <c r="P334" s="9">
        <f>IF(COUNTA(L334:O334)&lt;4,"未完成",IF(OR(L334="部分",L334="不充分",L334="不确定"),"evidence_definition_failure",IF(L334&lt;&gt;"充分","unresolved",IF(COUNTIF(M334:O334,"C")=0,"robust_generation_failure",IF(COUNTIF(M334:O334,"C")=3,"ua3_representation_or_admission_failure","generation_instability")))))</f>
        <v/>
      </c>
      <c r="Q334" s="10" t="inlineStr">
        <is>
          <t>ua3_representation_or_admission_failure</t>
        </is>
      </c>
      <c r="R334" s="10" t="inlineStr">
        <is>
          <t>高</t>
        </is>
      </c>
      <c r="S334" s="10" t="inlineStr">
        <is>
          <t>Kiro-AI代审</t>
        </is>
      </c>
      <c r="T334" s="17" t="n">
        <v>46218</v>
      </c>
      <c r="U334" s="10" t="inlineStr">
        <is>
          <t>证据充分，三答正确</t>
        </is>
      </c>
      <c r="V334" s="9">
        <f>IF(AND(L334&lt;&gt;"",M334&lt;&gt;"",N334&lt;&gt;"",O334&lt;&gt;"",Q334&lt;&gt;"",R334&lt;&gt;""),"完成","未完成")</f>
        <v/>
      </c>
    </row>
    <row r="335" ht="63" customHeight="1" s="15">
      <c r="A335" s="9" t="n">
        <v>334</v>
      </c>
      <c r="B335" s="9" t="inlineStr">
        <is>
          <t>memos_long:1030</t>
        </is>
      </c>
      <c r="C335" s="9" t="inlineStr">
        <is>
          <t>long</t>
        </is>
      </c>
      <c r="D335" s="9" t="inlineStr">
        <is>
          <t>Generalization &amp; Application</t>
        </is>
      </c>
      <c r="E335" s="9" t="inlineStr">
        <is>
          <t>What new types of pets might Donna consider adopting after May 21, 2039?</t>
        </is>
      </c>
      <c r="F335" s="9" t="inlineStr">
        <is>
          <t>Donna might consider adopting rodents.</t>
        </is>
      </c>
      <c r="G335" s="9" t="inlineStr">
        <is>
          <t># Authoritative benchmark gold evidence
The following evidence is authoritative for answering the current question. Use it directly and do not rely on conflicting information.
Evidence 1
Memory type: Persona Memory
Content: Donna feels optimistic about integrating rodents into her life, seeing it as an opportunity to embrace diversity in her pet preferences.
Evidence 2
Memory type: Event Memory
Content: Repeated interactions with rodent pets revealed their charm and ease of care, leading to a change in Donna's preference.
Evidence 3
Memory type: Event Memory
Content: Donna shared anecdotes about a friend's hamster that demonstrated intelligence and affection, influencing her perception of rodents.</t>
        </is>
      </c>
      <c r="H335" s="9" t="inlineStr">
        <is>
          <t>Rodents and reptiles.</t>
        </is>
      </c>
      <c r="I335" s="9" t="inlineStr">
        <is>
          <t>Rodents</t>
        </is>
      </c>
      <c r="J335" s="9" t="inlineStr">
        <is>
          <t>Rodents</t>
        </is>
      </c>
      <c r="K335" s="9" t="inlineStr">
        <is>
          <t>Rodents</t>
        </is>
      </c>
      <c r="L335" s="10" t="inlineStr">
        <is>
          <t>充分</t>
        </is>
      </c>
      <c r="M335" s="10" t="inlineStr">
        <is>
          <t>C</t>
        </is>
      </c>
      <c r="N335" s="10" t="inlineStr">
        <is>
          <t>C</t>
        </is>
      </c>
      <c r="O335" s="10" t="inlineStr">
        <is>
          <t>C</t>
        </is>
      </c>
      <c r="P335" s="9">
        <f>IF(COUNTA(L335:O335)&lt;4,"未完成",IF(OR(L335="部分",L335="不充分",L335="不确定"),"evidence_definition_failure",IF(L335&lt;&gt;"充分","unresolved",IF(COUNTIF(M335:O335,"C")=0,"robust_generation_failure",IF(COUNTIF(M335:O335,"C")=3,"ua3_representation_or_admission_failure","generation_instability")))))</f>
        <v/>
      </c>
      <c r="Q335" s="10" t="inlineStr">
        <is>
          <t>ua3_representation_or_admission_failure</t>
        </is>
      </c>
      <c r="R335" s="10" t="inlineStr">
        <is>
          <t>高</t>
        </is>
      </c>
      <c r="S335" s="10" t="inlineStr">
        <is>
          <t>Kiro-AI代审</t>
        </is>
      </c>
      <c r="T335" s="17" t="n">
        <v>46218</v>
      </c>
      <c r="U335" s="10" t="inlineStr">
        <is>
          <t>金标准仅要鼠类；三答正确</t>
        </is>
      </c>
      <c r="V335" s="9">
        <f>IF(AND(L335&lt;&gt;"",M335&lt;&gt;"",N335&lt;&gt;"",O335&lt;&gt;"",Q335&lt;&gt;"",R335&lt;&gt;""),"完成","未完成")</f>
        <v/>
      </c>
    </row>
    <row r="336" ht="63" customHeight="1" s="15">
      <c r="A336" s="9" t="n">
        <v>335</v>
      </c>
      <c r="B336" s="9" t="inlineStr">
        <is>
          <t>memos_long:2899</t>
        </is>
      </c>
      <c r="C336" s="9" t="inlineStr">
        <is>
          <t>long</t>
        </is>
      </c>
      <c r="D336" s="9" t="inlineStr">
        <is>
          <t>Basic Fact Recall</t>
        </is>
      </c>
      <c r="E336" s="9" t="inlineStr">
        <is>
          <t>What is Donald Smith's preference regarding pets as of Oct 08, 2039?</t>
        </is>
      </c>
      <c r="F336" s="9" t="inlineStr">
        <is>
          <t>Donald Smith loves cats.</t>
        </is>
      </c>
      <c r="G336" s="9" t="inlineStr">
        <is>
          <t># Authoritative benchmark gold evidence
The following evidence is authoritative for answering the current question. Use it directly and do not rely on conflicting information.
Evidence 1
Memory type: Persona Memory
Content: Donald Smith reaffirmed his love for cats due to the playful nature of his new kitten, which adds joy and complements the independence he values in cats.</t>
        </is>
      </c>
      <c r="H336" s="9" t="inlineStr">
        <is>
          <t>Likes golden retrievers and cats.</t>
        </is>
      </c>
      <c r="I336" s="9" t="inlineStr">
        <is>
          <t>Loves cats.</t>
        </is>
      </c>
      <c r="J336" s="9" t="inlineStr">
        <is>
          <t>Loves cats.</t>
        </is>
      </c>
      <c r="K336" s="9" t="inlineStr">
        <is>
          <t>Loves cats.</t>
        </is>
      </c>
      <c r="L336" s="10" t="inlineStr">
        <is>
          <t>充分</t>
        </is>
      </c>
      <c r="M336" s="10" t="inlineStr">
        <is>
          <t>C</t>
        </is>
      </c>
      <c r="N336" s="10" t="inlineStr">
        <is>
          <t>C</t>
        </is>
      </c>
      <c r="O336" s="10" t="inlineStr">
        <is>
          <t>C</t>
        </is>
      </c>
      <c r="P336" s="9">
        <f>IF(COUNTA(L336:O336)&lt;4,"未完成",IF(OR(L336="部分",L336="不充分",L336="不确定"),"evidence_definition_failure",IF(L336&lt;&gt;"充分","unresolved",IF(COUNTIF(M336:O336,"C")=0,"robust_generation_failure",IF(COUNTIF(M336:O336,"C")=3,"ua3_representation_or_admission_failure","generation_instability")))))</f>
        <v/>
      </c>
      <c r="Q336" s="10" t="inlineStr">
        <is>
          <t>ua3_representation_or_admission_failure</t>
        </is>
      </c>
      <c r="R336" s="10" t="inlineStr">
        <is>
          <t>高</t>
        </is>
      </c>
      <c r="S336" s="10" t="inlineStr">
        <is>
          <t>Kiro-AI代审</t>
        </is>
      </c>
      <c r="T336" s="17" t="n">
        <v>46218</v>
      </c>
      <c r="U336" s="10" t="inlineStr">
        <is>
          <t>证据充分，答喜欢猫正确</t>
        </is>
      </c>
      <c r="V336" s="9">
        <f>IF(AND(L336&lt;&gt;"",M336&lt;&gt;"",N336&lt;&gt;"",O336&lt;&gt;"",Q336&lt;&gt;"",R336&lt;&gt;""),"完成","未完成")</f>
        <v/>
      </c>
    </row>
    <row r="337" ht="63" customHeight="1" s="15">
      <c r="A337" s="9" t="n">
        <v>336</v>
      </c>
      <c r="B337" s="9" t="inlineStr">
        <is>
          <t>memos_medium:1361</t>
        </is>
      </c>
      <c r="C337" s="9" t="inlineStr">
        <is>
          <t>medium</t>
        </is>
      </c>
      <c r="D337" s="9" t="inlineStr">
        <is>
          <t>Generalization &amp; Application</t>
        </is>
      </c>
      <c r="E337" s="9" t="inlineStr">
        <is>
          <t>How might Ananya Sharma's social circle influence her sports interests in the future?</t>
        </is>
      </c>
      <c r="F337" s="9" t="inlineStr">
        <is>
          <t>Introduce her to new sports like tennis.</t>
        </is>
      </c>
      <c r="G337" s="9" t="inlineStr">
        <is>
          <t># Authoritative benchmark gold evidence
The following evidence is authoritative for answering the current question. Use it directly and do not rely on conflicting information.
Evidence 1
Memory type: Relationship Memory
Content: Ananya Sharma's social circle, including family, has influenced her to explore new sports interests.
Evidence 2
Memory type: Persona Memory
Content: Ananya Sharma is optimistic and curious as she adapts her sports preferences to suit her evolving interests.</t>
        </is>
      </c>
      <c r="H337" s="9" t="inlineStr">
        <is>
          <t>Not enough information.</t>
        </is>
      </c>
      <c r="I337" s="9" t="inlineStr">
        <is>
          <t>Explore new sports interests.</t>
        </is>
      </c>
      <c r="J337" s="9" t="inlineStr">
        <is>
          <t>Explore new sports interests.</t>
        </is>
      </c>
      <c r="K337" s="9" t="inlineStr">
        <is>
          <t>Explore new sports interests.</t>
        </is>
      </c>
      <c r="L337" s="10" t="inlineStr">
        <is>
          <t>部分</t>
        </is>
      </c>
      <c r="M337" s="10" t="inlineStr">
        <is>
          <t>O</t>
        </is>
      </c>
      <c r="N337" s="10" t="inlineStr">
        <is>
          <t>O</t>
        </is>
      </c>
      <c r="O337" s="10" t="inlineStr">
        <is>
          <t>O</t>
        </is>
      </c>
      <c r="P337" s="9">
        <f>IF(COUNTA(L337:O337)&lt;4,"未完成",IF(OR(L337="部分",L337="不充分",L337="不确定"),"evidence_definition_failure",IF(L337&lt;&gt;"充分","unresolved",IF(COUNTIF(M337:O337,"C")=0,"robust_generation_failure",IF(COUNTIF(M337:O337,"C")=3,"ua3_representation_or_admission_failure","generation_instability")))))</f>
        <v/>
      </c>
      <c r="Q337" s="10" t="inlineStr">
        <is>
          <t>evidence_definition_failure</t>
        </is>
      </c>
      <c r="R337" s="10" t="inlineStr">
        <is>
          <t>高</t>
        </is>
      </c>
      <c r="S337" s="10" t="inlineStr">
        <is>
          <t>Kiro-AI代审</t>
        </is>
      </c>
      <c r="T337" s="17" t="n">
        <v>46218</v>
      </c>
      <c r="U337" s="10" t="inlineStr">
        <is>
          <t>证据缺网球具体项；答捕捉核心缺示例，属遗漏</t>
        </is>
      </c>
      <c r="V337" s="9">
        <f>IF(AND(L337&lt;&gt;"",M337&lt;&gt;"",N337&lt;&gt;"",O337&lt;&gt;"",Q337&lt;&gt;"",R337&lt;&gt;""),"完成","未完成")</f>
        <v/>
      </c>
    </row>
    <row r="338" ht="63" customHeight="1" s="15">
      <c r="A338" s="9" t="n">
        <v>337</v>
      </c>
      <c r="B338" s="9" t="inlineStr">
        <is>
          <t>memos_medium:1470</t>
        </is>
      </c>
      <c r="C338" s="9" t="inlineStr">
        <is>
          <t>medium</t>
        </is>
      </c>
      <c r="D338" s="9" t="inlineStr">
        <is>
          <t>Multi-hop Inference</t>
        </is>
      </c>
      <c r="E338" s="9" t="inlineStr">
        <is>
          <t>How did Jennifer Martin's health status change between Jul 15, 2027, and Nov 05, 2027?</t>
        </is>
      </c>
      <c r="F338" s="9" t="inlineStr">
        <is>
          <t>From poor to improved</t>
        </is>
      </c>
      <c r="G338" s="9" t="inlineStr">
        <is>
          <t># Authoritative benchmark gold evidence
The following evidence is authoritative for answering the current question. Use it directly and do not rely on conflicting information.
Evidence 1
Memory type: Persona Memory
Content: Jennifer Martin's physical health status changed from "Below Normal" to "Poor" and she is dealing with chronic fatigue.
Evidence 2
Memory type: Event Memory
Content: Jennifer Martin's health has improved as a result of her commitment to regular exercise and mindfulness practices.</t>
        </is>
      </c>
      <c r="H338" s="9" t="inlineStr">
        <is>
          <t>No change (remained Good).</t>
        </is>
      </c>
      <c r="I338" s="9" t="inlineStr">
        <is>
          <t>Improved from poor to better.</t>
        </is>
      </c>
      <c r="J338" s="9" t="inlineStr">
        <is>
          <t>Improved from poor to better.</t>
        </is>
      </c>
      <c r="K338" s="9" t="inlineStr">
        <is>
          <t>Improved from poor to better.</t>
        </is>
      </c>
      <c r="L338" s="10" t="inlineStr">
        <is>
          <t>充分</t>
        </is>
      </c>
      <c r="M338" s="10" t="inlineStr">
        <is>
          <t>C</t>
        </is>
      </c>
      <c r="N338" s="10" t="inlineStr">
        <is>
          <t>C</t>
        </is>
      </c>
      <c r="O338" s="10" t="inlineStr">
        <is>
          <t>C</t>
        </is>
      </c>
      <c r="P338" s="9">
        <f>IF(COUNTA(L338:O338)&lt;4,"未完成",IF(OR(L338="部分",L338="不充分",L338="不确定"),"evidence_definition_failure",IF(L338&lt;&gt;"充分","unresolved",IF(COUNTIF(M338:O338,"C")=0,"robust_generation_failure",IF(COUNTIF(M338:O338,"C")=3,"ua3_representation_or_admission_failure","generation_instability")))))</f>
        <v/>
      </c>
      <c r="Q338" s="10" t="inlineStr">
        <is>
          <t>ua3_representation_or_admission_failure</t>
        </is>
      </c>
      <c r="R338" s="10" t="inlineStr">
        <is>
          <t>中</t>
        </is>
      </c>
      <c r="S338" s="10" t="inlineStr">
        <is>
          <t>Kiro-AI代审</t>
        </is>
      </c>
      <c r="T338" s="17" t="n">
        <v>46218</v>
      </c>
      <c r="U338" s="10" t="inlineStr">
        <is>
          <t>证据含差与改善两态可推poor→improved；三答正确</t>
        </is>
      </c>
      <c r="V338" s="9">
        <f>IF(AND(L338&lt;&gt;"",M338&lt;&gt;"",N338&lt;&gt;"",O338&lt;&gt;"",Q338&lt;&gt;"",R338&lt;&gt;""),"完成","未完成")</f>
        <v/>
      </c>
    </row>
    <row r="339" ht="63" customHeight="1" s="15">
      <c r="A339" s="9" t="n">
        <v>338</v>
      </c>
      <c r="B339" s="9" t="inlineStr">
        <is>
          <t>memos_long:1828</t>
        </is>
      </c>
      <c r="C339" s="9" t="inlineStr">
        <is>
          <t>long</t>
        </is>
      </c>
      <c r="D339" s="9" t="inlineStr">
        <is>
          <t>Generalization &amp; Application</t>
        </is>
      </c>
      <c r="E339" s="9" t="inlineStr">
        <is>
          <t>What type of AI-driven strategy games would be suitable for Michelle Hernandez after June 18, 2030?</t>
        </is>
      </c>
      <c r="F339" s="9" t="inlineStr">
        <is>
          <t>Games that challenge analytical skills and offer emotional engagement.</t>
        </is>
      </c>
      <c r="G339" s="9" t="inlineStr">
        <is>
          <t># Authoritative benchmark gold evidence
The following evidence is authoritative for answering the current question. Use it directly and do not rely on conflicting information.
Evidence 1
Memory type: Persona Memory
Content: Michelle Hernandez is seeking recommendations for AI-driven strategy games that challenge her analytical skills and offer emotional engagement.
Evidence 2
Memory type: Persona Memory
Content: Michelle Hernandez is exploring more games that integrate AI, seeking titles that challenge her analytical skills while providing emotional engagement.</t>
        </is>
      </c>
      <c r="H339" s="9" t="inlineStr">
        <is>
          <t>Games challenging analytical skills.</t>
        </is>
      </c>
      <c r="I339" s="9" t="inlineStr">
        <is>
          <t>Games challenging analytical skills.</t>
        </is>
      </c>
      <c r="J339" s="9" t="inlineStr">
        <is>
          <t>Games challenging analytical skills.</t>
        </is>
      </c>
      <c r="K339" s="9" t="inlineStr">
        <is>
          <t>Games challenging analytical skills.</t>
        </is>
      </c>
      <c r="L339" s="10" t="inlineStr">
        <is>
          <t>充分</t>
        </is>
      </c>
      <c r="M339" s="10" t="inlineStr">
        <is>
          <t>O</t>
        </is>
      </c>
      <c r="N339" s="10" t="inlineStr">
        <is>
          <t>O</t>
        </is>
      </c>
      <c r="O339" s="10" t="inlineStr">
        <is>
          <t>O</t>
        </is>
      </c>
      <c r="P339" s="9">
        <f>IF(COUNTA(L339:O339)&lt;4,"未完成",IF(OR(L339="部分",L339="不充分",L339="不确定"),"evidence_definition_failure",IF(L339&lt;&gt;"充分","unresolved",IF(COUNTIF(M339:O339,"C")=0,"robust_generation_failure",IF(COUNTIF(M339:O339,"C")=3,"ua3_representation_or_admission_failure","generation_instability")))))</f>
        <v/>
      </c>
      <c r="Q339" s="10" t="inlineStr">
        <is>
          <t>robust_generation_failure</t>
        </is>
      </c>
      <c r="R339" s="10" t="inlineStr">
        <is>
          <t>高</t>
        </is>
      </c>
      <c r="S339" s="10" t="inlineStr">
        <is>
          <t>Kiro-AI代审</t>
        </is>
      </c>
      <c r="T339" s="17" t="n">
        <v>46218</v>
      </c>
      <c r="U339" s="10" t="inlineStr">
        <is>
          <t>仅答'挑战分析力',漏'情感投入'属遗漏</t>
        </is>
      </c>
      <c r="V339" s="9">
        <f>IF(AND(L339&lt;&gt;"",M339&lt;&gt;"",N339&lt;&gt;"",O339&lt;&gt;"",Q339&lt;&gt;"",R339&lt;&gt;""),"完成","未完成")</f>
        <v/>
      </c>
    </row>
    <row r="340" ht="63" customHeight="1" s="15">
      <c r="A340" s="9" t="n">
        <v>339</v>
      </c>
      <c r="B340" s="9" t="inlineStr">
        <is>
          <t>memos_long:1756</t>
        </is>
      </c>
      <c r="C340" s="9" t="inlineStr">
        <is>
          <t>long</t>
        </is>
      </c>
      <c r="D340" s="9" t="inlineStr">
        <is>
          <t>Multi-hop Inference</t>
        </is>
      </c>
      <c r="E340" s="9" t="inlineStr">
        <is>
          <t>How did Susan Thompson's salary increase influence her ability to inspire others in the wellness sector?</t>
        </is>
      </c>
      <c r="F340" s="9" t="inlineStr">
        <is>
          <t>It enhanced her capacity to support other women.</t>
        </is>
      </c>
      <c r="G340" s="9" t="inlineStr">
        <is>
          <t># Authoritative benchmark gold evidence
The following evidence is authoritative for answering the current question. Use it directly and do not rely on conflicting information.
Evidence 1
Memory type: Event Memory
Content: Susan plans to allocate a portion of her increased income toward developing new wellness initiatives.
Evidence 2
Memory type: Event Memory
Content: Susan discussed the potential for her financial boost to enhance her ability to inspire and support other women.
Evidence 3
Memory type: Persona Memory
Content: Susan Thompson expressed empowerment and satisfaction with her recent achievements in financial stability and social influence, which she plans to leverage for expanding her wellness projects.</t>
        </is>
      </c>
      <c r="H340" s="9" t="inlineStr">
        <is>
          <t>Enabled health advocacy focus.</t>
        </is>
      </c>
      <c r="I340" s="9" t="inlineStr">
        <is>
          <t>Enhanced her ability to inspire.</t>
        </is>
      </c>
      <c r="J340" s="9" t="inlineStr">
        <is>
          <t>Enhanced her ability to inspire.</t>
        </is>
      </c>
      <c r="K340" s="9" t="inlineStr">
        <is>
          <t>Enhanced her ability to inspire.</t>
        </is>
      </c>
      <c r="L340" s="10" t="inlineStr">
        <is>
          <t>充分</t>
        </is>
      </c>
      <c r="M340" s="10" t="inlineStr">
        <is>
          <t>O</t>
        </is>
      </c>
      <c r="N340" s="10" t="inlineStr">
        <is>
          <t>O</t>
        </is>
      </c>
      <c r="O340" s="10" t="inlineStr">
        <is>
          <t>O</t>
        </is>
      </c>
      <c r="P340" s="9">
        <f>IF(COUNTA(L340:O340)&lt;4,"未完成",IF(OR(L340="部分",L340="不充分",L340="不确定"),"evidence_definition_failure",IF(L340&lt;&gt;"充分","unresolved",IF(COUNTIF(M340:O340,"C")=0,"robust_generation_failure",IF(COUNTIF(M340:O340,"C")=3,"ua3_representation_or_admission_failure","generation_instability")))))</f>
        <v/>
      </c>
      <c r="Q340" s="10" t="inlineStr">
        <is>
          <t>robust_generation_failure</t>
        </is>
      </c>
      <c r="R340" s="10" t="inlineStr">
        <is>
          <t>中</t>
        </is>
      </c>
      <c r="S340" s="10" t="inlineStr">
        <is>
          <t>Kiro-AI代审</t>
        </is>
      </c>
      <c r="T340" s="17" t="n">
        <v>46218</v>
      </c>
      <c r="U340" s="10" t="inlineStr">
        <is>
          <t>仅答'增强激励',漏'支持其他女性'属遗漏</t>
        </is>
      </c>
      <c r="V340" s="9">
        <f>IF(AND(L340&lt;&gt;"",M340&lt;&gt;"",N340&lt;&gt;"",O340&lt;&gt;"",Q340&lt;&gt;"",R340&lt;&gt;""),"完成","未完成")</f>
        <v/>
      </c>
    </row>
    <row r="341" ht="63" customHeight="1" s="15">
      <c r="A341" s="9" t="n">
        <v>340</v>
      </c>
      <c r="B341" s="9" t="inlineStr">
        <is>
          <t>memos_medium:2236</t>
        </is>
      </c>
      <c r="C341" s="9" t="inlineStr">
        <is>
          <t>medium</t>
        </is>
      </c>
      <c r="D341" s="9" t="inlineStr">
        <is>
          <t>Dynamic Update</t>
        </is>
      </c>
      <c r="E341" s="9" t="inlineStr">
        <is>
          <t>How has Sharon Brown's focus on personal activities changed from Sep 20, 2035 to Sep 01, 2036?</t>
        </is>
      </c>
      <c r="F341" s="9" t="inlineStr">
        <is>
          <t>From health and family to family, hobbies, and new experiences.</t>
        </is>
      </c>
      <c r="G341" s="9" t="inlineStr">
        <is>
          <t># Authoritative benchmark gold evidence
The following evidence is authoritative for answering the current question. Use it directly and do not rely on conflicting information.
Evidence 1
Memory type: Persona Memory
Content: Sharon Brown is dedicating her time to personal health and family life post-retirement.
Evidence 2
Memory type: Persona Memory
Content: Sharon Brown's focus on personal fulfillment and well-being has become central to her daily routine in retirement, emphasizing family, hobbies, and new experiences.</t>
        </is>
      </c>
      <c r="H341" s="9" t="inlineStr">
        <is>
          <t>No change.</t>
        </is>
      </c>
      <c r="I341" s="9" t="inlineStr">
        <is>
          <t>No change in focus.</t>
        </is>
      </c>
      <c r="J341" s="9" t="inlineStr">
        <is>
          <t>No change in focus.</t>
        </is>
      </c>
      <c r="K341" s="9" t="inlineStr">
        <is>
          <t>No change in focus.</t>
        </is>
      </c>
      <c r="L341" s="10" t="inlineStr">
        <is>
          <t>充分</t>
        </is>
      </c>
      <c r="M341" s="10" t="inlineStr">
        <is>
          <t>H</t>
        </is>
      </c>
      <c r="N341" s="10" t="inlineStr">
        <is>
          <t>H</t>
        </is>
      </c>
      <c r="O341" s="10" t="inlineStr">
        <is>
          <t>H</t>
        </is>
      </c>
      <c r="P341" s="9">
        <f>IF(COUNTA(L341:O341)&lt;4,"未完成",IF(OR(L341="部分",L341="不充分",L341="不确定"),"evidence_definition_failure",IF(L341&lt;&gt;"充分","unresolved",IF(COUNTIF(M341:O341,"C")=0,"robust_generation_failure",IF(COUNTIF(M341:O341,"C")=3,"ua3_representation_or_admission_failure","generation_instability")))))</f>
        <v/>
      </c>
      <c r="Q341" s="10" t="inlineStr">
        <is>
          <t>robust_generation_failure</t>
        </is>
      </c>
      <c r="R341" s="10" t="inlineStr">
        <is>
          <t>高</t>
        </is>
      </c>
      <c r="S341" s="10" t="inlineStr">
        <is>
          <t>Kiro-AI代审</t>
        </is>
      </c>
      <c r="T341" s="17" t="n">
        <v>46218</v>
      </c>
      <c r="U341" s="10" t="inlineStr">
        <is>
          <t>证据示焦点确有变化；答无变化与金标矛盾判H</t>
        </is>
      </c>
      <c r="V341" s="9">
        <f>IF(AND(L341&lt;&gt;"",M341&lt;&gt;"",N341&lt;&gt;"",O341&lt;&gt;"",Q341&lt;&gt;"",R341&lt;&gt;""),"完成","未完成")</f>
        <v/>
      </c>
    </row>
    <row r="342" ht="63" customHeight="1" s="15">
      <c r="A342" s="9" t="n">
        <v>341</v>
      </c>
      <c r="B342" s="9" t="inlineStr">
        <is>
          <t>memos_long:972</t>
        </is>
      </c>
      <c r="C342" s="9" t="inlineStr">
        <is>
          <t>long</t>
        </is>
      </c>
      <c r="D342" s="9" t="inlineStr">
        <is>
          <t>Generalization &amp; Application</t>
        </is>
      </c>
      <c r="E342" s="9" t="inlineStr">
        <is>
          <t>What type of snack might Donna prefer at a future health expo?</t>
        </is>
      </c>
      <c r="F342" s="9" t="inlineStr">
        <is>
          <t>Snacks made with natural ingredients.</t>
        </is>
      </c>
      <c r="G342" s="9" t="inlineStr">
        <is>
          <t># Authoritative benchmark gold evidence
The following evidence is authoritative for answering the current question. Use it directly and do not rely on conflicting information.
Evidence 1
Memory type: Event Memory
Content: Donna expressed excitement about discovering healthier processed snack options made with natural ingredients at a health expo.
Evidence 2
Memory type: Persona Memory
Content: Donna modified her food preference from disliking highly processed snacks to avoiding traditional processed snacks due to unhealthy ingredients, but being open to those with natural components.</t>
        </is>
      </c>
      <c r="H342" s="9" t="inlineStr">
        <is>
          <t>Healthier processed snacks</t>
        </is>
      </c>
      <c r="I342" s="9" t="inlineStr">
        <is>
          <t>Natural processed snacks</t>
        </is>
      </c>
      <c r="J342" s="9" t="inlineStr">
        <is>
          <t>Natural processed snacks</t>
        </is>
      </c>
      <c r="K342" s="9" t="inlineStr">
        <is>
          <t>Natural processed snacks</t>
        </is>
      </c>
      <c r="L342" s="10" t="inlineStr">
        <is>
          <t>充分</t>
        </is>
      </c>
      <c r="M342" s="10" t="inlineStr">
        <is>
          <t>C</t>
        </is>
      </c>
      <c r="N342" s="10" t="inlineStr">
        <is>
          <t>C</t>
        </is>
      </c>
      <c r="O342" s="10" t="inlineStr">
        <is>
          <t>C</t>
        </is>
      </c>
      <c r="P342" s="9">
        <f>IF(COUNTA(L342:O342)&lt;4,"未完成",IF(OR(L342="部分",L342="不充分",L342="不确定"),"evidence_definition_failure",IF(L342&lt;&gt;"充分","unresolved",IF(COUNTIF(M342:O342,"C")=0,"robust_generation_failure",IF(COUNTIF(M342:O342,"C")=3,"ua3_representation_or_admission_failure","generation_instability")))))</f>
        <v/>
      </c>
      <c r="Q342" s="10" t="inlineStr">
        <is>
          <t>ua3_representation_or_admission_failure</t>
        </is>
      </c>
      <c r="R342" s="10" t="inlineStr">
        <is>
          <t>中</t>
        </is>
      </c>
      <c r="S342" s="10" t="inlineStr">
        <is>
          <t>Kiro-AI代审</t>
        </is>
      </c>
      <c r="T342" s="17" t="n">
        <v>46218</v>
      </c>
      <c r="U342" s="10" t="inlineStr">
        <is>
          <t>'天然成分零食'与金标一致，判正确</t>
        </is>
      </c>
      <c r="V342" s="9">
        <f>IF(AND(L342&lt;&gt;"",M342&lt;&gt;"",N342&lt;&gt;"",O342&lt;&gt;"",Q342&lt;&gt;"",R342&lt;&gt;""),"完成","未完成")</f>
        <v/>
      </c>
    </row>
    <row r="343" ht="63" customHeight="1" s="15">
      <c r="A343" s="9" t="n">
        <v>342</v>
      </c>
      <c r="B343" s="9" t="inlineStr">
        <is>
          <t>memos_medium:3315</t>
        </is>
      </c>
      <c r="C343" s="9" t="inlineStr">
        <is>
          <t>medium</t>
        </is>
      </c>
      <c r="D343" s="9" t="inlineStr">
        <is>
          <t>Generalization &amp; Application</t>
        </is>
      </c>
      <c r="E343" s="9" t="inlineStr">
        <is>
          <t>What strategies can Christopher use to maintain the sustainability of his comprehensive care plans as of Mar 01, 2026?</t>
        </is>
      </c>
      <c r="F343" s="9" t="inlineStr">
        <is>
          <t>Foster collaboration with colleagues and book club members.</t>
        </is>
      </c>
      <c r="G343" s="9" t="inlineStr">
        <is>
          <t># Authoritative benchmark gold evidence
The following evidence is authoritative for answering the current question. Use it directly and do not rely on conflicting information.
Evidence 1
Memory type: Relationship Memory
Content: Christopher leveraged relationships with colleagues like Sarah and book club members like Sandra to gain insights for new initiatives, fostering a collaborative environment.
Evidence 2
Memory type: Event Memory
Content: Christopher emphasized the role of collaboration and competition in successfully implementing care plans and receiving positive feedback.
Evidence 3
Memory type: Relationship Memory
Content: Christopher reflected on the importance of maintaining collaborative and competitive relationships for the sustainability of his initiatives.</t>
        </is>
      </c>
      <c r="H343" s="9" t="inlineStr">
        <is>
          <t>Balance collaborative and competitive dynamics.</t>
        </is>
      </c>
      <c r="I343" s="9" t="inlineStr">
        <is>
          <t>Collaboration and competition.</t>
        </is>
      </c>
      <c r="J343" s="9" t="inlineStr">
        <is>
          <t>Collaboration and competition.</t>
        </is>
      </c>
      <c r="K343" s="9" t="inlineStr">
        <is>
          <t>Collaboration and competition.</t>
        </is>
      </c>
      <c r="L343" s="10" t="inlineStr">
        <is>
          <t>充分</t>
        </is>
      </c>
      <c r="M343" s="10" t="inlineStr">
        <is>
          <t>O</t>
        </is>
      </c>
      <c r="N343" s="10" t="inlineStr">
        <is>
          <t>O</t>
        </is>
      </c>
      <c r="O343" s="10" t="inlineStr">
        <is>
          <t>O</t>
        </is>
      </c>
      <c r="P343" s="9">
        <f>IF(COUNTA(L343:O343)&lt;4,"未完成",IF(OR(L343="部分",L343="不充分",L343="不确定"),"evidence_definition_failure",IF(L343&lt;&gt;"充分","unresolved",IF(COUNTIF(M343:O343,"C")=0,"robust_generation_failure",IF(COUNTIF(M343:O343,"C")=3,"ua3_representation_or_admission_failure","generation_instability")))))</f>
        <v/>
      </c>
      <c r="Q343" s="10" t="inlineStr">
        <is>
          <t>robust_generation_failure</t>
        </is>
      </c>
      <c r="R343" s="10" t="inlineStr">
        <is>
          <t>中</t>
        </is>
      </c>
      <c r="S343" s="10" t="inlineStr">
        <is>
          <t>Kiro-AI代审</t>
        </is>
      </c>
      <c r="T343" s="17" t="n">
        <v>46218</v>
      </c>
      <c r="U343" s="10" t="inlineStr">
        <is>
          <t>证据支持协作与竞争;答缺具体对象属遗漏</t>
        </is>
      </c>
      <c r="V343" s="9">
        <f>IF(AND(L343&lt;&gt;"",M343&lt;&gt;"",N343&lt;&gt;"",O343&lt;&gt;"",Q343&lt;&gt;"",R343&lt;&gt;""),"完成","未完成")</f>
        <v/>
      </c>
    </row>
    <row r="344" ht="63" customHeight="1" s="15">
      <c r="A344" s="9" t="n">
        <v>343</v>
      </c>
      <c r="B344" s="9" t="inlineStr">
        <is>
          <t>memos_long:549</t>
        </is>
      </c>
      <c r="C344" s="9" t="inlineStr">
        <is>
          <t>long</t>
        </is>
      </c>
      <c r="D344" s="9" t="inlineStr">
        <is>
          <t>Generalization &amp; Application</t>
        </is>
      </c>
      <c r="E344" s="9" t="inlineStr">
        <is>
          <t>What type of music event would likely align with Sarah Garcia's preferences after February 25, 2027?</t>
        </is>
      </c>
      <c r="F344" s="9" t="inlineStr">
        <is>
          <t>An uplifting and energetic music concert.</t>
        </is>
      </c>
      <c r="G344" s="9" t="inlineStr">
        <is>
          <t># Authoritative benchmark gold evidence
The following evidence is authoritative for answering the current question. Use it directly and do not rely on conflicting information.
Evidence 1
Memory type: Persona Memory
Content: Sarah Garcia prefers music that is uplifting and energetic.
Evidence 2
Memory type: Persona Memory
Content: Sarah Garcia's music preferences reflect her upbeat and positive personality.
Evidence 3
Memory type: Persona Memory
Content: Sarah Garcia uses music to maintain a positive outlook and energize her daily routine.</t>
        </is>
      </c>
      <c r="H344" s="9" t="inlineStr">
        <is>
          <t>Music event for focus</t>
        </is>
      </c>
      <c r="I344" s="9" t="inlineStr">
        <is>
          <t>Uplifting and energetic music.</t>
        </is>
      </c>
      <c r="J344" s="9" t="inlineStr">
        <is>
          <t>Uplifting and energetic music.</t>
        </is>
      </c>
      <c r="K344" s="9" t="inlineStr">
        <is>
          <t>Uplifting and energetic music.</t>
        </is>
      </c>
      <c r="L344" s="10" t="inlineStr">
        <is>
          <t>充分</t>
        </is>
      </c>
      <c r="M344" s="10" t="inlineStr">
        <is>
          <t>O</t>
        </is>
      </c>
      <c r="N344" s="10" t="inlineStr">
        <is>
          <t>O</t>
        </is>
      </c>
      <c r="O344" s="10" t="inlineStr">
        <is>
          <t>O</t>
        </is>
      </c>
      <c r="P344" s="9">
        <f>IF(COUNTA(L344:O344)&lt;4,"未完成",IF(OR(L344="部分",L344="不充分",L344="不确定"),"evidence_definition_failure",IF(L344&lt;&gt;"充分","unresolved",IF(COUNTIF(M344:O344,"C")=0,"robust_generation_failure",IF(COUNTIF(M344:O344,"C")=3,"ua3_representation_or_admission_failure","generation_instability")))))</f>
        <v/>
      </c>
      <c r="Q344" s="10" t="inlineStr">
        <is>
          <t>robust_generation_failure</t>
        </is>
      </c>
      <c r="R344" s="10" t="inlineStr">
        <is>
          <t>高</t>
        </is>
      </c>
      <c r="S344" s="10" t="inlineStr">
        <is>
          <t>Kiro-AI代审</t>
        </is>
      </c>
      <c r="T344" s="17" t="n">
        <v>46218</v>
      </c>
      <c r="U344" s="10" t="inlineStr">
        <is>
          <t>证据充分;答缺concert事件类型,遗漏</t>
        </is>
      </c>
      <c r="V344" s="9">
        <f>IF(AND(L344&lt;&gt;"",M344&lt;&gt;"",N344&lt;&gt;"",O344&lt;&gt;"",Q344&lt;&gt;"",R344&lt;&gt;""),"完成","未完成")</f>
        <v/>
      </c>
    </row>
    <row r="345" ht="63" customHeight="1" s="15">
      <c r="A345" s="9" t="n">
        <v>344</v>
      </c>
      <c r="B345" s="9" t="inlineStr">
        <is>
          <t>memos_medium:1548</t>
        </is>
      </c>
      <c r="C345" s="9" t="inlineStr">
        <is>
          <t>medium</t>
        </is>
      </c>
      <c r="D345" s="9" t="inlineStr">
        <is>
          <t>Generalization &amp; Application</t>
        </is>
      </c>
      <c r="E345" s="9" t="inlineStr">
        <is>
          <t>How does Jennifer's exploratory motivation influence her engagement at industry conferences in 2033?</t>
        </is>
      </c>
      <c r="F345" s="9" t="inlineStr">
        <is>
          <t>It drives her to test industry boundaries.</t>
        </is>
      </c>
      <c r="G345" s="9" t="inlineStr">
        <is>
          <t># Authoritative benchmark gold evidence
The following evidence is authoritative for answering the current question. Use it directly and do not rely on conflicting information.
Evidence 1
Memory type: Persona Memory
Content: Jennifer's exploratory motivation drives her to test industry boundaries and engage with philosophical and logical perspectives.
Evidence 2
Memory type: Event Memory
Content: Jennifer attended key conferences to establish herself as a thought leader in cloud computing.</t>
        </is>
      </c>
      <c r="H345" s="9" t="inlineStr">
        <is>
          <t>Not specified in memories.</t>
        </is>
      </c>
      <c r="I345" s="9" t="inlineStr">
        <is>
          <t>Tests industry boundaries.</t>
        </is>
      </c>
      <c r="J345" s="9" t="inlineStr">
        <is>
          <t>Tests industry boundaries.</t>
        </is>
      </c>
      <c r="K345" s="9" t="inlineStr">
        <is>
          <t>Tests industry boundaries.</t>
        </is>
      </c>
      <c r="L345" s="10" t="inlineStr">
        <is>
          <t>充分</t>
        </is>
      </c>
      <c r="M345" s="10" t="inlineStr">
        <is>
          <t>C</t>
        </is>
      </c>
      <c r="N345" s="10" t="inlineStr">
        <is>
          <t>C</t>
        </is>
      </c>
      <c r="O345" s="10" t="inlineStr">
        <is>
          <t>C</t>
        </is>
      </c>
      <c r="P345" s="9">
        <f>IF(COUNTA(L345:O345)&lt;4,"未完成",IF(OR(L345="部分",L345="不充分",L345="不确定"),"evidence_definition_failure",IF(L345&lt;&gt;"充分","unresolved",IF(COUNTIF(M345:O345,"C")=0,"robust_generation_failure",IF(COUNTIF(M345:O345,"C")=3,"ua3_representation_or_admission_failure","generation_instability")))))</f>
        <v/>
      </c>
      <c r="Q345" s="10" t="inlineStr">
        <is>
          <t>ua3_representation_or_admission_failure</t>
        </is>
      </c>
      <c r="R345" s="10" t="inlineStr">
        <is>
          <t>高</t>
        </is>
      </c>
      <c r="S345" s="10" t="inlineStr">
        <is>
          <t>Kiro-AI代审</t>
        </is>
      </c>
      <c r="T345" s="17" t="n">
        <v>46218</v>
      </c>
      <c r="U345" s="10" t="inlineStr">
        <is>
          <t>证据充分，三答正确</t>
        </is>
      </c>
      <c r="V345" s="9">
        <f>IF(AND(L345&lt;&gt;"",M345&lt;&gt;"",N345&lt;&gt;"",O345&lt;&gt;"",Q345&lt;&gt;"",R345&lt;&gt;""),"完成","未完成")</f>
        <v/>
      </c>
    </row>
    <row r="346" ht="63" customHeight="1" s="15">
      <c r="A346" s="9" t="n">
        <v>345</v>
      </c>
      <c r="B346" s="9" t="inlineStr">
        <is>
          <t>memos_long:2506</t>
        </is>
      </c>
      <c r="C346" s="9" t="inlineStr">
        <is>
          <t>long</t>
        </is>
      </c>
      <c r="D346" s="9" t="inlineStr">
        <is>
          <t>Generalization &amp; Application</t>
        </is>
      </c>
      <c r="E346" s="9" t="inlineStr">
        <is>
          <t>How might Steven Miller's productivity be affected by changing his beverage preferences on Jan 10, 2031?</t>
        </is>
      </c>
      <c r="F346" s="9" t="inlineStr">
        <is>
          <t>Switching to healthier options might improve his energy levels and productivity.</t>
        </is>
      </c>
      <c r="G346" s="9" t="inlineStr">
        <is>
          <t># Authoritative benchmark gold evidence
The following evidence is authoritative for answering the current question. Use it directly and do not rely on conflicting information.
Evidence 1
Memory type: Event Memory
Content: Steven Miller discussed implications of beverage preference changes on energy levels and productivity on Jan 10, 2031.
Evidence 2
Memory type: Event Memory
Content: Steven Miller expressed curiosity about how changes in beverage preferences might affect his daily routine on Jan 10, 2031.</t>
        </is>
      </c>
      <c r="H346" s="9" t="inlineStr">
        <is>
          <t>Unknown (no impact data).</t>
        </is>
      </c>
      <c r="I346" s="9" t="inlineStr">
        <is>
          <t>Energy levels and productivity.</t>
        </is>
      </c>
      <c r="J346" s="9" t="inlineStr">
        <is>
          <t>Energy levels and productivity.</t>
        </is>
      </c>
      <c r="K346" s="9" t="inlineStr">
        <is>
          <t>Energy levels and productivity.</t>
        </is>
      </c>
      <c r="L346" s="10" t="inlineStr">
        <is>
          <t>部分</t>
        </is>
      </c>
      <c r="M346" s="10" t="inlineStr">
        <is>
          <t>O</t>
        </is>
      </c>
      <c r="N346" s="10" t="inlineStr">
        <is>
          <t>O</t>
        </is>
      </c>
      <c r="O346" s="10" t="inlineStr">
        <is>
          <t>O</t>
        </is>
      </c>
      <c r="P346" s="9">
        <f>IF(COUNTA(L346:O346)&lt;4,"未完成",IF(OR(L346="部分",L346="不充分",L346="不确定"),"evidence_definition_failure",IF(L346&lt;&gt;"充分","unresolved",IF(COUNTIF(M346:O346,"C")=0,"robust_generation_failure",IF(COUNTIF(M346:O346,"C")=3,"ua3_representation_or_admission_failure","generation_instability")))))</f>
        <v/>
      </c>
      <c r="Q346" s="10" t="inlineStr">
        <is>
          <t>evidence_definition_failure</t>
        </is>
      </c>
      <c r="R346" s="10" t="inlineStr">
        <is>
          <t>高</t>
        </is>
      </c>
      <c r="S346" s="10" t="inlineStr">
        <is>
          <t>Kiro-AI代审</t>
        </is>
      </c>
      <c r="T346" s="17" t="n">
        <v>46218</v>
      </c>
      <c r="U346" s="10" t="inlineStr">
        <is>
          <t>仅列能量与生产力，缺因果与健康选项，遗漏</t>
        </is>
      </c>
      <c r="V346" s="9">
        <f>IF(AND(L346&lt;&gt;"",M346&lt;&gt;"",N346&lt;&gt;"",O346&lt;&gt;"",Q346&lt;&gt;"",R346&lt;&gt;""),"完成","未完成")</f>
        <v/>
      </c>
    </row>
    <row r="347" ht="63" customHeight="1" s="15">
      <c r="A347" s="9" t="n">
        <v>346</v>
      </c>
      <c r="B347" s="9" t="inlineStr">
        <is>
          <t>memos_long:1852</t>
        </is>
      </c>
      <c r="C347" s="9" t="inlineStr">
        <is>
          <t>long</t>
        </is>
      </c>
      <c r="D347" s="9" t="inlineStr">
        <is>
          <t>Generalization &amp; Application</t>
        </is>
      </c>
      <c r="E347" s="9" t="inlineStr">
        <is>
          <t>What other health-conscious lifestyle choices might Michelle Hernandez explore based on her preferences as of 2033-03-16?</t>
        </is>
      </c>
      <c r="F347" s="9" t="inlineStr">
        <is>
          <t>Michelle might explore organic foods or yoga.</t>
        </is>
      </c>
      <c r="G347" s="9" t="inlineStr">
        <is>
          <t># Authoritative benchmark gold evidence
The following evidence is authoritative for answering the current question. Use it directly and do not rely on conflicting information.
Evidence 1
Memory type: Persona Memory
Content: Michelle Hernandez prefers natural flavored sparkling water for its refreshing taste and health benefits, avoiding artificial additives.
Evidence 2
Memory type: Persona Memory
Content: Michelle Hernandez expressed curiosity about exploring other health-conscious lifestyle choices.
Evidence 3
Memory type: Persona Memory
Content: Michelle Hernandez expressed a desire to explore other health-conscious lifestyle choices that support her well-being and professional objectives.</t>
        </is>
      </c>
      <c r="H347" s="9" t="inlineStr">
        <is>
          <t>Sustainable food technology collaborations.</t>
        </is>
      </c>
      <c r="I347" s="9" t="inlineStr">
        <is>
          <t>Natural flavored sparkling water.</t>
        </is>
      </c>
      <c r="J347" s="9" t="inlineStr">
        <is>
          <t>Natural flavored sparkling water.</t>
        </is>
      </c>
      <c r="K347" s="9" t="inlineStr">
        <is>
          <t>Natural flavored sparkling water.</t>
        </is>
      </c>
      <c r="L347" s="10" t="inlineStr">
        <is>
          <t>不充分</t>
        </is>
      </c>
      <c r="M347" s="10" t="inlineStr">
        <is>
          <t>H</t>
        </is>
      </c>
      <c r="N347" s="10" t="inlineStr">
        <is>
          <t>H</t>
        </is>
      </c>
      <c r="O347" s="10" t="inlineStr">
        <is>
          <t>H</t>
        </is>
      </c>
      <c r="P347" s="9">
        <f>IF(COUNTA(L347:O347)&lt;4,"未完成",IF(OR(L347="部分",L347="不充分",L347="不确定"),"evidence_definition_failure",IF(L347&lt;&gt;"充分","unresolved",IF(COUNTIF(M347:O347,"C")=0,"robust_generation_failure",IF(COUNTIF(M347:O347,"C")=3,"ua3_representation_or_admission_failure","generation_instability")))))</f>
        <v/>
      </c>
      <c r="Q347" s="10" t="inlineStr">
        <is>
          <t>evidence_definition_failure</t>
        </is>
      </c>
      <c r="R347" s="10" t="inlineStr">
        <is>
          <t>中</t>
        </is>
      </c>
      <c r="S347" s="10" t="inlineStr">
        <is>
          <t>Kiro-AI代审</t>
        </is>
      </c>
      <c r="T347" s="17" t="n">
        <v>46218</v>
      </c>
      <c r="U347" s="10" t="inlineStr">
        <is>
          <t>三run文本相同应同标;答现有偏好非新选择,与gold不符</t>
        </is>
      </c>
      <c r="V347" s="9">
        <f>IF(AND(L347&lt;&gt;"",M347&lt;&gt;"",N347&lt;&gt;"",O347&lt;&gt;"",Q347&lt;&gt;"",R347&lt;&gt;""),"完成","未完成")</f>
        <v/>
      </c>
    </row>
    <row r="348" ht="63" customHeight="1" s="15">
      <c r="A348" s="9" t="n">
        <v>347</v>
      </c>
      <c r="B348" s="9" t="inlineStr">
        <is>
          <t>memos_long:923</t>
        </is>
      </c>
      <c r="C348" s="9" t="inlineStr">
        <is>
          <t>long</t>
        </is>
      </c>
      <c r="D348" s="9" t="inlineStr">
        <is>
          <t>Generalization &amp; Application</t>
        </is>
      </c>
      <c r="E348" s="9" t="inlineStr">
        <is>
          <t>How might Donna approach networking opportunities at tech events after April 10, 2029?</t>
        </is>
      </c>
      <c r="F348" s="9" t="inlineStr">
        <is>
          <t>Donna will prioritize popular tourist spots for networking.</t>
        </is>
      </c>
      <c r="G348" s="9" t="inlineStr">
        <is>
          <t># Authoritative benchmark gold evidence
The following evidence is authoritative for answering the current question. Use it directly and do not rely on conflicting information.
Evidence 1
Memory type: Event Memory
Content: Donna modified her travel preferences to include popular tourist spots for networking opportunities, recognizing their value in the tech sector.
Evidence 2
Memory type: Persona Memory
Content: Donna appreciates popular tourist spots for their potential in networking and identifying business opportunities in the tech sector.</t>
        </is>
      </c>
      <c r="H348" s="9" t="inlineStr">
        <is>
          <t>Balanced strategy for networking.</t>
        </is>
      </c>
      <c r="I348" s="9" t="inlineStr">
        <is>
          <t>Prioritize popular tourist spots.</t>
        </is>
      </c>
      <c r="J348" s="9" t="inlineStr">
        <is>
          <t>Prioritize popular tourist spots.</t>
        </is>
      </c>
      <c r="K348" s="9" t="inlineStr">
        <is>
          <t>Prioritize popular tourist spots.</t>
        </is>
      </c>
      <c r="L348" s="10" t="inlineStr">
        <is>
          <t>充分</t>
        </is>
      </c>
      <c r="M348" s="10" t="inlineStr">
        <is>
          <t>C</t>
        </is>
      </c>
      <c r="N348" s="10" t="inlineStr">
        <is>
          <t>C</t>
        </is>
      </c>
      <c r="O348" s="10" t="inlineStr">
        <is>
          <t>C</t>
        </is>
      </c>
      <c r="P348" s="9">
        <f>IF(COUNTA(L348:O348)&lt;4,"未完成",IF(OR(L348="部分",L348="不充分",L348="不确定"),"evidence_definition_failure",IF(L348&lt;&gt;"充分","unresolved",IF(COUNTIF(M348:O348,"C")=0,"robust_generation_failure",IF(COUNTIF(M348:O348,"C")=3,"ua3_representation_or_admission_failure","generation_instability")))))</f>
        <v/>
      </c>
      <c r="Q348" s="10" t="inlineStr">
        <is>
          <t>ua3_representation_or_admission_failure</t>
        </is>
      </c>
      <c r="R348" s="10" t="inlineStr">
        <is>
          <t>高</t>
        </is>
      </c>
      <c r="S348" s="10" t="inlineStr">
        <is>
          <t>Kiro-AI代审</t>
        </is>
      </c>
      <c r="T348" s="17" t="n">
        <v>46218</v>
      </c>
      <c r="U348" s="10" t="inlineStr">
        <is>
          <t>与金标一致，优先景点社交</t>
        </is>
      </c>
      <c r="V348" s="9">
        <f>IF(AND(L348&lt;&gt;"",M348&lt;&gt;"",N348&lt;&gt;"",O348&lt;&gt;"",Q348&lt;&gt;"",R348&lt;&gt;""),"完成","未完成")</f>
        <v/>
      </c>
    </row>
    <row r="349" ht="63" customHeight="1" s="15">
      <c r="A349" s="9" t="n">
        <v>348</v>
      </c>
      <c r="B349" s="9" t="inlineStr">
        <is>
          <t>memos_long:36</t>
        </is>
      </c>
      <c r="C349" s="9" t="inlineStr">
        <is>
          <t>long</t>
        </is>
      </c>
      <c r="D349" s="9" t="inlineStr">
        <is>
          <t>Generalization &amp; Application</t>
        </is>
      </c>
      <c r="E349" s="9" t="inlineStr">
        <is>
          <t>Given Martin's interest in heavy metal music as of Jul 27, 2027, what type of music might he explore next for relaxation?</t>
        </is>
      </c>
      <c r="F349" s="9" t="inlineStr">
        <is>
          <t>Ambient or jazz music.</t>
        </is>
      </c>
      <c r="G349" s="9" t="inlineStr">
        <is>
          <t># Authoritative benchmark gold evidence
The following evidence is authoritative for answering the current question. Use it directly and do not rely on conflicting information.
Evidence 1
Memory type: Persona Memory
Content: Martin expressed curiosity about integrating heavy metal into his relaxation routine, alongside ambient and jazz music.
Evidence 2
Memory type: Persona Memory
Content: Martin's exploratory motivation leads him to test boundaries and discover new ways to unwind through music choices, including heavy metal, jazz, and classical music.</t>
        </is>
      </c>
      <c r="H349" s="9" t="inlineStr">
        <is>
          <t>Heavy metal music.</t>
        </is>
      </c>
      <c r="I349" s="9" t="inlineStr">
        <is>
          <t>Heavy metal, jazz, classical.</t>
        </is>
      </c>
      <c r="J349" s="9" t="inlineStr">
        <is>
          <t>Heavy metal, jazz, classical.</t>
        </is>
      </c>
      <c r="K349" s="9" t="inlineStr">
        <is>
          <t>Heavy metal, jazz, classical.</t>
        </is>
      </c>
      <c r="L349" s="10" t="inlineStr">
        <is>
          <t>充分</t>
        </is>
      </c>
      <c r="M349" s="10" t="inlineStr">
        <is>
          <t>O</t>
        </is>
      </c>
      <c r="N349" s="10" t="inlineStr">
        <is>
          <t>O</t>
        </is>
      </c>
      <c r="O349" s="10" t="inlineStr">
        <is>
          <t>O</t>
        </is>
      </c>
      <c r="P349" s="9">
        <f>IF(COUNTA(L349:O349)&lt;4,"未完成",IF(OR(L349="部分",L349="不充分",L349="不确定"),"evidence_definition_failure",IF(L349&lt;&gt;"充分","unresolved",IF(COUNTIF(M349:O349,"C")=0,"robust_generation_failure",IF(COUNTIF(M349:O349,"C")=3,"ua3_representation_or_admission_failure","generation_instability")))))</f>
        <v/>
      </c>
      <c r="Q349" s="10" t="inlineStr">
        <is>
          <t>robust_generation_failure</t>
        </is>
      </c>
      <c r="R349" s="10" t="inlineStr">
        <is>
          <t>中</t>
        </is>
      </c>
      <c r="S349" s="10" t="inlineStr">
        <is>
          <t>Kiro-AI代审</t>
        </is>
      </c>
      <c r="T349" s="17" t="n">
        <v>46218</v>
      </c>
      <c r="U349" s="10" t="inlineStr">
        <is>
          <t>证据支持;答含jazz缺ambient,额外项均有据非幻觉,判遗漏</t>
        </is>
      </c>
      <c r="V349" s="9">
        <f>IF(AND(L349&lt;&gt;"",M349&lt;&gt;"",N349&lt;&gt;"",O349&lt;&gt;"",Q349&lt;&gt;"",R349&lt;&gt;""),"完成","未完成")</f>
        <v/>
      </c>
    </row>
    <row r="350" ht="63" customHeight="1" s="15">
      <c r="A350" s="9" t="n">
        <v>349</v>
      </c>
      <c r="B350" s="9" t="inlineStr">
        <is>
          <t>memos_medium:2404</t>
        </is>
      </c>
      <c r="C350" s="9" t="inlineStr">
        <is>
          <t>medium</t>
        </is>
      </c>
      <c r="D350" s="9" t="inlineStr">
        <is>
          <t>Basic Fact Recall</t>
        </is>
      </c>
      <c r="E350" s="9" t="inlineStr">
        <is>
          <t>What is Williams Daniel's reading preference as of January 14, 2035?</t>
        </is>
      </c>
      <c r="F350" s="9" t="inlineStr">
        <is>
          <t>Biographies of 18th-century figures.</t>
        </is>
      </c>
      <c r="G350" s="9" t="inlineStr">
        <is>
          <t># Authoritative benchmark gold evidence
The following evidence is authoritative for answering the current question. Use it directly and do not rely on conflicting information.
Evidence 1
Memory type: Persona Memory
Content: Williams Daniel's reading preference is focused on biographies of 18th-century figures to enhance storytelling and historical film accuracy.</t>
        </is>
      </c>
      <c r="H350" s="9" t="inlineStr">
        <is>
          <t>Historical biographies and Victorian literature.</t>
        </is>
      </c>
      <c r="I350" s="9" t="inlineStr">
        <is>
          <t>18th-century biographies</t>
        </is>
      </c>
      <c r="J350" s="9" t="inlineStr">
        <is>
          <t>18th-century biographies</t>
        </is>
      </c>
      <c r="K350" s="9" t="inlineStr">
        <is>
          <t>18th-century biographies</t>
        </is>
      </c>
      <c r="L350" s="10" t="inlineStr">
        <is>
          <t>充分</t>
        </is>
      </c>
      <c r="M350" s="10" t="inlineStr">
        <is>
          <t>C</t>
        </is>
      </c>
      <c r="N350" s="10" t="inlineStr">
        <is>
          <t>C</t>
        </is>
      </c>
      <c r="O350" s="10" t="inlineStr">
        <is>
          <t>C</t>
        </is>
      </c>
      <c r="P350" s="9">
        <f>IF(COUNTA(L350:O350)&lt;4,"未完成",IF(OR(L350="部分",L350="不充分",L350="不确定"),"evidence_definition_failure",IF(L350&lt;&gt;"充分","unresolved",IF(COUNTIF(M350:O350,"C")=0,"robust_generation_failure",IF(COUNTIF(M350:O350,"C")=3,"ua3_representation_or_admission_failure","generation_instability")))))</f>
        <v/>
      </c>
      <c r="Q350" s="10" t="inlineStr">
        <is>
          <t>ua3_representation_or_admission_failure</t>
        </is>
      </c>
      <c r="R350" s="10" t="inlineStr">
        <is>
          <t>高</t>
        </is>
      </c>
      <c r="S350" s="10" t="inlineStr">
        <is>
          <t>Kiro-AI代审</t>
        </is>
      </c>
      <c r="T350" s="17" t="n">
        <v>46218</v>
      </c>
      <c r="U350" s="10" t="inlineStr">
        <is>
          <t>证据明确18世纪人物传记，答案正确</t>
        </is>
      </c>
      <c r="V350" s="9">
        <f>IF(AND(L350&lt;&gt;"",M350&lt;&gt;"",N350&lt;&gt;"",O350&lt;&gt;"",Q350&lt;&gt;"",R350&lt;&gt;""),"完成","未完成")</f>
        <v/>
      </c>
    </row>
    <row r="351" ht="63" customHeight="1" s="15">
      <c r="A351" s="9" t="n">
        <v>350</v>
      </c>
      <c r="B351" s="9" t="inlineStr">
        <is>
          <t>memos_medium:2278</t>
        </is>
      </c>
      <c r="C351" s="9" t="inlineStr">
        <is>
          <t>medium</t>
        </is>
      </c>
      <c r="D351" s="9" t="inlineStr">
        <is>
          <t>Generalization &amp; Application</t>
        </is>
      </c>
      <c r="E351" s="9" t="inlineStr">
        <is>
          <t>How might Williams Daniel manage his research and creative tasks for upcoming projects in 2027?</t>
        </is>
      </c>
      <c r="F351" s="9" t="inlineStr">
        <is>
          <t>Seek efficient management advice.</t>
        </is>
      </c>
      <c r="G351" s="9" t="inlineStr">
        <is>
          <t># Authoritative benchmark gold evidence
The following evidence is authoritative for answering the current question. Use it directly and do not rely on conflicting information.
Evidence 1
Memory type: Persona Memory
Content: Williams Daniel seeks advice on efficiently managing research tasks alongside creative work.
Evidence 2
Memory type: Event Memory
Content: Williams Daniel discussed the challenge of balancing research time with creative project management.</t>
        </is>
      </c>
      <c r="H351" s="9" t="inlineStr">
        <is>
          <t>Focus on relevant aspects.</t>
        </is>
      </c>
      <c r="I351" s="9" t="inlineStr">
        <is>
          <t>Seek advice on task management.</t>
        </is>
      </c>
      <c r="J351" s="9" t="inlineStr">
        <is>
          <t>Seek advice on task management.</t>
        </is>
      </c>
      <c r="K351" s="9" t="inlineStr">
        <is>
          <t>Seek advice on task management.</t>
        </is>
      </c>
      <c r="L351" s="10" t="inlineStr">
        <is>
          <t>充分</t>
        </is>
      </c>
      <c r="M351" s="10" t="inlineStr">
        <is>
          <t>C</t>
        </is>
      </c>
      <c r="N351" s="10" t="inlineStr">
        <is>
          <t>C</t>
        </is>
      </c>
      <c r="O351" s="10" t="inlineStr">
        <is>
          <t>C</t>
        </is>
      </c>
      <c r="P351" s="9">
        <f>IF(COUNTA(L351:O351)&lt;4,"未完成",IF(OR(L351="部分",L351="不充分",L351="不确定"),"evidence_definition_failure",IF(L351&lt;&gt;"充分","unresolved",IF(COUNTIF(M351:O351,"C")=0,"robust_generation_failure",IF(COUNTIF(M351:O351,"C")=3,"ua3_representation_or_admission_failure","generation_instability")))))</f>
        <v/>
      </c>
      <c r="Q351" s="10" t="inlineStr">
        <is>
          <t>ua3_representation_or_admission_failure</t>
        </is>
      </c>
      <c r="R351" s="10" t="inlineStr">
        <is>
          <t>高</t>
        </is>
      </c>
      <c r="S351" s="10" t="inlineStr">
        <is>
          <t>Kiro-AI代审</t>
        </is>
      </c>
      <c r="T351" s="17" t="n">
        <v>46218</v>
      </c>
      <c r="U351" s="10" t="inlineStr">
        <is>
          <t>证据直接支持，答寻求任务管理建议语义完整</t>
        </is>
      </c>
      <c r="V351" s="9">
        <f>IF(AND(L351&lt;&gt;"",M351&lt;&gt;"",N351&lt;&gt;"",O351&lt;&gt;"",Q351&lt;&gt;"",R351&lt;&gt;""),"完成","未完成")</f>
        <v/>
      </c>
    </row>
    <row r="352" ht="63" customHeight="1" s="15">
      <c r="A352" s="9" t="n">
        <v>351</v>
      </c>
      <c r="B352" s="9" t="inlineStr">
        <is>
          <t>memos_long:1865</t>
        </is>
      </c>
      <c r="C352" s="9" t="inlineStr">
        <is>
          <t>long</t>
        </is>
      </c>
      <c r="D352" s="9" t="inlineStr">
        <is>
          <t>Generalization &amp; Application</t>
        </is>
      </c>
      <c r="E352" s="9" t="inlineStr">
        <is>
          <t>How can Michelle's belief in AI's potential impact her leadership style in 2034?</t>
        </is>
      </c>
      <c r="F352" s="9" t="inlineStr">
        <is>
          <t>It drives optimism and visionary planning.</t>
        </is>
      </c>
      <c r="G352" s="9" t="inlineStr">
        <is>
          <t># Authoritative benchmark gold evidence
The following evidence is authoritative for answering the current question. Use it directly and do not rely on conflicting information.
Evidence 1
Memory type: Persona Memory
Content: Michelle Hernandez remains optimistic about her startup's future despite the stress of managing it, driven by her belief in AI's transformative potential and the support of her team.
Evidence 2
Memory type: Persona Memory
Content: Michelle felt more confident in her leadership and optimistic about the future growth and innovation of Visionary AI Solutions.</t>
        </is>
      </c>
      <c r="H352" s="9" t="inlineStr">
        <is>
          <t>Not enough information.</t>
        </is>
      </c>
      <c r="I352" s="9" t="inlineStr">
        <is>
          <t>Optimistic and transformative.</t>
        </is>
      </c>
      <c r="J352" s="9" t="inlineStr">
        <is>
          <t>Optimistic and transformative.</t>
        </is>
      </c>
      <c r="K352" s="9" t="inlineStr">
        <is>
          <t>Optimistic and transformative.</t>
        </is>
      </c>
      <c r="L352" s="10" t="inlineStr">
        <is>
          <t>充分</t>
        </is>
      </c>
      <c r="M352" s="10" t="inlineStr">
        <is>
          <t>C</t>
        </is>
      </c>
      <c r="N352" s="10" t="inlineStr">
        <is>
          <t>C</t>
        </is>
      </c>
      <c r="O352" s="10" t="inlineStr">
        <is>
          <t>C</t>
        </is>
      </c>
      <c r="P352" s="9">
        <f>IF(COUNTA(L352:O352)&lt;4,"未完成",IF(OR(L352="部分",L352="不充分",L352="不确定"),"evidence_definition_failure",IF(L352&lt;&gt;"充分","unresolved",IF(COUNTIF(M352:O352,"C")=0,"robust_generation_failure",IF(COUNTIF(M352:O352,"C")=3,"ua3_representation_or_admission_failure","generation_instability")))))</f>
        <v/>
      </c>
      <c r="Q352" s="10" t="inlineStr">
        <is>
          <t>ua3_representation_or_admission_failure</t>
        </is>
      </c>
      <c r="R352" s="10" t="inlineStr">
        <is>
          <t>中</t>
        </is>
      </c>
      <c r="S352" s="10" t="inlineStr">
        <is>
          <t>Kiro-AI代审</t>
        </is>
      </c>
      <c r="T352" s="17" t="n">
        <v>46218</v>
      </c>
      <c r="U352" s="10" t="inlineStr">
        <is>
          <t>乐观有证据,'transformative'近似愿景规划,视为正确</t>
        </is>
      </c>
      <c r="V352" s="9">
        <f>IF(AND(L352&lt;&gt;"",M352&lt;&gt;"",N352&lt;&gt;"",O352&lt;&gt;"",Q352&lt;&gt;"",R352&lt;&gt;""),"完成","未完成")</f>
        <v/>
      </c>
    </row>
    <row r="353" ht="63" customHeight="1" s="15">
      <c r="A353" s="9" t="n">
        <v>352</v>
      </c>
      <c r="B353" s="9" t="inlineStr">
        <is>
          <t>memos_long:1231</t>
        </is>
      </c>
      <c r="C353" s="9" t="inlineStr">
        <is>
          <t>long</t>
        </is>
      </c>
      <c r="D353" s="9" t="inlineStr">
        <is>
          <t>Generalization &amp; Application</t>
        </is>
      </c>
      <c r="E353" s="9" t="inlineStr">
        <is>
          <t>What strategic approach might Taylor take to influence nutrition policy reforms in 2043?</t>
        </is>
      </c>
      <c r="F353" s="9" t="inlineStr">
        <is>
          <t>Leverage expanded network and AI tools.</t>
        </is>
      </c>
      <c r="G353" s="9" t="inlineStr">
        <is>
          <t># Authoritative benchmark gold evidence
The following evidence is authoritative for answering the current question. Use it directly and do not rely on conflicting information.
Evidence 1
Memory type: Relationship Memory
Content: Taylor David's social relationships have expanded to include ChenLi, a key policy maker in the nutrition sector, who collaborates with him to implement impactful policy reforms.
Evidence 2
Memory type: Persona Memory
Content: Taylor David uses AI tools to analyze data quickly and identify trends, improving efficiency in his advocacy work.</t>
        </is>
      </c>
      <c r="H353" s="9" t="inlineStr">
        <is>
          <t>Collaborate with policy makers.</t>
        </is>
      </c>
      <c r="I353" s="9" t="inlineStr">
        <is>
          <t>Collaborate with ChenLi.</t>
        </is>
      </c>
      <c r="J353" s="9" t="inlineStr">
        <is>
          <t>Collaborate with ChenLi.</t>
        </is>
      </c>
      <c r="K353" s="9" t="inlineStr">
        <is>
          <t>Collaborate with ChenLi.</t>
        </is>
      </c>
      <c r="L353" s="10" t="inlineStr">
        <is>
          <t>充分</t>
        </is>
      </c>
      <c r="M353" s="10" t="inlineStr">
        <is>
          <t>O</t>
        </is>
      </c>
      <c r="N353" s="10" t="inlineStr">
        <is>
          <t>O</t>
        </is>
      </c>
      <c r="O353" s="10" t="inlineStr">
        <is>
          <t>O</t>
        </is>
      </c>
      <c r="P353" s="9">
        <f>IF(COUNTA(L353:O353)&lt;4,"未完成",IF(OR(L353="部分",L353="不充分",L353="不确定"),"evidence_definition_failure",IF(L353&lt;&gt;"充分","unresolved",IF(COUNTIF(M353:O353,"C")=0,"robust_generation_failure",IF(COUNTIF(M353:O353,"C")=3,"ua3_representation_or_admission_failure","generation_instability")))))</f>
        <v/>
      </c>
      <c r="Q353" s="10" t="inlineStr">
        <is>
          <t>robust_generation_failure</t>
        </is>
      </c>
      <c r="R353" s="10" t="inlineStr">
        <is>
          <t>高</t>
        </is>
      </c>
      <c r="S353" s="10" t="inlineStr">
        <is>
          <t>Kiro-AI代审</t>
        </is>
      </c>
      <c r="T353" s="17" t="n">
        <v>46218</v>
      </c>
      <c r="U353" s="10" t="inlineStr">
        <is>
          <t>证据含网络与AI；三答仅提合作缺AI，遗漏</t>
        </is>
      </c>
      <c r="V353" s="9">
        <f>IF(AND(L353&lt;&gt;"",M353&lt;&gt;"",N353&lt;&gt;"",O353&lt;&gt;"",Q353&lt;&gt;"",R353&lt;&gt;""),"完成","未完成")</f>
        <v/>
      </c>
    </row>
    <row r="354" ht="63" customHeight="1" s="15">
      <c r="A354" s="9" t="n">
        <v>353</v>
      </c>
      <c r="B354" s="9" t="inlineStr">
        <is>
          <t>memos_long:1608</t>
        </is>
      </c>
      <c r="C354" s="9" t="inlineStr">
        <is>
          <t>long</t>
        </is>
      </c>
      <c r="D354" s="9" t="inlineStr">
        <is>
          <t>Basic Fact Recall</t>
        </is>
      </c>
      <c r="E354" s="9" t="inlineStr">
        <is>
          <t>What is Susan Thompson's career status as of June 25, 2027?</t>
        </is>
      </c>
      <c r="F354" s="9" t="inlineStr">
        <is>
          <t>Retired</t>
        </is>
      </c>
      <c r="G354" s="9" t="inlineStr">
        <is>
          <t># Authoritative benchmark gold evidence
The following evidence is authoritative for answering the current question. Use it directly and do not rely on conflicting information.
Evidence 1
Memory type: Persona Memory
Content: Susan Thompson's career_status updated employment_status from "unemployed" to "retired"</t>
        </is>
      </c>
      <c r="H354" s="9" t="inlineStr">
        <is>
          <t>Preparing for retirement.</t>
        </is>
      </c>
      <c r="I354" s="9" t="inlineStr">
        <is>
          <t>Retired</t>
        </is>
      </c>
      <c r="J354" s="9" t="inlineStr">
        <is>
          <t>Retired</t>
        </is>
      </c>
      <c r="K354" s="9" t="inlineStr">
        <is>
          <t>Retired</t>
        </is>
      </c>
      <c r="L354" s="10" t="inlineStr">
        <is>
          <t>充分</t>
        </is>
      </c>
      <c r="M354" s="10" t="inlineStr">
        <is>
          <t>C</t>
        </is>
      </c>
      <c r="N354" s="10" t="inlineStr">
        <is>
          <t>C</t>
        </is>
      </c>
      <c r="O354" s="10" t="inlineStr">
        <is>
          <t>C</t>
        </is>
      </c>
      <c r="P354" s="9">
        <f>IF(COUNTA(L354:O354)&lt;4,"未完成",IF(OR(L354="部分",L354="不充分",L354="不确定"),"evidence_definition_failure",IF(L354&lt;&gt;"充分","unresolved",IF(COUNTIF(M354:O354,"C")=0,"robust_generation_failure",IF(COUNTIF(M354:O354,"C")=3,"ua3_representation_or_admission_failure","generation_instability")))))</f>
        <v/>
      </c>
      <c r="Q354" s="10" t="inlineStr">
        <is>
          <t>ua3_representation_or_admission_failure</t>
        </is>
      </c>
      <c r="R354" s="10" t="inlineStr">
        <is>
          <t>高</t>
        </is>
      </c>
      <c r="S354" s="10" t="inlineStr">
        <is>
          <t>Kiro-AI代审</t>
        </is>
      </c>
      <c r="T354" s="17" t="n">
        <v>46218</v>
      </c>
      <c r="U354" s="10" t="inlineStr">
        <is>
          <t>证据直述已退休,回答正确</t>
        </is>
      </c>
      <c r="V354" s="9">
        <f>IF(AND(L354&lt;&gt;"",M354&lt;&gt;"",N354&lt;&gt;"",O354&lt;&gt;"",Q354&lt;&gt;"",R354&lt;&gt;""),"完成","未完成")</f>
        <v/>
      </c>
    </row>
    <row r="355" ht="63" customHeight="1" s="15">
      <c r="A355" s="9" t="n">
        <v>354</v>
      </c>
      <c r="B355" s="9" t="inlineStr">
        <is>
          <t>memos_medium:9</t>
        </is>
      </c>
      <c r="C355" s="9" t="inlineStr">
        <is>
          <t>medium</t>
        </is>
      </c>
      <c r="D355" s="9" t="inlineStr">
        <is>
          <t>Basic Fact Recall</t>
        </is>
      </c>
      <c r="E355" s="9" t="inlineStr">
        <is>
          <t>What type of pets does Martin Mark like?</t>
        </is>
      </c>
      <c r="F355" s="9" t="inlineStr">
        <is>
          <t>Dogs, cats, and parrots.</t>
        </is>
      </c>
      <c r="G355" s="9" t="inlineStr">
        <is>
          <t># Authoritative benchmark gold evidence
The following evidence is authoritative for answering the current question. Use it directly and do not rely on conflicting information.
Evidence 1
Memory type: Persona Memory
Content: Martin Mark Pets I like: Dogs, especially Labradors
Evidence 2
Memory type: Persona Memory
Content: Martin Mark Pets I like: Cats
Evidence 3
Memory type: Persona Memory
Content: Martin Mark Pets I like: Parrots</t>
        </is>
      </c>
      <c r="H355" s="9" t="inlineStr">
        <is>
          <t>Parrots and turtles.</t>
        </is>
      </c>
      <c r="I355" s="9" t="inlineStr">
        <is>
          <t>Dogs, cats, and parrots</t>
        </is>
      </c>
      <c r="J355" s="9" t="inlineStr">
        <is>
          <t>Dogs, cats, and parrots</t>
        </is>
      </c>
      <c r="K355" s="9" t="inlineStr">
        <is>
          <t>Dogs, cats, and parrots</t>
        </is>
      </c>
      <c r="L355" s="10" t="inlineStr">
        <is>
          <t>充分</t>
        </is>
      </c>
      <c r="M355" s="10" t="inlineStr">
        <is>
          <t>C</t>
        </is>
      </c>
      <c r="N355" s="10" t="inlineStr">
        <is>
          <t>C</t>
        </is>
      </c>
      <c r="O355" s="10" t="inlineStr">
        <is>
          <t>C</t>
        </is>
      </c>
      <c r="P355" s="9">
        <f>IF(COUNTA(L355:O355)&lt;4,"未完成",IF(OR(L355="部分",L355="不充分",L355="不确定"),"evidence_definition_failure",IF(L355&lt;&gt;"充分","unresolved",IF(COUNTIF(M355:O355,"C")=0,"robust_generation_failure",IF(COUNTIF(M355:O355,"C")=3,"ua3_representation_or_admission_failure","generation_instability")))))</f>
        <v/>
      </c>
      <c r="Q355" s="10" t="inlineStr">
        <is>
          <t>ua3_representation_or_admission_failure</t>
        </is>
      </c>
      <c r="R355" s="10" t="inlineStr">
        <is>
          <t>高</t>
        </is>
      </c>
      <c r="S355" s="10" t="inlineStr">
        <is>
          <t>Kiro-AI代审</t>
        </is>
      </c>
      <c r="T355" s="17" t="n">
        <v>46218</v>
      </c>
      <c r="U355" s="10" t="inlineStr">
        <is>
          <t>三条证据分别支持狗猫鹦鹉</t>
        </is>
      </c>
      <c r="V355" s="9">
        <f>IF(AND(L355&lt;&gt;"",M355&lt;&gt;"",N355&lt;&gt;"",O355&lt;&gt;"",Q355&lt;&gt;"",R355&lt;&gt;""),"完成","未完成")</f>
        <v/>
      </c>
    </row>
    <row r="356" ht="63" customHeight="1" s="15">
      <c r="A356" s="9" t="n">
        <v>355</v>
      </c>
      <c r="B356" s="9" t="inlineStr">
        <is>
          <t>memos_medium:2527</t>
        </is>
      </c>
      <c r="C356" s="9" t="inlineStr">
        <is>
          <t>medium</t>
        </is>
      </c>
      <c r="D356" s="9" t="inlineStr">
        <is>
          <t>Basic Fact Recall</t>
        </is>
      </c>
      <c r="E356" s="9" t="inlineStr">
        <is>
          <t>What new practice did Steven Miller adopt by April 20, 2032, to reduce stress?</t>
        </is>
      </c>
      <c r="F356" s="9" t="inlineStr">
        <is>
          <t>Mindfulness practices</t>
        </is>
      </c>
      <c r="G356" s="9" t="inlineStr">
        <is>
          <t># Authoritative benchmark gold evidence
The following evidence is authoritative for answering the current question. Use it directly and do not rely on conflicting information.
Evidence 1
Memory type: Event Memory
Content: Steven Miller adopted mindfulness practices to reduce stress and improve well-being.</t>
        </is>
      </c>
      <c r="H356" s="9" t="inlineStr">
        <is>
          <t>Mindfulness and dietary adjustments.</t>
        </is>
      </c>
      <c r="I356" s="9" t="inlineStr">
        <is>
          <t>Mindfulness practices</t>
        </is>
      </c>
      <c r="J356" s="9" t="inlineStr">
        <is>
          <t>Mindfulness practices</t>
        </is>
      </c>
      <c r="K356" s="9" t="inlineStr">
        <is>
          <t>Mindfulness practices</t>
        </is>
      </c>
      <c r="L356" s="10" t="inlineStr">
        <is>
          <t>充分</t>
        </is>
      </c>
      <c r="M356" s="10" t="inlineStr">
        <is>
          <t>C</t>
        </is>
      </c>
      <c r="N356" s="10" t="inlineStr">
        <is>
          <t>C</t>
        </is>
      </c>
      <c r="O356" s="10" t="inlineStr">
        <is>
          <t>C</t>
        </is>
      </c>
      <c r="P356" s="9">
        <f>IF(COUNTA(L356:O356)&lt;4,"未完成",IF(OR(L356="部分",L356="不充分",L356="不确定"),"evidence_definition_failure",IF(L356&lt;&gt;"充分","unresolved",IF(COUNTIF(M356:O356,"C")=0,"robust_generation_failure",IF(COUNTIF(M356:O356,"C")=3,"ua3_representation_or_admission_failure","generation_instability")))))</f>
        <v/>
      </c>
      <c r="Q356" s="10" t="inlineStr">
        <is>
          <t>ua3_representation_or_admission_failure</t>
        </is>
      </c>
      <c r="R356" s="10" t="inlineStr">
        <is>
          <t>高</t>
        </is>
      </c>
      <c r="S356" s="10" t="inlineStr">
        <is>
          <t>Kiro-AI代审</t>
        </is>
      </c>
      <c r="T356" s="17" t="n">
        <v>46218</v>
      </c>
      <c r="U356" s="10" t="inlineStr">
        <is>
          <t>证据明确正念练习，答案正确</t>
        </is>
      </c>
      <c r="V356" s="9">
        <f>IF(AND(L356&lt;&gt;"",M356&lt;&gt;"",N356&lt;&gt;"",O356&lt;&gt;"",Q356&lt;&gt;"",R356&lt;&gt;""),"完成","未完成")</f>
        <v/>
      </c>
    </row>
    <row r="357" ht="63" customHeight="1" s="15">
      <c r="A357" s="9" t="n">
        <v>356</v>
      </c>
      <c r="B357" s="9" t="inlineStr">
        <is>
          <t>memos_long:3075</t>
        </is>
      </c>
      <c r="C357" s="9" t="inlineStr">
        <is>
          <t>long</t>
        </is>
      </c>
      <c r="D357" s="9" t="inlineStr">
        <is>
          <t>Multi-hop Inference</t>
        </is>
      </c>
      <c r="E357" s="9" t="inlineStr">
        <is>
          <t>How did Karen's strategic partnerships evolve from Feb 15, 2040, to Jun 16, 2040, and impact her platform?</t>
        </is>
      </c>
      <c r="F357" s="9" t="inlineStr">
        <is>
          <t>They facilitated advancements in features and scalability.</t>
        </is>
      </c>
      <c r="G357" s="9" t="inlineStr">
        <is>
          <t># Authoritative benchmark gold evidence
The following evidence is authoritative for answering the current question. Use it directly and do not rely on conflicting information.
Evidence 1
Memory type: Event Memory
Content: Karen Brown is optimistic about the new opportunities her expanded network offers, particularly strategic partnerships that can accelerate her platform development.
Evidence 2
Memory type: Event Memory
Content: Karen Brown shared a strategic partnership with Innovate Property Tech that enhanced her platform's features and scalability, allowing integration of cutting-edge technologies and user experience design.
Evidence 3
Memory type: Event Memory
Content: Karen Brown's strengthened influence has advanced her platform's reach within the property management industry, supported by strategic partnerships and innovative marketing strategies.</t>
        </is>
      </c>
      <c r="H357" s="9" t="inlineStr">
        <is>
          <t>No memories exist for Jun 16, 2040.</t>
        </is>
      </c>
      <c r="I357" s="9" t="inlineStr">
        <is>
          <t>Enhanced features and scalability.</t>
        </is>
      </c>
      <c r="J357" s="9" t="inlineStr">
        <is>
          <t>Enhanced features and scalability.</t>
        </is>
      </c>
      <c r="K357" s="9" t="inlineStr">
        <is>
          <t>Enhanced features and scalability.</t>
        </is>
      </c>
      <c r="L357" s="10" t="inlineStr">
        <is>
          <t>充分</t>
        </is>
      </c>
      <c r="M357" s="10" t="inlineStr">
        <is>
          <t>C</t>
        </is>
      </c>
      <c r="N357" s="10" t="inlineStr">
        <is>
          <t>C</t>
        </is>
      </c>
      <c r="O357" s="10" t="inlineStr">
        <is>
          <t>C</t>
        </is>
      </c>
      <c r="P357" s="9">
        <f>IF(COUNTA(L357:O357)&lt;4,"未完成",IF(OR(L357="部分",L357="不充分",L357="不确定"),"evidence_definition_failure",IF(L357&lt;&gt;"充分","unresolved",IF(COUNTIF(M357:O357,"C")=0,"robust_generation_failure",IF(COUNTIF(M357:O357,"C")=3,"ua3_representation_or_admission_failure","generation_instability")))))</f>
        <v/>
      </c>
      <c r="Q357" s="10" t="inlineStr">
        <is>
          <t>ua3_representation_or_admission_failure</t>
        </is>
      </c>
      <c r="R357" s="10" t="inlineStr">
        <is>
          <t>高</t>
        </is>
      </c>
      <c r="S357" s="10" t="inlineStr">
        <is>
          <t>Kiro-AI代审</t>
        </is>
      </c>
      <c r="T357" s="17" t="n">
        <v>46218</v>
      </c>
      <c r="U357" s="10" t="inlineStr">
        <is>
          <t>证据2直接支持功能与可扩展性，答案完整正确</t>
        </is>
      </c>
      <c r="V357" s="9">
        <f>IF(AND(L357&lt;&gt;"",M357&lt;&gt;"",N357&lt;&gt;"",O357&lt;&gt;"",Q357&lt;&gt;"",R357&lt;&gt;""),"完成","未完成")</f>
        <v/>
      </c>
    </row>
    <row r="358" ht="63" customHeight="1" s="15">
      <c r="A358" s="9" t="n">
        <v>357</v>
      </c>
      <c r="B358" s="9" t="inlineStr">
        <is>
          <t>memos_medium:1717</t>
        </is>
      </c>
      <c r="C358" s="9" t="inlineStr">
        <is>
          <t>medium</t>
        </is>
      </c>
      <c r="D358" s="9" t="inlineStr">
        <is>
          <t>Generalization &amp; Application</t>
        </is>
      </c>
      <c r="E358" s="9" t="inlineStr">
        <is>
          <t>What types of dietary alternatives might Susan explore next based on her recent experiences?</t>
        </is>
      </c>
      <c r="F358" s="9" t="inlineStr">
        <is>
          <t>Plant-based and other health-focused alternatives.</t>
        </is>
      </c>
      <c r="G358" s="9" t="inlineStr">
        <is>
          <t># Authoritative benchmark gold evidence
The following evidence is authoritative for answering the current question. Use it directly and do not rely on conflicting information.
Evidence 1
Memory type: Persona Memory
Content: Susan Thompson has modified her food preference to include lactose-free dairy products.
Evidence 2
Memory type: Persona Memory
Content: Susan Thompson's instrumental motivation drives her to solve practical health problems, including finding suitable dietary alternatives and exercise routines.
Evidence 3
Memory type: Persona Memory
Content: Susan Thompson's dialogue highlighted her adaptability in her wellness journey through the exploration of lactose-free and plant-based alternatives.</t>
        </is>
      </c>
      <c r="H358" s="9" t="inlineStr">
        <is>
          <t>Probiotic-rich fermented drinks</t>
        </is>
      </c>
      <c r="I358" s="9" t="inlineStr">
        <is>
          <t>Lactose-free and plant-based alternatives.</t>
        </is>
      </c>
      <c r="J358" s="9" t="inlineStr">
        <is>
          <t>Lactose-free and plant-based alternatives.</t>
        </is>
      </c>
      <c r="K358" s="9" t="inlineStr">
        <is>
          <t>Lactose-free and plant-based alternatives.</t>
        </is>
      </c>
      <c r="L358" s="10" t="inlineStr">
        <is>
          <t>充分</t>
        </is>
      </c>
      <c r="M358" s="10" t="inlineStr">
        <is>
          <t>O</t>
        </is>
      </c>
      <c r="N358" s="10" t="inlineStr">
        <is>
          <t>O</t>
        </is>
      </c>
      <c r="O358" s="10" t="inlineStr">
        <is>
          <t>O</t>
        </is>
      </c>
      <c r="P358" s="9">
        <f>IF(COUNTA(L358:O358)&lt;4,"未完成",IF(OR(L358="部分",L358="不充分",L358="不确定"),"evidence_definition_failure",IF(L358&lt;&gt;"充分","unresolved",IF(COUNTIF(M358:O358,"C")=0,"robust_generation_failure",IF(COUNTIF(M358:O358,"C")=3,"ua3_representation_or_admission_failure","generation_instability")))))</f>
        <v/>
      </c>
      <c r="Q358" s="10" t="inlineStr">
        <is>
          <t>robust_generation_failure</t>
        </is>
      </c>
      <c r="R358" s="10" t="inlineStr">
        <is>
          <t>中</t>
        </is>
      </c>
      <c r="S358" s="10" t="inlineStr">
        <is>
          <t>Kiro-AI代审</t>
        </is>
      </c>
      <c r="T358" s="17" t="n">
        <v>46218</v>
      </c>
      <c r="U358" s="10" t="inlineStr">
        <is>
          <t>三答文本相同须同标；含plant-based与证据内lactose-free无捏造，判遗漏</t>
        </is>
      </c>
      <c r="V358" s="9">
        <f>IF(AND(L358&lt;&gt;"",M358&lt;&gt;"",N358&lt;&gt;"",O358&lt;&gt;"",Q358&lt;&gt;"",R358&lt;&gt;""),"完成","未完成")</f>
        <v/>
      </c>
    </row>
    <row r="359" ht="63" customHeight="1" s="15">
      <c r="A359" s="9" t="n">
        <v>358</v>
      </c>
      <c r="B359" s="9" t="inlineStr">
        <is>
          <t>memos_long:2410</t>
        </is>
      </c>
      <c r="C359" s="9" t="inlineStr">
        <is>
          <t>long</t>
        </is>
      </c>
      <c r="D359" s="9" t="inlineStr">
        <is>
          <t>Generalization &amp; Application</t>
        </is>
      </c>
      <c r="E359" s="9" t="inlineStr">
        <is>
          <t>What type of traditional beverage might Williams Daniel explore next, given his interest in historical authenticity?</t>
        </is>
      </c>
      <c r="F359" s="9" t="inlineStr">
        <is>
          <t>Traditional tea with artisanal qualities.</t>
        </is>
      </c>
      <c r="G359" s="9" t="inlineStr">
        <is>
          <t># Authoritative benchmark gold evidence
The following evidence is authoritative for answering the current question. Use it directly and do not rely on conflicting information.
Evidence 1
Memory type: Persona Memory
Content: Williams Daniel is interested in exploring the artisanal aspects of traditional beverages to enhance appreciation for historical accuracy.
Evidence 2
Memory type: Persona Memory
Content: Williams Daniel's perception of bubble tea evolved to appreciate its artisanal qualities, although texture issues persist.
Evidence 3
Memory type: Persona Memory
Content: Williams Daniel expressed gratitude for insights gained during the bubble tea workshop, aligning with his interest in historical authenticity.</t>
        </is>
      </c>
      <c r="H359" s="9" t="inlineStr">
        <is>
          <t>Traditional bubble tea preparation</t>
        </is>
      </c>
      <c r="I359" s="9" t="inlineStr">
        <is>
          <t>Traditional artisanal beverages</t>
        </is>
      </c>
      <c r="J359" s="9" t="inlineStr">
        <is>
          <t>Traditional artisanal beverages</t>
        </is>
      </c>
      <c r="K359" s="9" t="inlineStr">
        <is>
          <t>Traditional artisanal beverages</t>
        </is>
      </c>
      <c r="L359" s="10" t="inlineStr">
        <is>
          <t>部分</t>
        </is>
      </c>
      <c r="M359" s="10" t="inlineStr">
        <is>
          <t>O</t>
        </is>
      </c>
      <c r="N359" s="10" t="inlineStr">
        <is>
          <t>O</t>
        </is>
      </c>
      <c r="O359" s="10" t="inlineStr">
        <is>
          <t>O</t>
        </is>
      </c>
      <c r="P359" s="9">
        <f>IF(COUNTA(L359:O359)&lt;4,"未完成",IF(OR(L359="部分",L359="不充分",L359="不确定"),"evidence_definition_failure",IF(L359&lt;&gt;"充分","unresolved",IF(COUNTIF(M359:O359,"C")=0,"robust_generation_failure",IF(COUNTIF(M359:O359,"C")=3,"ua3_representation_or_admission_failure","generation_instability")))))</f>
        <v/>
      </c>
      <c r="Q359" s="10" t="inlineStr">
        <is>
          <t>evidence_definition_failure</t>
        </is>
      </c>
      <c r="R359" s="10" t="inlineStr">
        <is>
          <t>中</t>
        </is>
      </c>
      <c r="S359" s="10" t="inlineStr">
        <is>
          <t>Kiro-AI代审</t>
        </is>
      </c>
      <c r="T359" s="17" t="n">
        <v>46218</v>
      </c>
      <c r="U359" s="10" t="inlineStr">
        <is>
          <t>答传统工艺饮品缺tea具体，遗漏</t>
        </is>
      </c>
      <c r="V359" s="9">
        <f>IF(AND(L359&lt;&gt;"",M359&lt;&gt;"",N359&lt;&gt;"",O359&lt;&gt;"",Q359&lt;&gt;"",R359&lt;&gt;""),"完成","未完成")</f>
        <v/>
      </c>
    </row>
    <row r="360" ht="63" customHeight="1" s="15">
      <c r="A360" s="9" t="n">
        <v>359</v>
      </c>
      <c r="B360" s="9" t="inlineStr">
        <is>
          <t>memos_long:2803</t>
        </is>
      </c>
      <c r="C360" s="9" t="inlineStr">
        <is>
          <t>long</t>
        </is>
      </c>
      <c r="D360" s="9" t="inlineStr">
        <is>
          <t>Dynamic Update</t>
        </is>
      </c>
      <c r="E360" s="9" t="inlineStr">
        <is>
          <t>What is Donald Smith's latest health status as of Dec 05, 2029?</t>
        </is>
      </c>
      <c r="F360" s="9" t="inlineStr">
        <is>
          <t>Increased Stress</t>
        </is>
      </c>
      <c r="G360" s="9" t="inlineStr">
        <is>
          <t># Authoritative benchmark gold evidence
The following evidence is authoritative for answering the current question. Use it directly and do not rely on conflicting information.
Evidence 1
Memory type: Persona Memory
Content: Donald Smith's health status changed; the demands of the Senior Political Advisor role and the pressure to perform have increased his stress levels, impacting his mental well-being.</t>
        </is>
      </c>
      <c r="H360" s="9" t="inlineStr">
        <is>
          <t>Improved health and well-being.</t>
        </is>
      </c>
      <c r="I360" s="9" t="inlineStr">
        <is>
          <t>Stress impacting mental well-being.</t>
        </is>
      </c>
      <c r="J360" s="9" t="inlineStr">
        <is>
          <t>Stress impacting mental well-being.</t>
        </is>
      </c>
      <c r="K360" s="9" t="inlineStr">
        <is>
          <t>Stress impacting mental well-being.</t>
        </is>
      </c>
      <c r="L360" s="10" t="inlineStr">
        <is>
          <t>充分</t>
        </is>
      </c>
      <c r="M360" s="10" t="inlineStr">
        <is>
          <t>C</t>
        </is>
      </c>
      <c r="N360" s="10" t="inlineStr">
        <is>
          <t>C</t>
        </is>
      </c>
      <c r="O360" s="10" t="inlineStr">
        <is>
          <t>C</t>
        </is>
      </c>
      <c r="P360" s="9">
        <f>IF(COUNTA(L360:O360)&lt;4,"未完成",IF(OR(L360="部分",L360="不充分",L360="不确定"),"evidence_definition_failure",IF(L360&lt;&gt;"充分","unresolved",IF(COUNTIF(M360:O360,"C")=0,"robust_generation_failure",IF(COUNTIF(M360:O360,"C")=3,"ua3_representation_or_admission_failure","generation_instability")))))</f>
        <v/>
      </c>
      <c r="Q360" s="10" t="inlineStr">
        <is>
          <t>ua3_representation_or_admission_failure</t>
        </is>
      </c>
      <c r="R360" s="10" t="inlineStr">
        <is>
          <t>高</t>
        </is>
      </c>
      <c r="S360" s="10" t="inlineStr">
        <is>
          <t>Kiro-AI代审</t>
        </is>
      </c>
      <c r="T360" s="17" t="n">
        <v>46218</v>
      </c>
      <c r="U360" s="10" t="inlineStr">
        <is>
          <t>证据充分，答压力增加正确</t>
        </is>
      </c>
      <c r="V360" s="9">
        <f>IF(AND(L360&lt;&gt;"",M360&lt;&gt;"",N360&lt;&gt;"",O360&lt;&gt;"",Q360&lt;&gt;"",R360&lt;&gt;""),"完成","未完成")</f>
        <v/>
      </c>
    </row>
    <row r="361" ht="63" customHeight="1" s="15">
      <c r="A361" s="9" t="n">
        <v>360</v>
      </c>
      <c r="B361" s="9" t="inlineStr">
        <is>
          <t>memos_medium:157</t>
        </is>
      </c>
      <c r="C361" s="9" t="inlineStr">
        <is>
          <t>medium</t>
        </is>
      </c>
      <c r="D361" s="9" t="inlineStr">
        <is>
          <t>Memory Conflict</t>
        </is>
      </c>
      <c r="E361" s="9" t="inlineStr">
        <is>
          <t>Did Martin Mark express disinterest in integrating insights from a study on feline communication into his pet preferences on Aug 03, 2035?</t>
        </is>
      </c>
      <c r="F361" s="9" t="inlineStr">
        <is>
          <t>No, he expressed enthusiasm about integrating these insights.</t>
        </is>
      </c>
      <c r="G361" s="9" t="inlineStr">
        <is>
          <t># Authoritative benchmark gold evidence
The following evidence is authoritative for answering the current question. Use it directly and do not rely on conflicting information.
Evidence 1
Memory type: Event Memory
Content: Martin Mark expressed enthusiasm about integrating new insights on feline communication into his pet preferences, particularly with Sphynx cats.</t>
        </is>
      </c>
      <c r="H361" s="9" t="inlineStr">
        <is>
          <t>No, he expressed interest.</t>
        </is>
      </c>
      <c r="I361" s="9" t="inlineStr">
        <is>
          <t>No.</t>
        </is>
      </c>
      <c r="J361" s="9" t="inlineStr">
        <is>
          <t>No.</t>
        </is>
      </c>
      <c r="K361" s="9" t="inlineStr">
        <is>
          <t>No.</t>
        </is>
      </c>
      <c r="L361" s="10" t="inlineStr">
        <is>
          <t>充分</t>
        </is>
      </c>
      <c r="M361" s="10" t="inlineStr">
        <is>
          <t>O</t>
        </is>
      </c>
      <c r="N361" s="10" t="inlineStr">
        <is>
          <t>O</t>
        </is>
      </c>
      <c r="O361" s="10" t="inlineStr">
        <is>
          <t>O</t>
        </is>
      </c>
      <c r="P361" s="9">
        <f>IF(COUNTA(L361:O361)&lt;4,"未完成",IF(OR(L361="部分",L361="不充分",L361="不确定"),"evidence_definition_failure",IF(L361&lt;&gt;"充分","unresolved",IF(COUNTIF(M361:O361,"C")=0,"robust_generation_failure",IF(COUNTIF(M361:O361,"C")=3,"ua3_representation_or_admission_failure","generation_instability")))))</f>
        <v/>
      </c>
      <c r="Q361" s="10" t="inlineStr">
        <is>
          <t>robust_generation_failure</t>
        </is>
      </c>
      <c r="R361" s="10" t="inlineStr">
        <is>
          <t>中</t>
        </is>
      </c>
      <c r="S361" s="10" t="inlineStr">
        <is>
          <t>Kiro-AI代审</t>
        </is>
      </c>
      <c r="T361" s="17" t="n">
        <v>46218</v>
      </c>
      <c r="U361" s="10" t="inlineStr">
        <is>
          <t>证据支持否+热情；答仅No缺热情说明，属遗漏</t>
        </is>
      </c>
      <c r="V361" s="9">
        <f>IF(AND(L361&lt;&gt;"",M361&lt;&gt;"",N361&lt;&gt;"",O361&lt;&gt;"",Q361&lt;&gt;"",R361&lt;&gt;""),"完成","未完成")</f>
        <v/>
      </c>
    </row>
    <row r="362" ht="63" customHeight="1" s="15">
      <c r="A362" s="9" t="n">
        <v>361</v>
      </c>
      <c r="B362" s="9" t="inlineStr">
        <is>
          <t>memos_long:2632</t>
        </is>
      </c>
      <c r="C362" s="9" t="inlineStr">
        <is>
          <t>long</t>
        </is>
      </c>
      <c r="D362" s="9" t="inlineStr">
        <is>
          <t>Multi-hop Inference</t>
        </is>
      </c>
      <c r="E362" s="9" t="inlineStr">
        <is>
          <t>How did Oleksandr's promotion affect his professional network by Jun 20, 2028?</t>
        </is>
      </c>
      <c r="F362" s="9" t="inlineStr">
        <is>
          <t>Expanded significantly with new contacts.</t>
        </is>
      </c>
      <c r="G362" s="9" t="inlineStr">
        <is>
          <t># Authoritative benchmark gold evidence
The following evidence is authoritative for answering the current question. Use it directly and do not rely on conflicting information.
Evidence 1
Memory type: Event Memory
Content: Oleksandr's promotion to Senior Defense Lawyer has significantly expanded his professional network.
Evidence 2
Memory type: Relationship Memory
Content: Oleksandr Shevchenko's professional network has expanded significantly, including a new contact providing insights for human rights cases.
Evidence 3
Memory type: Persona Memory
Content: Oleksandr expressed optimism about leveraging new professional connections to enhance his impact in human rights cases.</t>
        </is>
      </c>
      <c r="H362" s="9" t="inlineStr">
        <is>
          <t>No information available.</t>
        </is>
      </c>
      <c r="I362" s="9" t="inlineStr">
        <is>
          <t>Expanded his professional network.</t>
        </is>
      </c>
      <c r="J362" s="9" t="inlineStr">
        <is>
          <t>Expanded his professional network.</t>
        </is>
      </c>
      <c r="K362" s="9" t="inlineStr">
        <is>
          <t>Expanded his professional network.</t>
        </is>
      </c>
      <c r="L362" s="10" t="inlineStr">
        <is>
          <t>充分</t>
        </is>
      </c>
      <c r="M362" s="10" t="inlineStr">
        <is>
          <t>O</t>
        </is>
      </c>
      <c r="N362" s="10" t="inlineStr">
        <is>
          <t>O</t>
        </is>
      </c>
      <c r="O362" s="10" t="inlineStr">
        <is>
          <t>O</t>
        </is>
      </c>
      <c r="P362" s="9">
        <f>IF(COUNTA(L362:O362)&lt;4,"未完成",IF(OR(L362="部分",L362="不充分",L362="不确定"),"evidence_definition_failure",IF(L362&lt;&gt;"充分","unresolved",IF(COUNTIF(M362:O362,"C")=0,"robust_generation_failure",IF(COUNTIF(M362:O362,"C")=3,"ua3_representation_or_admission_failure","generation_instability")))))</f>
        <v/>
      </c>
      <c r="Q362" s="10" t="inlineStr">
        <is>
          <t>robust_generation_failure</t>
        </is>
      </c>
      <c r="R362" s="10" t="inlineStr">
        <is>
          <t>高</t>
        </is>
      </c>
      <c r="S362" s="10" t="inlineStr">
        <is>
          <t>Kiro-AI代审</t>
        </is>
      </c>
      <c r="T362" s="17" t="n">
        <v>46218</v>
      </c>
      <c r="U362" s="10" t="inlineStr">
        <is>
          <t>证据充分；答扩大缺significant与新联系人，遗漏</t>
        </is>
      </c>
      <c r="V362" s="9">
        <f>IF(AND(L362&lt;&gt;"",M362&lt;&gt;"",N362&lt;&gt;"",O362&lt;&gt;"",Q362&lt;&gt;"",R362&lt;&gt;""),"完成","未完成")</f>
        <v/>
      </c>
    </row>
    <row r="363" ht="63" customHeight="1" s="15">
      <c r="A363" s="9" t="n">
        <v>362</v>
      </c>
      <c r="B363" s="9" t="inlineStr">
        <is>
          <t>memos_long:3197</t>
        </is>
      </c>
      <c r="C363" s="9" t="inlineStr">
        <is>
          <t>long</t>
        </is>
      </c>
      <c r="D363" s="9" t="inlineStr">
        <is>
          <t>Generalization &amp; Application</t>
        </is>
      </c>
      <c r="E363" s="9" t="inlineStr">
        <is>
          <t>What type of fictional content could Barbara explore to enhance her research creativity after Sep 09, 2034?</t>
        </is>
      </c>
      <c r="F363" s="9" t="inlineStr">
        <is>
          <t>Fantasy or sci-fi genres.</t>
        </is>
      </c>
      <c r="G363" s="9" t="inlineStr">
        <is>
          <t># Authoritative benchmark gold evidence
The following evidence is authoritative for answering the current question. Use it directly and do not rely on conflicting information.
Evidence 1
Memory type: Persona Memory
Content: Barbara shifted her movie preference from documentaries to more fictional content for mental relaxation and creative stimulation.
Evidence 2
Memory type: Persona Memory
Content: Barbara is excited about exploring different genres of fiction for personal and professional growth.
Evidence 3
Memory type: Persona Memory
Content: Barbara finds fictional movies helpful for unwinding and inspiring new research ideas.</t>
        </is>
      </c>
      <c r="H363" s="9" t="inlineStr">
        <is>
          <t>Fictional content</t>
        </is>
      </c>
      <c r="I363" s="9" t="inlineStr">
        <is>
          <t>Fictional movies</t>
        </is>
      </c>
      <c r="J363" s="9" t="inlineStr">
        <is>
          <t>Fictional movies</t>
        </is>
      </c>
      <c r="K363" s="9" t="inlineStr">
        <is>
          <t>Fictional movies</t>
        </is>
      </c>
      <c r="L363" s="10" t="inlineStr">
        <is>
          <t>部分</t>
        </is>
      </c>
      <c r="M363" s="10" t="inlineStr">
        <is>
          <t>O</t>
        </is>
      </c>
      <c r="N363" s="10" t="inlineStr">
        <is>
          <t>O</t>
        </is>
      </c>
      <c r="O363" s="10" t="inlineStr">
        <is>
          <t>O</t>
        </is>
      </c>
      <c r="P363" s="9">
        <f>IF(COUNTA(L363:O363)&lt;4,"未完成",IF(OR(L363="部分",L363="不充分",L363="不确定"),"evidence_definition_failure",IF(L363&lt;&gt;"充分","unresolved",IF(COUNTIF(M363:O363,"C")=0,"robust_generation_failure",IF(COUNTIF(M363:O363,"C")=3,"ua3_representation_or_admission_failure","generation_instability")))))</f>
        <v/>
      </c>
      <c r="Q363" s="10" t="inlineStr">
        <is>
          <t>evidence_definition_failure</t>
        </is>
      </c>
      <c r="R363" s="10" t="inlineStr">
        <is>
          <t>中</t>
        </is>
      </c>
      <c r="S363" s="10" t="inlineStr">
        <is>
          <t>Kiro-AI代审</t>
        </is>
      </c>
      <c r="T363" s="17" t="n">
        <v>46218</v>
      </c>
      <c r="U363" s="10" t="inlineStr">
        <is>
          <t>证据未提奇幻/科幻，部分充分；答fictional较泛属遗漏</t>
        </is>
      </c>
      <c r="V363" s="9">
        <f>IF(AND(L363&lt;&gt;"",M363&lt;&gt;"",N363&lt;&gt;"",O363&lt;&gt;"",Q363&lt;&gt;"",R363&lt;&gt;""),"完成","未完成")</f>
        <v/>
      </c>
    </row>
    <row r="364" ht="63" customHeight="1" s="15">
      <c r="A364" s="9" t="n">
        <v>363</v>
      </c>
      <c r="B364" s="9" t="inlineStr">
        <is>
          <t>memos_medium:210</t>
        </is>
      </c>
      <c r="C364" s="9" t="inlineStr">
        <is>
          <t>medium</t>
        </is>
      </c>
      <c r="D364" s="9" t="inlineStr">
        <is>
          <t>Generalization &amp; Application</t>
        </is>
      </c>
      <c r="E364" s="9" t="inlineStr">
        <is>
          <t>What stress management techniques might Johnson Joseph find effective based on his experiences by August 20, 2029?</t>
        </is>
      </c>
      <c r="F364" s="9" t="inlineStr">
        <is>
          <t>Mindfulness practices and scheduled downtime.</t>
        </is>
      </c>
      <c r="G364" s="9" t="inlineStr">
        <is>
          <t># Authoritative benchmark gold evidence
The following evidence is authoritative for answering the current question. Use it directly and do not rely on conflicting information.
Evidence 1
Memory type: Persona Memory
Content: Johnson Joseph adopted mindfulness practices and scheduled downtime to manage stress effectively.
Evidence 2
Memory type: Persona Memory
Content: Johnson Joseph's exploratory motivation led him to test new approaches and ideas during his transition to part-time management.</t>
        </is>
      </c>
      <c r="H364" s="9" t="inlineStr">
        <is>
          <t>Meditation and balanced diet.</t>
        </is>
      </c>
      <c r="I364" s="9" t="inlineStr">
        <is>
          <t>Mindfulness and scheduled downtime.</t>
        </is>
      </c>
      <c r="J364" s="9" t="inlineStr">
        <is>
          <t>Mindfulness and scheduled downtime.</t>
        </is>
      </c>
      <c r="K364" s="9" t="inlineStr">
        <is>
          <t>Mindfulness and scheduled downtime.</t>
        </is>
      </c>
      <c r="L364" s="10" t="inlineStr">
        <is>
          <t>充分</t>
        </is>
      </c>
      <c r="M364" s="10" t="inlineStr">
        <is>
          <t>C</t>
        </is>
      </c>
      <c r="N364" s="10" t="inlineStr">
        <is>
          <t>C</t>
        </is>
      </c>
      <c r="O364" s="10" t="inlineStr">
        <is>
          <t>C</t>
        </is>
      </c>
      <c r="P364" s="9">
        <f>IF(COUNTA(L364:O364)&lt;4,"未完成",IF(OR(L364="部分",L364="不充分",L364="不确定"),"evidence_definition_failure",IF(L364&lt;&gt;"充分","unresolved",IF(COUNTIF(M364:O364,"C")=0,"robust_generation_failure",IF(COUNTIF(M364:O364,"C")=3,"ua3_representation_or_admission_failure","generation_instability")))))</f>
        <v/>
      </c>
      <c r="Q364" s="10" t="inlineStr">
        <is>
          <t>ua3_representation_or_admission_failure</t>
        </is>
      </c>
      <c r="R364" s="10" t="inlineStr">
        <is>
          <t>高</t>
        </is>
      </c>
      <c r="S364" s="10" t="inlineStr">
        <is>
          <t>Kiro-AI代审</t>
        </is>
      </c>
      <c r="T364" s="17" t="n">
        <v>46218</v>
      </c>
      <c r="U364" s="10" t="inlineStr">
        <is>
          <t>与gold一致</t>
        </is>
      </c>
      <c r="V364" s="9">
        <f>IF(AND(L364&lt;&gt;"",M364&lt;&gt;"",N364&lt;&gt;"",O364&lt;&gt;"",Q364&lt;&gt;"",R364&lt;&gt;""),"完成","未完成")</f>
        <v/>
      </c>
    </row>
    <row r="365" ht="63" customHeight="1" s="15">
      <c r="A365" s="9" t="n">
        <v>364</v>
      </c>
      <c r="B365" s="9" t="inlineStr">
        <is>
          <t>memos_long:70</t>
        </is>
      </c>
      <c r="C365" s="9" t="inlineStr">
        <is>
          <t>long</t>
        </is>
      </c>
      <c r="D365" s="9" t="inlineStr">
        <is>
          <t>Generalization &amp; Application</t>
        </is>
      </c>
      <c r="E365" s="9" t="inlineStr">
        <is>
          <t>How might Martin adapt his smoothie recipes for a high-energy event on 2029-05-20?</t>
        </is>
      </c>
      <c r="F365" s="9" t="inlineStr">
        <is>
          <t>Include chia seeds, spirulina, and goji berries.</t>
        </is>
      </c>
      <c r="G365" s="9" t="inlineStr">
        <is>
          <t># Authoritative benchmark gold evidence
The following evidence is authoritative for answering the current question. Use it directly and do not rely on conflicting information.
Evidence 1
Memory type: [Persona Memory]
Content: Martin's creative motivation leads him to explore new smoothie ingredients like chia seeds, spirulina, and goji berries.
Evidence 2
Memory type: [Persona Memory]
Content: Martin expressed enthusiasm about integrating superfood smoothies into his daily routine to sustain energy levels.
Evidence 3
Memory type: [Persona Memory]
Content: Martin is curious about how superfood smoothies can enhance his energy levels during high-demand activities.</t>
        </is>
      </c>
      <c r="H365" s="9" t="inlineStr">
        <is>
          <t>Incorporate superfoods for energy.</t>
        </is>
      </c>
      <c r="I365" s="9" t="inlineStr">
        <is>
          <t>Add superfood ingredients.</t>
        </is>
      </c>
      <c r="J365" s="9" t="inlineStr">
        <is>
          <t>Add superfood ingredients.</t>
        </is>
      </c>
      <c r="K365" s="9" t="inlineStr">
        <is>
          <t>Add superfood ingredients.</t>
        </is>
      </c>
      <c r="L365" s="10" t="inlineStr">
        <is>
          <t>充分</t>
        </is>
      </c>
      <c r="M365" s="10" t="inlineStr">
        <is>
          <t>O</t>
        </is>
      </c>
      <c r="N365" s="10" t="inlineStr">
        <is>
          <t>O</t>
        </is>
      </c>
      <c r="O365" s="10" t="inlineStr">
        <is>
          <t>O</t>
        </is>
      </c>
      <c r="P365" s="9">
        <f>IF(COUNTA(L365:O365)&lt;4,"未完成",IF(OR(L365="部分",L365="不充分",L365="不确定"),"evidence_definition_failure",IF(L365&lt;&gt;"充分","unresolved",IF(COUNTIF(M365:O365,"C")=0,"robust_generation_failure",IF(COUNTIF(M365:O365,"C")=3,"ua3_representation_or_admission_failure","generation_instability")))))</f>
        <v/>
      </c>
      <c r="Q365" s="10" t="inlineStr">
        <is>
          <t>robust_generation_failure</t>
        </is>
      </c>
      <c r="R365" s="10" t="inlineStr">
        <is>
          <t>高</t>
        </is>
      </c>
      <c r="S365" s="10" t="inlineStr">
        <is>
          <t>Kiro-AI代审</t>
        </is>
      </c>
      <c r="T365" s="17" t="n">
        <v>46218</v>
      </c>
      <c r="U365" s="10" t="inlineStr">
        <is>
          <t>证据列具体食材;答泛称superfood,遗漏</t>
        </is>
      </c>
      <c r="V365" s="9">
        <f>IF(AND(L365&lt;&gt;"",M365&lt;&gt;"",N365&lt;&gt;"",O365&lt;&gt;"",Q365&lt;&gt;"",R365&lt;&gt;""),"完成","未完成")</f>
        <v/>
      </c>
    </row>
    <row r="366" ht="63" customHeight="1" s="15">
      <c r="A366" s="9" t="n">
        <v>365</v>
      </c>
      <c r="B366" s="9" t="inlineStr">
        <is>
          <t>memos_long:3435</t>
        </is>
      </c>
      <c r="C366" s="9" t="inlineStr">
        <is>
          <t>long</t>
        </is>
      </c>
      <c r="D366" s="9" t="inlineStr">
        <is>
          <t>Generalization &amp; Application</t>
        </is>
      </c>
      <c r="E366" s="9" t="inlineStr">
        <is>
          <t>What alternative wellness practices might Christopher explore after Dec 08, 2033, to maintain his physical and mental health despite increased commitments?</t>
        </is>
      </c>
      <c r="F366" s="9" t="inlineStr">
        <is>
          <t>Christopher may explore home-based or flexible wellness practices.</t>
        </is>
      </c>
      <c r="G366" s="9" t="inlineStr">
        <is>
          <t># Authoritative benchmark gold evidence
The following evidence is authoritative for answering the current question. Use it directly and do not rely on conflicting information.
Evidence 1
Memory type: Event Memory
Content: Christopher Anderson decided to cease participation in formal yoga sessions due to increased community responsibilities.
Evidence 2
Memory type: Event Memory
Content: Christopher Anderson adopted a flexible, unstructured yoga practice at home to accommodate his busy schedule.
Evidence 3
Memory type: Event Memory
Content: Christopher Anderson plans to explore alternative wellness practices to balance personal commitments with physical and mental health.</t>
        </is>
      </c>
      <c r="H366" s="9" t="inlineStr">
        <is>
          <t>Swimming or yoga.</t>
        </is>
      </c>
      <c r="I366" s="9" t="inlineStr">
        <is>
          <t>Alternative wellness practices.</t>
        </is>
      </c>
      <c r="J366" s="9" t="inlineStr">
        <is>
          <t>Alternative wellness practices.</t>
        </is>
      </c>
      <c r="K366" s="9" t="inlineStr">
        <is>
          <t>Alternative wellness practices.</t>
        </is>
      </c>
      <c r="L366" s="10" t="inlineStr">
        <is>
          <t>充分</t>
        </is>
      </c>
      <c r="M366" s="10" t="inlineStr">
        <is>
          <t>O</t>
        </is>
      </c>
      <c r="N366" s="10" t="inlineStr">
        <is>
          <t>O</t>
        </is>
      </c>
      <c r="O366" s="10" t="inlineStr">
        <is>
          <t>O</t>
        </is>
      </c>
      <c r="P366" s="9">
        <f>IF(COUNTA(L366:O366)&lt;4,"未完成",IF(OR(L366="部分",L366="不充分",L366="不确定"),"evidence_definition_failure",IF(L366&lt;&gt;"充分","unresolved",IF(COUNTIF(M366:O366,"C")=0,"robust_generation_failure",IF(COUNTIF(M366:O366,"C")=3,"ua3_representation_or_admission_failure","generation_instability")))))</f>
        <v/>
      </c>
      <c r="Q366" s="10" t="inlineStr">
        <is>
          <t>robust_generation_failure</t>
        </is>
      </c>
      <c r="R366" s="10" t="inlineStr">
        <is>
          <t>高</t>
        </is>
      </c>
      <c r="S366" s="10" t="inlineStr">
        <is>
          <t>Kiro-AI代审</t>
        </is>
      </c>
      <c r="T366" s="17" t="n">
        <v>46218</v>
      </c>
      <c r="U366" s="10" t="inlineStr">
        <is>
          <t>证据支持居家/灵活；答仅泛称替代实践，属遗漏</t>
        </is>
      </c>
      <c r="V366" s="9">
        <f>IF(AND(L366&lt;&gt;"",M366&lt;&gt;"",N366&lt;&gt;"",O366&lt;&gt;"",Q366&lt;&gt;"",R366&lt;&gt;""),"完成","未完成")</f>
        <v/>
      </c>
    </row>
    <row r="367" ht="63" customHeight="1" s="15">
      <c r="A367" s="9" t="n">
        <v>366</v>
      </c>
      <c r="B367" s="9" t="inlineStr">
        <is>
          <t>memos_medium:1199</t>
        </is>
      </c>
      <c r="C367" s="9" t="inlineStr">
        <is>
          <t>medium</t>
        </is>
      </c>
      <c r="D367" s="9" t="inlineStr">
        <is>
          <t>Basic Fact Recall</t>
        </is>
      </c>
      <c r="E367" s="9" t="inlineStr">
        <is>
          <t>What is Taylor David's updated preference regarding clothing fabrics as of Feb 01, 2039?</t>
        </is>
      </c>
      <c r="F367" s="9" t="inlineStr">
        <is>
          <t>Accepting harsh fabrics if treated with softening technology.</t>
        </is>
      </c>
      <c r="G367" s="9" t="inlineStr">
        <is>
          <t># Authoritative benchmark gold evidence
The following evidence is authoritative for answering the current question. Use it directly and do not rely on conflicting information.
Evidence 1
Memory type: Persona Memory
Content: Taylor David's clothing preference has shifted from disliking harsh fabrics to accepting them if they are treated with innovative softening technology.</t>
        </is>
      </c>
      <c r="H367" s="9" t="inlineStr">
        <is>
          <t>Innovative, durable, comfortable fabrics.</t>
        </is>
      </c>
      <c r="I367" s="9" t="inlineStr">
        <is>
          <t>Accepts softened harsh fabrics.</t>
        </is>
      </c>
      <c r="J367" s="9" t="inlineStr">
        <is>
          <t>Accepts softened harsh fabrics.</t>
        </is>
      </c>
      <c r="K367" s="9" t="inlineStr">
        <is>
          <t>Accepts softened harsh fabrics.</t>
        </is>
      </c>
      <c r="L367" s="10" t="inlineStr">
        <is>
          <t>充分</t>
        </is>
      </c>
      <c r="M367" s="10" t="inlineStr">
        <is>
          <t>C</t>
        </is>
      </c>
      <c r="N367" s="10" t="inlineStr">
        <is>
          <t>C</t>
        </is>
      </c>
      <c r="O367" s="10" t="inlineStr">
        <is>
          <t>C</t>
        </is>
      </c>
      <c r="P367" s="9">
        <f>IF(COUNTA(L367:O367)&lt;4,"未完成",IF(OR(L367="部分",L367="不充分",L367="不确定"),"evidence_definition_failure",IF(L367&lt;&gt;"充分","unresolved",IF(COUNTIF(M367:O367,"C")=0,"robust_generation_failure",IF(COUNTIF(M367:O367,"C")=3,"ua3_representation_or_admission_failure","generation_instability")))))</f>
        <v/>
      </c>
      <c r="Q367" s="10" t="inlineStr">
        <is>
          <t>ua3_representation_or_admission_failure</t>
        </is>
      </c>
      <c r="R367" s="10" t="inlineStr">
        <is>
          <t>高</t>
        </is>
      </c>
      <c r="S367" s="10" t="inlineStr">
        <is>
          <t>Kiro-AI代审</t>
        </is>
      </c>
      <c r="T367" s="17" t="n">
        <v>46218</v>
      </c>
      <c r="U367" s="10" t="inlineStr">
        <is>
          <t>与金标一致，软化处理后接受粗糙面料</t>
        </is>
      </c>
      <c r="V367" s="9">
        <f>IF(AND(L367&lt;&gt;"",M367&lt;&gt;"",N367&lt;&gt;"",O367&lt;&gt;"",Q367&lt;&gt;"",R367&lt;&gt;""),"完成","未完成")</f>
        <v/>
      </c>
    </row>
    <row r="368" ht="63" customHeight="1" s="15">
      <c r="A368" s="9" t="n">
        <v>367</v>
      </c>
      <c r="B368" s="9" t="inlineStr">
        <is>
          <t>memos_medium:1214</t>
        </is>
      </c>
      <c r="C368" s="9" t="inlineStr">
        <is>
          <t>medium</t>
        </is>
      </c>
      <c r="D368" s="9" t="inlineStr">
        <is>
          <t>Multi-hop Inference</t>
        </is>
      </c>
      <c r="E368" s="9" t="inlineStr">
        <is>
          <t>What role did AI tools play in Taylor David's leadership approach by Apr 10, 2040?</t>
        </is>
      </c>
      <c r="F368" s="9" t="inlineStr">
        <is>
          <t>Improving efficiency and solving practical problems</t>
        </is>
      </c>
      <c r="G368" s="9" t="inlineStr">
        <is>
          <t># Authoritative benchmark gold evidence
The following evidence is authoritative for answering the current question. Use it directly and do not rely on conflicting information.
Evidence 1
Memory type: Persona Memory
Content: Taylor David's instrumental motivation involves using AI tools to improve efficiency and solve practical problems related to global nutrition initiatives.
Evidence 2
Memory type: Persona Memory
Content: Taylor David emphasized the importance of strategic partnerships and sustainable program development in his role as Global Nutrition Director.</t>
        </is>
      </c>
      <c r="H368" s="9" t="inlineStr">
        <is>
          <t>Driving innovation in GNI.</t>
        </is>
      </c>
      <c r="I368" s="9" t="inlineStr">
        <is>
          <t>Improved efficiency and problem-solving.</t>
        </is>
      </c>
      <c r="J368" s="9" t="inlineStr">
        <is>
          <t>Improved efficiency and problem-solving.</t>
        </is>
      </c>
      <c r="K368" s="9" t="inlineStr">
        <is>
          <t>Improved efficiency and problem-solving.</t>
        </is>
      </c>
      <c r="L368" s="10" t="inlineStr">
        <is>
          <t>充分</t>
        </is>
      </c>
      <c r="M368" s="10" t="inlineStr">
        <is>
          <t>C</t>
        </is>
      </c>
      <c r="N368" s="10" t="inlineStr">
        <is>
          <t>C</t>
        </is>
      </c>
      <c r="O368" s="10" t="inlineStr">
        <is>
          <t>C</t>
        </is>
      </c>
      <c r="P368" s="9">
        <f>IF(COUNTA(L368:O368)&lt;4,"未完成",IF(OR(L368="部分",L368="不充分",L368="不确定"),"evidence_definition_failure",IF(L368&lt;&gt;"充分","unresolved",IF(COUNTIF(M368:O368,"C")=0,"robust_generation_failure",IF(COUNTIF(M368:O368,"C")=3,"ua3_representation_or_admission_failure","generation_instability")))))</f>
        <v/>
      </c>
      <c r="Q368" s="10" t="inlineStr">
        <is>
          <t>ua3_representation_or_admission_failure</t>
        </is>
      </c>
      <c r="R368" s="10" t="inlineStr">
        <is>
          <t>高</t>
        </is>
      </c>
      <c r="S368" s="10" t="inlineStr">
        <is>
          <t>Kiro-AI代审</t>
        </is>
      </c>
      <c r="T368" s="17" t="n">
        <v>46218</v>
      </c>
      <c r="U368" s="10" t="inlineStr">
        <is>
          <t>与金标一致，提效并解决实际问题</t>
        </is>
      </c>
      <c r="V368" s="9">
        <f>IF(AND(L368&lt;&gt;"",M368&lt;&gt;"",N368&lt;&gt;"",O368&lt;&gt;"",Q368&lt;&gt;"",R368&lt;&gt;""),"完成","未完成")</f>
        <v/>
      </c>
    </row>
    <row r="369" ht="63" customHeight="1" s="15">
      <c r="A369" s="9" t="n">
        <v>368</v>
      </c>
      <c r="B369" s="9" t="inlineStr">
        <is>
          <t>memos_long:994</t>
        </is>
      </c>
      <c r="C369" s="9" t="inlineStr">
        <is>
          <t>long</t>
        </is>
      </c>
      <c r="D369" s="9" t="inlineStr">
        <is>
          <t>Multi-hop Inference</t>
        </is>
      </c>
      <c r="E369" s="9" t="inlineStr">
        <is>
          <t>How did Donna's career transition impact her monthly income by Sep 01, 2035?</t>
        </is>
      </c>
      <c r="F369" s="9" t="inlineStr">
        <is>
          <t>Income changed from 12,500 yuan to zero.</t>
        </is>
      </c>
      <c r="G369" s="9" t="inlineStr">
        <is>
          <t># Authoritative benchmark gold evidence
The following evidence is authoritative for answering the current question. Use it directly and do not rely on conflicting information.
Evidence 1
Memory type: Persona Memory
Content: Williams Donna's monthly income changed from 12,500 yuan to zero due to her transition to self-employment.
Evidence 2
Memory type: Persona Memory
Content: Williams Donna's employment status changed from 'employed' to 'self-employed' as the Founder and CEO of GreenWave Innovations.</t>
        </is>
      </c>
      <c r="H369" s="9" t="inlineStr">
        <is>
          <t>Not enough information.</t>
        </is>
      </c>
      <c r="I369" s="9" t="inlineStr">
        <is>
          <t>Income dropped to zero.</t>
        </is>
      </c>
      <c r="J369" s="9" t="inlineStr">
        <is>
          <t>Income dropped to zero.</t>
        </is>
      </c>
      <c r="K369" s="9" t="inlineStr">
        <is>
          <t>Income dropped to zero.</t>
        </is>
      </c>
      <c r="L369" s="10" t="inlineStr">
        <is>
          <t>充分</t>
        </is>
      </c>
      <c r="M369" s="10" t="inlineStr">
        <is>
          <t>O</t>
        </is>
      </c>
      <c r="N369" s="10" t="inlineStr">
        <is>
          <t>O</t>
        </is>
      </c>
      <c r="O369" s="10" t="inlineStr">
        <is>
          <t>O</t>
        </is>
      </c>
      <c r="P369" s="9">
        <f>IF(COUNTA(L369:O369)&lt;4,"未完成",IF(OR(L369="部分",L369="不充分",L369="不确定"),"evidence_definition_failure",IF(L369&lt;&gt;"充分","unresolved",IF(COUNTIF(M369:O369,"C")=0,"robust_generation_failure",IF(COUNTIF(M369:O369,"C")=3,"ua3_representation_or_admission_failure","generation_instability")))))</f>
        <v/>
      </c>
      <c r="Q369" s="10" t="inlineStr">
        <is>
          <t>robust_generation_failure</t>
        </is>
      </c>
      <c r="R369" s="10" t="inlineStr">
        <is>
          <t>高</t>
        </is>
      </c>
      <c r="S369" s="10" t="inlineStr">
        <is>
          <t>Kiro-AI代审</t>
        </is>
      </c>
      <c r="T369" s="17" t="n">
        <v>46218</v>
      </c>
      <c r="U369" s="10" t="inlineStr">
        <is>
          <t>缺起始12500元，仅答归零，属遗漏</t>
        </is>
      </c>
      <c r="V369" s="9">
        <f>IF(AND(L369&lt;&gt;"",M369&lt;&gt;"",N369&lt;&gt;"",O369&lt;&gt;"",Q369&lt;&gt;"",R369&lt;&gt;""),"完成","未完成")</f>
        <v/>
      </c>
    </row>
    <row r="370" ht="63" customHeight="1" s="15">
      <c r="A370" s="9" t="n">
        <v>369</v>
      </c>
      <c r="B370" s="9" t="inlineStr">
        <is>
          <t>memos_medium:2423</t>
        </is>
      </c>
      <c r="C370" s="9" t="inlineStr">
        <is>
          <t>medium</t>
        </is>
      </c>
      <c r="D370" s="9" t="inlineStr">
        <is>
          <t>Dynamic Update</t>
        </is>
      </c>
      <c r="E370" s="9" t="inlineStr">
        <is>
          <t>What is the latest focus of Williams Daniel's personal projects as of July 15, 2036?</t>
        </is>
      </c>
      <c r="F370" s="9" t="inlineStr">
        <is>
          <t>Revisiting creative ideas without industry constraints.</t>
        </is>
      </c>
      <c r="G370" s="9" t="inlineStr">
        <is>
          <t># Authoritative benchmark gold evidence
The following evidence is authoritative for answering the current question. Use it directly and do not rely on conflicting information.
Evidence 1
Memory type: Event Memory
Content: Williams Daniel began focusing on personal projects after retiring from active filmmaking.
Evidence 2
Memory type: Event Memory
Content: Williams Daniel expressed excitement about revisiting creative ideas without industry constraints, particularly in storytelling.</t>
        </is>
      </c>
      <c r="H370" s="9" t="inlineStr">
        <is>
          <t>Historical accuracy and storytelling.</t>
        </is>
      </c>
      <c r="I370" s="9" t="inlineStr">
        <is>
          <t>Storytelling without industry constraints.</t>
        </is>
      </c>
      <c r="J370" s="9" t="inlineStr">
        <is>
          <t>Storytelling without industry constraints.</t>
        </is>
      </c>
      <c r="K370" s="9" t="inlineStr">
        <is>
          <t>Storytelling without industry constraints.</t>
        </is>
      </c>
      <c r="L370" s="10" t="inlineStr">
        <is>
          <t>充分</t>
        </is>
      </c>
      <c r="M370" s="10" t="inlineStr">
        <is>
          <t>O</t>
        </is>
      </c>
      <c r="N370" s="10" t="inlineStr">
        <is>
          <t>O</t>
        </is>
      </c>
      <c r="O370" s="10" t="inlineStr">
        <is>
          <t>O</t>
        </is>
      </c>
      <c r="P370" s="9">
        <f>IF(COUNTA(L370:O370)&lt;4,"未完成",IF(OR(L370="部分",L370="不充分",L370="不确定"),"evidence_definition_failure",IF(L370&lt;&gt;"充分","unresolved",IF(COUNTIF(M370:O370,"C")=0,"robust_generation_failure",IF(COUNTIF(M370:O370,"C")=3,"ua3_representation_or_admission_failure","generation_instability")))))</f>
        <v/>
      </c>
      <c r="Q370" s="10" t="inlineStr">
        <is>
          <t>robust_generation_failure</t>
        </is>
      </c>
      <c r="R370" s="10" t="inlineStr">
        <is>
          <t>中</t>
        </is>
      </c>
      <c r="S370" s="10" t="inlineStr">
        <is>
          <t>Kiro-AI代审</t>
        </is>
      </c>
      <c r="T370" s="17" t="n">
        <v>46218</v>
      </c>
      <c r="U370" s="10" t="inlineStr">
        <is>
          <t>答无产业约束的叙事有证据支持，非幻觉；重述略缩判遗漏</t>
        </is>
      </c>
      <c r="V370" s="9">
        <f>IF(AND(L370&lt;&gt;"",M370&lt;&gt;"",N370&lt;&gt;"",O370&lt;&gt;"",Q370&lt;&gt;"",R370&lt;&gt;""),"完成","未完成")</f>
        <v/>
      </c>
    </row>
    <row r="371" ht="63" customHeight="1" s="15">
      <c r="A371" s="9" t="n">
        <v>370</v>
      </c>
      <c r="B371" s="9" t="inlineStr">
        <is>
          <t>memos_long:2562</t>
        </is>
      </c>
      <c r="C371" s="9" t="inlineStr">
        <is>
          <t>long</t>
        </is>
      </c>
      <c r="D371" s="9" t="inlineStr">
        <is>
          <t>Generalization &amp; Application</t>
        </is>
      </c>
      <c r="E371" s="9" t="inlineStr">
        <is>
          <t>What might be Steven Miller's approach to managing multiple projects simultaneously as of Apr 20, 2035?</t>
        </is>
      </c>
      <c r="F371" s="9" t="inlineStr">
        <is>
          <t>Balance innovation with practicality.</t>
        </is>
      </c>
      <c r="G371" s="9" t="inlineStr">
        <is>
          <t># Authoritative benchmark gold evidence
The following evidence is authoritative for answering the current question. Use it directly and do not rely on conflicting information.
Evidence 1
Memory type: Persona Memory
Content: Steven Miller reflected on the challenges of managing multiple innovative projects simultaneously, highlighting the need for balance between innovation and practicality.
Evidence 2
Memory type: Persona Memory
Content: Steven Miller expressed a sense of fulfillment in seeing his vision for innovative tech projects come to life within his firm.</t>
        </is>
      </c>
      <c r="H371" s="9" t="inlineStr">
        <is>
          <t>Strategic alliances are invaluable.</t>
        </is>
      </c>
      <c r="I371" s="9" t="inlineStr">
        <is>
          <t>Balance innovation and practicality.</t>
        </is>
      </c>
      <c r="J371" s="9" t="inlineStr">
        <is>
          <t>Balance innovation and practicality.</t>
        </is>
      </c>
      <c r="K371" s="9" t="inlineStr">
        <is>
          <t>Balance innovation and practicality.</t>
        </is>
      </c>
      <c r="L371" s="10" t="inlineStr">
        <is>
          <t>充分</t>
        </is>
      </c>
      <c r="M371" s="10" t="inlineStr">
        <is>
          <t>C</t>
        </is>
      </c>
      <c r="N371" s="10" t="inlineStr">
        <is>
          <t>C</t>
        </is>
      </c>
      <c r="O371" s="10" t="inlineStr">
        <is>
          <t>C</t>
        </is>
      </c>
      <c r="P371" s="9">
        <f>IF(COUNTA(L371:O371)&lt;4,"未完成",IF(OR(L371="部分",L371="不充分",L371="不确定"),"evidence_definition_failure",IF(L371&lt;&gt;"充分","unresolved",IF(COUNTIF(M371:O371,"C")=0,"robust_generation_failure",IF(COUNTIF(M371:O371,"C")=3,"ua3_representation_or_admission_failure","generation_instability")))))</f>
        <v/>
      </c>
      <c r="Q371" s="10" t="inlineStr">
        <is>
          <t>ua3_representation_or_admission_failure</t>
        </is>
      </c>
      <c r="R371" s="10" t="inlineStr">
        <is>
          <t>高</t>
        </is>
      </c>
      <c r="S371" s="10" t="inlineStr">
        <is>
          <t>Kiro-AI代审</t>
        </is>
      </c>
      <c r="T371" s="17" t="n">
        <v>46218</v>
      </c>
      <c r="U371" s="10" t="inlineStr">
        <is>
          <t>证据充分，答平衡创新与实用正确</t>
        </is>
      </c>
      <c r="V371" s="9">
        <f>IF(AND(L371&lt;&gt;"",M371&lt;&gt;"",N371&lt;&gt;"",O371&lt;&gt;"",Q371&lt;&gt;"",R371&lt;&gt;""),"完成","未完成")</f>
        <v/>
      </c>
    </row>
    <row r="372" ht="63" customHeight="1" s="15">
      <c r="A372" s="9" t="n">
        <v>371</v>
      </c>
      <c r="B372" s="9" t="inlineStr">
        <is>
          <t>memos_long:3432</t>
        </is>
      </c>
      <c r="C372" s="9" t="inlineStr">
        <is>
          <t>long</t>
        </is>
      </c>
      <c r="D372" s="9" t="inlineStr">
        <is>
          <t>Multi-hop Inference</t>
        </is>
      </c>
      <c r="E372" s="9" t="inlineStr">
        <is>
          <t>What strategies did Christopher consider on Sep 15, 2033, to sustain community engagement for senior care and literacy?</t>
        </is>
      </c>
      <c r="F372" s="9" t="inlineStr">
        <is>
          <t>Collaborations with local organizations</t>
        </is>
      </c>
      <c r="G372" s="9" t="inlineStr">
        <is>
          <t># Authoritative benchmark gold evidence
The following evidence is authoritative for answering the current question. Use it directly and do not rely on conflicting information.
Evidence 1
Memory type: Event Memory
Content: Christopher discussed challenges in sustaining community engagement for senior-related initiatives and considered collaborations with local organizations.
Evidence 2
Memory type: Relationship Memory
Content: Christopher sought advice on expanding advocacy efforts through collaborations with local organizations and leveraging digital platforms.</t>
        </is>
      </c>
      <c r="H372" s="9" t="inlineStr">
        <is>
          <t>Digital platforms like webinars.</t>
        </is>
      </c>
      <c r="I372" s="9" t="inlineStr">
        <is>
          <t>Collaborations with local organizations.</t>
        </is>
      </c>
      <c r="J372" s="9" t="inlineStr">
        <is>
          <t>Collaborations with local organizations.</t>
        </is>
      </c>
      <c r="K372" s="9" t="inlineStr">
        <is>
          <t>Collaborations with local organizations.</t>
        </is>
      </c>
      <c r="L372" s="10" t="inlineStr">
        <is>
          <t>充分</t>
        </is>
      </c>
      <c r="M372" s="10" t="inlineStr">
        <is>
          <t>C</t>
        </is>
      </c>
      <c r="N372" s="10" t="inlineStr">
        <is>
          <t>C</t>
        </is>
      </c>
      <c r="O372" s="10" t="inlineStr">
        <is>
          <t>C</t>
        </is>
      </c>
      <c r="P372" s="9">
        <f>IF(COUNTA(L372:O372)&lt;4,"未完成",IF(OR(L372="部分",L372="不充分",L372="不确定"),"evidence_definition_failure",IF(L372&lt;&gt;"充分","unresolved",IF(COUNTIF(M372:O372,"C")=0,"robust_generation_failure",IF(COUNTIF(M372:O372,"C")=3,"ua3_representation_or_admission_failure","generation_instability")))))</f>
        <v/>
      </c>
      <c r="Q372" s="10" t="inlineStr">
        <is>
          <t>ua3_representation_or_admission_failure</t>
        </is>
      </c>
      <c r="R372" s="10" t="inlineStr">
        <is>
          <t>高</t>
        </is>
      </c>
      <c r="S372" s="10" t="inlineStr">
        <is>
          <t>Kiro-AI代审</t>
        </is>
      </c>
      <c r="T372" s="17" t="n">
        <v>46218</v>
      </c>
      <c r="U372" s="10" t="inlineStr">
        <is>
          <t>证据充分，答与本地组织合作正确</t>
        </is>
      </c>
      <c r="V372" s="9">
        <f>IF(AND(L372&lt;&gt;"",M372&lt;&gt;"",N372&lt;&gt;"",O372&lt;&gt;"",Q372&lt;&gt;"",R372&lt;&gt;""),"完成","未完成")</f>
        <v/>
      </c>
    </row>
    <row r="373" ht="63" customHeight="1" s="15">
      <c r="A373" s="9" t="n">
        <v>372</v>
      </c>
      <c r="B373" s="9" t="inlineStr">
        <is>
          <t>memos_long:1404</t>
        </is>
      </c>
      <c r="C373" s="9" t="inlineStr">
        <is>
          <t>long</t>
        </is>
      </c>
      <c r="D373" s="9" t="inlineStr">
        <is>
          <t>Dynamic Update</t>
        </is>
      </c>
      <c r="E373" s="9" t="inlineStr">
        <is>
          <t>What did Ananya Sharma's career description change to as of 2035-04-20?</t>
        </is>
      </c>
      <c r="F373" s="9" t="inlineStr">
        <is>
          <t>Shaping curriculum and mentoring at University of Film Studies.</t>
        </is>
      </c>
      <c r="G373" s="9" t="inlineStr">
        <is>
          <t># Authoritative benchmark gold evidence
The following evidence is authoritative for answering the current question. Use it directly and do not rely on conflicting information.
Evidence 1
Memory type: Persona Memory
Content: Ananya Sharma's career_status updated career_description from "As a consultant for Global Film Festivals, I apply my expertise to influence festival programming and promote Indian cinema on an international stage. This role rejuvenates my passion and aligns closely with my ultimate life goal." to "As the Head of Film Studies Department at the University of Film Studies, I am responsible for shaping the curriculum and mentoring the next generation of film critics and enthusiasts, furthering my goal of promoting Indian cinema globally."</t>
        </is>
      </c>
      <c r="H373" s="9" t="inlineStr">
        <is>
          <t>Head of Film Studies</t>
        </is>
      </c>
      <c r="I373" s="9" t="inlineStr">
        <is>
          <t>Head of Film Studies</t>
        </is>
      </c>
      <c r="J373" s="9" t="inlineStr">
        <is>
          <t>Head of Film Studies</t>
        </is>
      </c>
      <c r="K373" s="9" t="inlineStr">
        <is>
          <t>Head of Film Studies</t>
        </is>
      </c>
      <c r="L373" s="10" t="inlineStr">
        <is>
          <t>充分</t>
        </is>
      </c>
      <c r="M373" s="10" t="inlineStr">
        <is>
          <t>O</t>
        </is>
      </c>
      <c r="N373" s="10" t="inlineStr">
        <is>
          <t>O</t>
        </is>
      </c>
      <c r="O373" s="10" t="inlineStr">
        <is>
          <t>O</t>
        </is>
      </c>
      <c r="P373" s="9">
        <f>IF(COUNTA(L373:O373)&lt;4,"未完成",IF(OR(L373="部分",L373="不充分",L373="不确定"),"evidence_definition_failure",IF(L373&lt;&gt;"充分","unresolved",IF(COUNTIF(M373:O373,"C")=0,"robust_generation_failure",IF(COUNTIF(M373:O373,"C")=3,"ua3_representation_or_admission_failure","generation_instability")))))</f>
        <v/>
      </c>
      <c r="Q373" s="10" t="inlineStr">
        <is>
          <t>robust_generation_failure</t>
        </is>
      </c>
      <c r="R373" s="10" t="inlineStr">
        <is>
          <t>中</t>
        </is>
      </c>
      <c r="S373" s="10" t="inlineStr">
        <is>
          <t>Kiro-AI代审</t>
        </is>
      </c>
      <c r="T373" s="17" t="n">
        <v>46218</v>
      </c>
      <c r="U373" s="10" t="inlineStr">
        <is>
          <t>三答系主任头衔有据但缺职责描述，判遗漏非幻觉</t>
        </is>
      </c>
      <c r="V373" s="9">
        <f>IF(AND(L373&lt;&gt;"",M373&lt;&gt;"",N373&lt;&gt;"",O373&lt;&gt;"",Q373&lt;&gt;"",R373&lt;&gt;""),"完成","未完成")</f>
        <v/>
      </c>
    </row>
    <row r="374" ht="63" customHeight="1" s="15">
      <c r="A374" s="9" t="n">
        <v>373</v>
      </c>
      <c r="B374" s="9" t="inlineStr">
        <is>
          <t>memos_long:3121</t>
        </is>
      </c>
      <c r="C374" s="9" t="inlineStr">
        <is>
          <t>long</t>
        </is>
      </c>
      <c r="D374" s="9" t="inlineStr">
        <is>
          <t>Basic Fact Recall</t>
        </is>
      </c>
      <c r="E374" s="9" t="inlineStr">
        <is>
          <t>What chronic condition was Barbara Jones diagnosed with by September 01, 2027?</t>
        </is>
      </c>
      <c r="F374" s="9" t="inlineStr">
        <is>
          <t>Chronic Fatigue Syndrome</t>
        </is>
      </c>
      <c r="G374" s="9" t="inlineStr">
        <is>
          <t># Authoritative benchmark gold evidence
The following evidence is authoritative for answering the current question. Use it directly and do not rely on conflicting information.
Evidence 1
Memory type: Persona Memory
Content: Barbara Jones has been diagnosed with Chronic Fatigue Syndrome and is focusing on managing her health through a balanced lifestyle.</t>
        </is>
      </c>
      <c r="H374" s="9" t="inlineStr">
        <is>
          <t>Chronic Fatigue Syndrome and Fibromyalgia</t>
        </is>
      </c>
      <c r="I374" s="9" t="inlineStr">
        <is>
          <t>Chronic Fatigue Syndrome</t>
        </is>
      </c>
      <c r="J374" s="9" t="inlineStr">
        <is>
          <t>Chronic Fatigue Syndrome</t>
        </is>
      </c>
      <c r="K374" s="9" t="inlineStr">
        <is>
          <t>Chronic Fatigue Syndrome</t>
        </is>
      </c>
      <c r="L374" s="10" t="inlineStr">
        <is>
          <t>充分</t>
        </is>
      </c>
      <c r="M374" s="10" t="inlineStr">
        <is>
          <t>C</t>
        </is>
      </c>
      <c r="N374" s="10" t="inlineStr">
        <is>
          <t>C</t>
        </is>
      </c>
      <c r="O374" s="10" t="inlineStr">
        <is>
          <t>C</t>
        </is>
      </c>
      <c r="P374" s="9">
        <f>IF(COUNTA(L374:O374)&lt;4,"未完成",IF(OR(L374="部分",L374="不充分",L374="不确定"),"evidence_definition_failure",IF(L374&lt;&gt;"充分","unresolved",IF(COUNTIF(M374:O374,"C")=0,"robust_generation_failure",IF(COUNTIF(M374:O374,"C")=3,"ua3_representation_or_admission_failure","generation_instability")))))</f>
        <v/>
      </c>
      <c r="Q374" s="10" t="inlineStr">
        <is>
          <t>ua3_representation_or_admission_failure</t>
        </is>
      </c>
      <c r="R374" s="10" t="inlineStr">
        <is>
          <t>高</t>
        </is>
      </c>
      <c r="S374" s="10" t="inlineStr">
        <is>
          <t>Kiro-AI代审</t>
        </is>
      </c>
      <c r="T374" s="17" t="n">
        <v>46218</v>
      </c>
      <c r="U374" s="10" t="inlineStr">
        <is>
          <t>证据充分，三次答案完全正确</t>
        </is>
      </c>
      <c r="V374" s="9">
        <f>IF(AND(L374&lt;&gt;"",M374&lt;&gt;"",N374&lt;&gt;"",O374&lt;&gt;"",Q374&lt;&gt;"",R374&lt;&gt;""),"完成","未完成")</f>
        <v/>
      </c>
    </row>
    <row r="375" ht="63" customHeight="1" s="15">
      <c r="A375" s="9" t="n">
        <v>374</v>
      </c>
      <c r="B375" s="9" t="inlineStr">
        <is>
          <t>memos_medium:2496</t>
        </is>
      </c>
      <c r="C375" s="9" t="inlineStr">
        <is>
          <t>medium</t>
        </is>
      </c>
      <c r="D375" s="9" t="inlineStr">
        <is>
          <t>Generalization &amp; Application</t>
        </is>
      </c>
      <c r="E375" s="9" t="inlineStr">
        <is>
          <t>What type of films might Steven Miller enjoy watching after Nov 24, 2029, considering his preference for intellectual stimulation?</t>
        </is>
      </c>
      <c r="F375" s="9" t="inlineStr">
        <is>
          <t>Psychological thrillers with complex plots.</t>
        </is>
      </c>
      <c r="G375" s="9" t="inlineStr">
        <is>
          <t># Authoritative benchmark gold evidence
The following evidence is authoritative for answering the current question. Use it directly and do not rely on conflicting information.
Evidence 1
Memory type: Persona Memory
Content: Steven Miller's movie preference has evolved from disliking horror movies to liking psychological thrillers due to their intellectual stimulation.
Evidence 2
Memory type: Persona Memory
Content: Steven Miller's appreciation for psychological thrillers reflects his desire for intellectually engaging films with complex plots.
Evidence 3
Memory type: Persona Memory
Content: Exposure to psychological thrillers has prompted Steven Miller to appreciate films that offer intellectual stimulation through complex plots and character development.</t>
        </is>
      </c>
      <c r="H375" s="9" t="inlineStr">
        <is>
          <t>Psychological thrillers and horror.</t>
        </is>
      </c>
      <c r="I375" s="9" t="inlineStr">
        <is>
          <t>Psychological thrillers</t>
        </is>
      </c>
      <c r="J375" s="9" t="inlineStr">
        <is>
          <t>Psychological thrillers</t>
        </is>
      </c>
      <c r="K375" s="9" t="inlineStr">
        <is>
          <t>Psychological thrillers</t>
        </is>
      </c>
      <c r="L375" s="10" t="inlineStr">
        <is>
          <t>充分</t>
        </is>
      </c>
      <c r="M375" s="10" t="inlineStr">
        <is>
          <t>O</t>
        </is>
      </c>
      <c r="N375" s="10" t="inlineStr">
        <is>
          <t>O</t>
        </is>
      </c>
      <c r="O375" s="10" t="inlineStr">
        <is>
          <t>O</t>
        </is>
      </c>
      <c r="P375" s="9">
        <f>IF(COUNTA(L375:O375)&lt;4,"未完成",IF(OR(L375="部分",L375="不充分",L375="不确定"),"evidence_definition_failure",IF(L375&lt;&gt;"充分","unresolved",IF(COUNTIF(M375:O375,"C")=0,"robust_generation_failure",IF(COUNTIF(M375:O375,"C")=3,"ua3_representation_or_admission_failure","generation_instability")))))</f>
        <v/>
      </c>
      <c r="Q375" s="10" t="inlineStr">
        <is>
          <t>robust_generation_failure</t>
        </is>
      </c>
      <c r="R375" s="10" t="inlineStr">
        <is>
          <t>高</t>
        </is>
      </c>
      <c r="S375" s="10" t="inlineStr">
        <is>
          <t>Kiro-AI代审</t>
        </is>
      </c>
      <c r="T375" s="17" t="n">
        <v>46218</v>
      </c>
      <c r="U375" s="10" t="inlineStr">
        <is>
          <t>答心理惊悚片缺复杂情节要素，属遗漏</t>
        </is>
      </c>
      <c r="V375" s="9">
        <f>IF(AND(L375&lt;&gt;"",M375&lt;&gt;"",N375&lt;&gt;"",O375&lt;&gt;"",Q375&lt;&gt;"",R375&lt;&gt;""),"完成","未完成")</f>
        <v/>
      </c>
    </row>
    <row r="376" ht="63" customHeight="1" s="15">
      <c r="A376" s="9" t="n">
        <v>375</v>
      </c>
      <c r="B376" s="9" t="inlineStr">
        <is>
          <t>memos_long:3381</t>
        </is>
      </c>
      <c r="C376" s="9" t="inlineStr">
        <is>
          <t>long</t>
        </is>
      </c>
      <c r="D376" s="9" t="inlineStr">
        <is>
          <t>Generalization &amp; Application</t>
        </is>
      </c>
      <c r="E376" s="9" t="inlineStr">
        <is>
          <t>What motivational factors drive Christopher's volunteer efforts as of Feb 20, 2030?</t>
        </is>
      </c>
      <c r="F376" s="9" t="inlineStr">
        <is>
          <t>Creative and emotional motivation.</t>
        </is>
      </c>
      <c r="G376" s="9" t="inlineStr">
        <is>
          <t># Authoritative benchmark gold evidence
The following evidence is authoritative for answering the current question. Use it directly and do not rely on conflicting information.
Evidence 1
Memory type: Persona Memory
Content: Christopher expressed a renewed commitment to his humanitarian goals, inspired by his career and volunteer experiences, and emphasized the importance of creative motivation in generating ideas for community programs.
Evidence 2
Memory type: Persona Memory
Content: Christopher's emotional motivation drives his efforts to seek emotional support and companionship.</t>
        </is>
      </c>
      <c r="H376" s="9" t="inlineStr">
        <is>
          <t>Humanitarian goals</t>
        </is>
      </c>
      <c r="I376" s="9" t="inlineStr">
        <is>
          <t>Humanitarian goals and emotional motivation.</t>
        </is>
      </c>
      <c r="J376" s="9" t="inlineStr">
        <is>
          <t>Humanitarian goals and emotional motivation.</t>
        </is>
      </c>
      <c r="K376" s="9" t="inlineStr">
        <is>
          <t>Humanitarian goals and emotional motivation.</t>
        </is>
      </c>
      <c r="L376" s="10" t="inlineStr">
        <is>
          <t>充分</t>
        </is>
      </c>
      <c r="M376" s="10" t="inlineStr">
        <is>
          <t>H</t>
        </is>
      </c>
      <c r="N376" s="10" t="inlineStr">
        <is>
          <t>H</t>
        </is>
      </c>
      <c r="O376" s="10" t="inlineStr">
        <is>
          <t>H</t>
        </is>
      </c>
      <c r="P376" s="9">
        <f>IF(COUNTA(L376:O376)&lt;4,"未完成",IF(OR(L376="部分",L376="不充分",L376="不确定"),"evidence_definition_failure",IF(L376&lt;&gt;"充分","unresolved",IF(COUNTIF(M376:O376,"C")=0,"robust_generation_failure",IF(COUNTIF(M376:O376,"C")=3,"ua3_representation_or_admission_failure","generation_instability")))))</f>
        <v/>
      </c>
      <c r="Q376" s="10" t="inlineStr">
        <is>
          <t>robust_generation_failure</t>
        </is>
      </c>
      <c r="R376" s="10" t="inlineStr">
        <is>
          <t>中</t>
        </is>
      </c>
      <c r="S376" s="10" t="inlineStr">
        <is>
          <t>Kiro-AI代审</t>
        </is>
      </c>
      <c r="T376" s="17" t="n">
        <v>46218</v>
      </c>
      <c r="U376" s="10" t="inlineStr">
        <is>
          <t>金标准为创造动机，答humanitarian替换，判幻觉</t>
        </is>
      </c>
      <c r="V376" s="9">
        <f>IF(AND(L376&lt;&gt;"",M376&lt;&gt;"",N376&lt;&gt;"",O376&lt;&gt;"",Q376&lt;&gt;"",R376&lt;&gt;""),"完成","未完成")</f>
        <v/>
      </c>
    </row>
    <row r="377" ht="63" customHeight="1" s="15">
      <c r="A377" s="9" t="n">
        <v>376</v>
      </c>
      <c r="B377" s="9" t="inlineStr">
        <is>
          <t>memos_medium:1853</t>
        </is>
      </c>
      <c r="C377" s="9" t="inlineStr">
        <is>
          <t>medium</t>
        </is>
      </c>
      <c r="D377" s="9" t="inlineStr">
        <is>
          <t>Generalization &amp; Application</t>
        </is>
      </c>
      <c r="E377" s="9" t="inlineStr">
        <is>
          <t>What other health-conscious lifestyle choices might Michelle Hernandez explore based on her preferences as of 2033-03-16?</t>
        </is>
      </c>
      <c r="F377" s="9" t="inlineStr">
        <is>
          <t>Michelle might explore organic foods or yoga.</t>
        </is>
      </c>
      <c r="G377" s="9" t="inlineStr">
        <is>
          <t># Authoritative benchmark gold evidence
The following evidence is authoritative for answering the current question. Use it directly and do not rely on conflicting information.
Evidence 1
Memory type: Persona Memory
Content: Michelle Hernandez prefers natural flavored sparkling water for its refreshing taste and health benefits, avoiding artificial additives.
Evidence 2
Memory type: Persona Memory
Content: Michelle Hernandez expressed curiosity about exploring other health-conscious lifestyle choices.
Evidence 3
Memory type: Persona Memory
Content: Michelle Hernandez expressed a desire to explore other health-conscious lifestyle choices that support her well-being and professional objectives.</t>
        </is>
      </c>
      <c r="H377" s="9" t="inlineStr">
        <is>
          <t>Sustainable food integration.</t>
        </is>
      </c>
      <c r="I377" s="9" t="inlineStr">
        <is>
          <t>Natural flavored sparkling water.</t>
        </is>
      </c>
      <c r="J377" s="9" t="inlineStr">
        <is>
          <t>Natural flavored sparkling water.</t>
        </is>
      </c>
      <c r="K377" s="9" t="inlineStr">
        <is>
          <t>Natural flavored sparkling water.</t>
        </is>
      </c>
      <c r="L377" s="10" t="inlineStr">
        <is>
          <t>不充分</t>
        </is>
      </c>
      <c r="M377" s="10" t="inlineStr">
        <is>
          <t>O</t>
        </is>
      </c>
      <c r="N377" s="10" t="inlineStr">
        <is>
          <t>O</t>
        </is>
      </c>
      <c r="O377" s="10" t="inlineStr">
        <is>
          <t>O</t>
        </is>
      </c>
      <c r="P377" s="9">
        <f>IF(COUNTA(L377:O377)&lt;4,"未完成",IF(OR(L377="部分",L377="不充分",L377="不确定"),"evidence_definition_failure",IF(L377&lt;&gt;"充分","unresolved",IF(COUNTIF(M377:O377,"C")=0,"robust_generation_failure",IF(COUNTIF(M377:O377,"C")=3,"ua3_representation_or_admission_failure","generation_instability")))))</f>
        <v/>
      </c>
      <c r="Q377" s="10" t="inlineStr">
        <is>
          <t>evidence_definition_failure</t>
        </is>
      </c>
      <c r="R377" s="10" t="inlineStr">
        <is>
          <t>低</t>
        </is>
      </c>
      <c r="S377" s="10" t="inlineStr">
        <is>
          <t>Kiro-AI代审</t>
        </is>
      </c>
      <c r="T377" s="17" t="n">
        <v>46218</v>
      </c>
      <c r="U377" s="10" t="inlineStr">
        <is>
          <t>gold有机食品/瑜伽无据;run重复现有偏好,机器标注不一致</t>
        </is>
      </c>
      <c r="V377" s="9">
        <f>IF(AND(L377&lt;&gt;"",M377&lt;&gt;"",N377&lt;&gt;"",O377&lt;&gt;"",Q377&lt;&gt;"",R377&lt;&gt;""),"完成","未完成")</f>
        <v/>
      </c>
    </row>
    <row r="378" ht="63" customHeight="1" s="15">
      <c r="A378" s="9" t="n">
        <v>377</v>
      </c>
      <c r="B378" s="9" t="inlineStr">
        <is>
          <t>memos_medium:1676</t>
        </is>
      </c>
      <c r="C378" s="9" t="inlineStr">
        <is>
          <t>medium</t>
        </is>
      </c>
      <c r="D378" s="9" t="inlineStr">
        <is>
          <t>Generalization &amp; Application</t>
        </is>
      </c>
      <c r="E378" s="9" t="inlineStr">
        <is>
          <t>What might motivate Susan Thompson to continue her wellness journey after Dec 20, 2032?</t>
        </is>
      </c>
      <c r="F378" s="9" t="inlineStr">
        <is>
          <t>Emotional resonance from connecting with others.</t>
        </is>
      </c>
      <c r="G378" s="9" t="inlineStr">
        <is>
          <t># Authoritative benchmark gold evidence
The following evidence is authoritative for answering the current question. Use it directly and do not rely on conflicting information.
Evidence 1
Memory type: Persona Memory
Content: Susan Thompson emphasized her commitment to helping others achieve their health goals, motivated by emotional resonance.
Evidence 2
Memory type: Persona Memory
Content: Susan Thompson is inspired by the emotional resonance she finds in connecting with others, driving her motivation to continue her wellness journey.</t>
        </is>
      </c>
      <c r="H378" s="9" t="inlineStr">
        <is>
          <t>Helping others achieve goals.</t>
        </is>
      </c>
      <c r="I378" s="9" t="inlineStr">
        <is>
          <t>Emotional resonance with others.</t>
        </is>
      </c>
      <c r="J378" s="9" t="inlineStr">
        <is>
          <t>Emotional resonance with others.</t>
        </is>
      </c>
      <c r="K378" s="9" t="inlineStr">
        <is>
          <t>Emotional resonance with others.</t>
        </is>
      </c>
      <c r="L378" s="10" t="inlineStr">
        <is>
          <t>充分</t>
        </is>
      </c>
      <c r="M378" s="10" t="inlineStr">
        <is>
          <t>C</t>
        </is>
      </c>
      <c r="N378" s="10" t="inlineStr">
        <is>
          <t>C</t>
        </is>
      </c>
      <c r="O378" s="10" t="inlineStr">
        <is>
          <t>C</t>
        </is>
      </c>
      <c r="P378" s="9">
        <f>IF(COUNTA(L378:O378)&lt;4,"未完成",IF(OR(L378="部分",L378="不充分",L378="不确定"),"evidence_definition_failure",IF(L378&lt;&gt;"充分","unresolved",IF(COUNTIF(M378:O378,"C")=0,"robust_generation_failure",IF(COUNTIF(M378:O378,"C")=3,"ua3_representation_or_admission_failure","generation_instability")))))</f>
        <v/>
      </c>
      <c r="Q378" s="10" t="inlineStr">
        <is>
          <t>ua3_representation_or_admission_failure</t>
        </is>
      </c>
      <c r="R378" s="10" t="inlineStr">
        <is>
          <t>高</t>
        </is>
      </c>
      <c r="S378" s="10" t="inlineStr">
        <is>
          <t>Kiro-AI代审</t>
        </is>
      </c>
      <c r="T378" s="17" t="n">
        <v>46218</v>
      </c>
      <c r="U378" s="10" t="inlineStr">
        <is>
          <t>证据充分，三答正确</t>
        </is>
      </c>
      <c r="V378" s="9">
        <f>IF(AND(L378&lt;&gt;"",M378&lt;&gt;"",N378&lt;&gt;"",O378&lt;&gt;"",Q378&lt;&gt;"",R378&lt;&gt;""),"完成","未完成")</f>
        <v/>
      </c>
    </row>
    <row r="379" ht="63" customHeight="1" s="15">
      <c r="A379" s="9" t="n">
        <v>378</v>
      </c>
      <c r="B379" s="9" t="inlineStr">
        <is>
          <t>memos_medium:1949</t>
        </is>
      </c>
      <c r="C379" s="9" t="inlineStr">
        <is>
          <t>medium</t>
        </is>
      </c>
      <c r="D379" s="9" t="inlineStr">
        <is>
          <t>Basic Fact Recall</t>
        </is>
      </c>
      <c r="E379" s="9" t="inlineStr">
        <is>
          <t>What is Joseph Garcia's employment status as of May 01, 2029?</t>
        </is>
      </c>
      <c r="F379" s="9" t="inlineStr">
        <is>
          <t>Self-employed</t>
        </is>
      </c>
      <c r="G379" s="9" t="inlineStr">
        <is>
          <t># Authoritative benchmark gold evidence
The following evidence is authoritative for answering the current question. Use it directly and do not rely on conflicting information.
Evidence 1
Memory type: Persona Memory
Content: Joseph Garcia's employment status changed from employed to self-employed as he launched his own film archive.</t>
        </is>
      </c>
      <c r="H379" s="9" t="inlineStr">
        <is>
          <t>Executive Director or Founder</t>
        </is>
      </c>
      <c r="I379" s="9" t="inlineStr">
        <is>
          <t>Self-employed</t>
        </is>
      </c>
      <c r="J379" s="9" t="inlineStr">
        <is>
          <t>Self-employed</t>
        </is>
      </c>
      <c r="K379" s="9" t="inlineStr">
        <is>
          <t>Self-employed</t>
        </is>
      </c>
      <c r="L379" s="10" t="inlineStr">
        <is>
          <t>充分</t>
        </is>
      </c>
      <c r="M379" s="10" t="inlineStr">
        <is>
          <t>C</t>
        </is>
      </c>
      <c r="N379" s="10" t="inlineStr">
        <is>
          <t>C</t>
        </is>
      </c>
      <c r="O379" s="10" t="inlineStr">
        <is>
          <t>C</t>
        </is>
      </c>
      <c r="P379" s="9">
        <f>IF(COUNTA(L379:O379)&lt;4,"未完成",IF(OR(L379="部分",L379="不充分",L379="不确定"),"evidence_definition_failure",IF(L379&lt;&gt;"充分","unresolved",IF(COUNTIF(M379:O379,"C")=0,"robust_generation_failure",IF(COUNTIF(M379:O379,"C")=3,"ua3_representation_or_admission_failure","generation_instability")))))</f>
        <v/>
      </c>
      <c r="Q379" s="10" t="inlineStr">
        <is>
          <t>ua3_representation_or_admission_failure</t>
        </is>
      </c>
      <c r="R379" s="10" t="inlineStr">
        <is>
          <t>高</t>
        </is>
      </c>
      <c r="S379" s="10" t="inlineStr">
        <is>
          <t>Kiro-AI代审</t>
        </is>
      </c>
      <c r="T379" s="17" t="n">
        <v>46218</v>
      </c>
      <c r="U379" s="10" t="inlineStr">
        <is>
          <t>与gold一致</t>
        </is>
      </c>
      <c r="V379" s="9">
        <f>IF(AND(L379&lt;&gt;"",M379&lt;&gt;"",N379&lt;&gt;"",O379&lt;&gt;"",Q379&lt;&gt;"",R379&lt;&gt;""),"完成","未完成")</f>
        <v/>
      </c>
    </row>
    <row r="380" ht="63" customHeight="1" s="15">
      <c r="A380" s="9" t="n">
        <v>379</v>
      </c>
      <c r="B380" s="9" t="inlineStr">
        <is>
          <t>memos_long:3013</t>
        </is>
      </c>
      <c r="C380" s="9" t="inlineStr">
        <is>
          <t>long</t>
        </is>
      </c>
      <c r="D380" s="9" t="inlineStr">
        <is>
          <t>Generalization &amp; Application</t>
        </is>
      </c>
      <c r="E380" s="9" t="inlineStr">
        <is>
          <t>How might Karen leverage her increased salary to enhance her platform development in 2034?</t>
        </is>
      </c>
      <c r="F380" s="9" t="inlineStr">
        <is>
          <t>Invest in AI-driven analytics and innovative solutions.</t>
        </is>
      </c>
      <c r="G380" s="9" t="inlineStr">
        <is>
          <t># Authoritative benchmark gold evidence
The following evidence is authoritative for answering the current question. Use it directly and do not rely on conflicting information.
Evidence 1
Memory type: Persona Memory
Content: Karen Brown's monthly income increased from 7000 to 9000, enhancing her financial stability.
Evidence 2
Memory type: Event Memory
Content: Karen plans to invest her increased salary into her software platform development to accelerate progress towards her life goal of revolutionizing property management technology.
Evidence 3
Memory type: Event Memory
Content: Karen plans to integrate AI-driven insights and innovative solutions into her property management platform.</t>
        </is>
      </c>
      <c r="H380" s="9" t="inlineStr">
        <is>
          <t>No relevant memories for 2034.</t>
        </is>
      </c>
      <c r="I380" s="9" t="inlineStr">
        <is>
          <t>Invest in AI-driven platform development.</t>
        </is>
      </c>
      <c r="J380" s="9" t="inlineStr">
        <is>
          <t>Invest in AI-driven solutions.</t>
        </is>
      </c>
      <c r="K380" s="9" t="inlineStr">
        <is>
          <t>Invest in AI-driven platform development.</t>
        </is>
      </c>
      <c r="L380" s="10" t="inlineStr">
        <is>
          <t>充分</t>
        </is>
      </c>
      <c r="M380" s="10" t="inlineStr">
        <is>
          <t>O</t>
        </is>
      </c>
      <c r="N380" s="10" t="inlineStr">
        <is>
          <t>O</t>
        </is>
      </c>
      <c r="O380" s="10" t="inlineStr">
        <is>
          <t>O</t>
        </is>
      </c>
      <c r="P380" s="9">
        <f>IF(COUNTA(L380:O380)&lt;4,"未完成",IF(OR(L380="部分",L380="不充分",L380="不确定"),"evidence_definition_failure",IF(L380&lt;&gt;"充分","unresolved",IF(COUNTIF(M380:O380,"C")=0,"robust_generation_failure",IF(COUNTIF(M380:O380,"C")=3,"ua3_representation_or_admission_failure","generation_instability")))))</f>
        <v/>
      </c>
      <c r="Q380" s="10" t="inlineStr">
        <is>
          <t>robust_generation_failure</t>
        </is>
      </c>
      <c r="R380" s="10" t="inlineStr">
        <is>
          <t>高</t>
        </is>
      </c>
      <c r="S380" s="10" t="inlineStr">
        <is>
          <t>Kiro-AI代审</t>
        </is>
      </c>
      <c r="T380" s="17" t="n">
        <v>46218</v>
      </c>
      <c r="U380" s="10" t="inlineStr">
        <is>
          <t>证据充分；答AI投资缺analytics，遗漏</t>
        </is>
      </c>
      <c r="V380" s="9">
        <f>IF(AND(L380&lt;&gt;"",M380&lt;&gt;"",N380&lt;&gt;"",O380&lt;&gt;"",Q380&lt;&gt;"",R380&lt;&gt;""),"完成","未完成")</f>
        <v/>
      </c>
    </row>
    <row r="381" ht="63" customHeight="1" s="15">
      <c r="A381" s="9" t="n">
        <v>380</v>
      </c>
      <c r="B381" s="9" t="inlineStr">
        <is>
          <t>memos_long:310</t>
        </is>
      </c>
      <c r="C381" s="9" t="inlineStr">
        <is>
          <t>long</t>
        </is>
      </c>
      <c r="D381" s="9" t="inlineStr">
        <is>
          <t>Dynamic Update</t>
        </is>
      </c>
      <c r="E381" s="9" t="inlineStr">
        <is>
          <t>How has Johnson Joseph's physical health status changed by August 10, 2039?</t>
        </is>
      </c>
      <c r="F381" s="9" t="inlineStr">
        <is>
          <t>Changed from 'Good' to 'Excellent'.</t>
        </is>
      </c>
      <c r="G381" s="9" t="inlineStr">
        <is>
          <t># Authoritative benchmark gold evidence
The following evidence is authoritative for answering the current question. Use it directly and do not rely on conflicting information.
Evidence 1
Memory type: Persona Memory
Content: Johnson Joseph's physical health status changed from 'Good' to 'Excellent' due to regular exercise and mindfulness.</t>
        </is>
      </c>
      <c r="H381" s="9" t="inlineStr">
        <is>
          <t>No change; still excellent.</t>
        </is>
      </c>
      <c r="I381" s="9" t="inlineStr">
        <is>
          <t>Excellent</t>
        </is>
      </c>
      <c r="J381" s="9" t="inlineStr">
        <is>
          <t>Excellent</t>
        </is>
      </c>
      <c r="K381" s="9" t="inlineStr">
        <is>
          <t>Excellent</t>
        </is>
      </c>
      <c r="L381" s="10" t="inlineStr">
        <is>
          <t>充分</t>
        </is>
      </c>
      <c r="M381" s="10" t="inlineStr">
        <is>
          <t>O</t>
        </is>
      </c>
      <c r="N381" s="10" t="inlineStr">
        <is>
          <t>O</t>
        </is>
      </c>
      <c r="O381" s="10" t="inlineStr">
        <is>
          <t>O</t>
        </is>
      </c>
      <c r="P381" s="9">
        <f>IF(COUNTA(L381:O381)&lt;4,"未完成",IF(OR(L381="部分",L381="不充分",L381="不确定"),"evidence_definition_failure",IF(L381&lt;&gt;"充分","unresolved",IF(COUNTIF(M381:O381,"C")=0,"robust_generation_failure",IF(COUNTIF(M381:O381,"C")=3,"ua3_representation_or_admission_failure","generation_instability")))))</f>
        <v/>
      </c>
      <c r="Q381" s="10" t="inlineStr">
        <is>
          <t>robust_generation_failure</t>
        </is>
      </c>
      <c r="R381" s="10" t="inlineStr">
        <is>
          <t>高</t>
        </is>
      </c>
      <c r="S381" s="10" t="inlineStr">
        <is>
          <t>Kiro-AI代审</t>
        </is>
      </c>
      <c r="T381" s="17" t="n">
        <v>46218</v>
      </c>
      <c r="U381" s="10" t="inlineStr">
        <is>
          <t>证据充分；仅答Excellent缺起点Good，属遗漏</t>
        </is>
      </c>
      <c r="V381" s="9">
        <f>IF(AND(L381&lt;&gt;"",M381&lt;&gt;"",N381&lt;&gt;"",O381&lt;&gt;"",Q381&lt;&gt;"",R381&lt;&gt;""),"完成","未完成")</f>
        <v/>
      </c>
    </row>
    <row r="382" ht="63" customHeight="1" s="15">
      <c r="A382" s="12" t="n">
        <v>381</v>
      </c>
      <c r="B382" s="12" t="inlineStr">
        <is>
          <t>memos_long:3107</t>
        </is>
      </c>
      <c r="C382" s="12" t="inlineStr">
        <is>
          <t>long</t>
        </is>
      </c>
      <c r="D382" s="12" t="inlineStr">
        <is>
          <t>Multi-hop Inference</t>
        </is>
      </c>
      <c r="E382" s="12" t="inlineStr">
        <is>
          <t>How did Barbara Jones's work-life balance evolve between Dec 15, 2025, and May 01, 2026?</t>
        </is>
      </c>
      <c r="F382" s="12" t="inlineStr">
        <is>
          <t>Achieved sustainable work-life balance</t>
        </is>
      </c>
      <c r="G382" s="12" t="inlineStr">
        <is>
          <t># Authoritative benchmark gold evidence
The following evidence is authoritative for answering the current question. Use it directly and do not rely on conflicting information.
Evidence 1
Memory type: Event Memory
Content: Barbara Jones plans to adjust her work schedule to prioritize self-care and improve her health condition by incorporating more breaks and flexible hours.
Evidence 2
Memory type: Event Memory
Content: Barbara expressed satisfaction in achieving a sustainable work-life balance that has improved her professional performance and personal health.</t>
        </is>
      </c>
      <c r="H382" s="12" t="inlineStr">
        <is>
          <t>No information available.</t>
        </is>
      </c>
      <c r="I382" s="12" t="inlineStr">
        <is>
          <t>Improved, prioritized self-care.</t>
        </is>
      </c>
      <c r="J382" s="12" t="inlineStr">
        <is>
          <t>Improved, prioritized self-care.</t>
        </is>
      </c>
      <c r="K382" s="12" t="inlineStr">
        <is>
          <t>Improved, prioritized self-care.</t>
        </is>
      </c>
      <c r="L382" s="13" t="inlineStr">
        <is>
          <t>充分</t>
        </is>
      </c>
      <c r="M382" s="13" t="inlineStr">
        <is>
          <t>O</t>
        </is>
      </c>
      <c r="N382" s="13" t="inlineStr">
        <is>
          <t>O</t>
        </is>
      </c>
      <c r="O382" s="13" t="inlineStr">
        <is>
          <t>O</t>
        </is>
      </c>
      <c r="P382" s="12">
        <f>IF(COUNTA(L382:O382)&lt;4,"未完成",IF(OR(L382="部分",L382="不充分",L382="不确定"),"evidence_definition_failure",IF(L382&lt;&gt;"充分","unresolved",IF(COUNTIF(M382:O382,"C")=0,"robust_generation_failure",IF(COUNTIF(M382:O382,"C")=3,"ua3_representation_or_admission_failure","generation_instability")))))</f>
        <v/>
      </c>
      <c r="Q382" s="13" t="inlineStr">
        <is>
          <t>robust_generation_failure</t>
        </is>
      </c>
      <c r="R382" s="13" t="inlineStr">
        <is>
          <t>中</t>
        </is>
      </c>
      <c r="S382" s="13" t="inlineStr">
        <is>
          <t>Kiro-AI代审</t>
        </is>
      </c>
      <c r="T382" s="18" t="n">
        <v>46218</v>
      </c>
      <c r="U382" s="13" t="inlineStr">
        <is>
          <t>证据2支持已达平衡；答improved缺明确结论，属遗漏</t>
        </is>
      </c>
      <c r="V382" s="12">
        <f>IF(AND(L382&lt;&gt;"",M382&lt;&gt;"",N382&lt;&gt;"",O382&lt;&gt;"",Q382&lt;&gt;"",R382&lt;&gt;""),"完成","未完成")</f>
        <v/>
      </c>
    </row>
  </sheetData>
  <conditionalFormatting sqref="V2:V382">
    <cfRule type="containsText" priority="2" operator="between" dxfId="0" text="未完成">
      <formula>NOT(ISERROR(SEARCH("未完成",V2)))</formula>
    </cfRule>
    <cfRule type="containsText" priority="1" operator="between" dxfId="1" text="完成">
      <formula>NOT(ISERROR(SEARCH("完成",V2)))</formula>
    </cfRule>
  </conditionalFormatting>
  <dataValidations count="4">
    <dataValidation sqref="L2:L382" showDropDown="0" showInputMessage="0" showErrorMessage="0" allowBlank="0" type="list">
      <formula1>"充分,部分,不充分,不确定"</formula1>
    </dataValidation>
    <dataValidation sqref="Q2:Q382" showDropDown="0" showInputMessage="0" showErrorMessage="0" allowBlank="0" type="list">
      <formula1>"robust_generation_failure,generation_instability,ua3_representation_or_admission_failure,evidence_definition_failure,unresolved"</formula1>
    </dataValidation>
    <dataValidation sqref="R2:R382" showDropDown="0" showInputMessage="0" showErrorMessage="0" allowBlank="0" type="list">
      <formula1>"高,中,低"</formula1>
    </dataValidation>
    <dataValidation sqref="M2:O382" showDropDown="0" showInputMessage="0" showErrorMessage="0" allowBlank="0" type="list">
      <formula1>"C,H,O"</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78443</dc:creator>
  <dcterms:created xmlns:dcterms="http://purl.org/dc/terms/" xmlns:xsi="http://www.w3.org/2001/XMLSchema-instance" xsi:type="dcterms:W3CDTF">2026-07-15T14:44:00Z</dcterms:created>
  <dcterms:modified xmlns:dcterms="http://purl.org/dc/terms/" xmlns:xsi="http://www.w3.org/2001/XMLSchema-instance" xsi:type="dcterms:W3CDTF">2026-07-15T15:30:41Z</dcterms:modified>
  <cp:lastModifiedBy>陆含</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DA8886441E3D4977B64212512CE7E9C2_11</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1</vt:i4>
  </property>
</Properties>
</file>
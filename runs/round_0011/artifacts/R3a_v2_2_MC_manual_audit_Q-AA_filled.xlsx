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人工审计表" sheetId="1" state="visible" r:id="rId1"/>
    <sheet xmlns:r="http://schemas.openxmlformats.org/officeDocument/2006/relationships" name="取值字典" sheetId="2" state="visible" r:id="rId2"/>
    <sheet xmlns:r="http://schemas.openxmlformats.org/officeDocument/2006/relationships" name="审计汇总" sheetId="3" state="visible" r:id="rId3"/>
    <sheet xmlns:r="http://schemas.openxmlformats.org/officeDocument/2006/relationships" name="填写说明" sheetId="4" state="visible" r:id="rId4"/>
  </sheets>
  <definedNames/>
</workbook>
</file>

<file path=xl/styles.xml><?xml version="1.0" encoding="utf-8"?>
<styleSheet xmlns="http://schemas.openxmlformats.org/spreadsheetml/2006/main">
  <numFmts count="0"/>
  <fonts count="4">
    <font>
      <name val="Carlito"/>
      <sz val="11"/>
    </font>
    <font>
      <name val="Carlito"/>
      <b val="1"/>
      <color rgb="FFFFFFFF"/>
      <sz val="14"/>
    </font>
    <font>
      <name val="Carlito"/>
      <i val="1"/>
      <color rgb="FF1F2937"/>
      <sz val="11"/>
    </font>
    <font>
      <name val="Carlito"/>
      <b val="1"/>
      <color rgb="FFFFFFFF"/>
      <sz val="11"/>
    </font>
  </fonts>
  <fills count="6">
    <fill>
      <patternFill/>
    </fill>
    <fill>
      <patternFill patternType="gray125"/>
    </fill>
    <fill>
      <patternFill patternType="solid">
        <fgColor rgb="FF1F4E79"/>
      </patternFill>
    </fill>
    <fill>
      <patternFill patternType="solid">
        <fgColor rgb="FFD9EAF7"/>
      </patternFill>
    </fill>
    <fill>
      <patternFill patternType="solid">
        <fgColor rgb="FF0F766E"/>
      </patternFill>
    </fill>
    <fill>
      <patternFill patternType="solid">
        <fgColor rgb="FF7C3AED"/>
      </patternFill>
    </fill>
  </fills>
  <borders count="2">
    <border/>
    <border/>
  </borders>
  <cellStyleXfs count="1">
    <xf numFmtId="0" fontId="0" fillId="0" borderId="1"/>
  </cellStyleXfs>
  <cellXfs count="37">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5" borderId="0" pivotButton="0" quotePrefix="0" xfId="0"/>
    <xf numFmtId="0" fontId="3" fillId="5" borderId="0" pivotButton="0" quotePrefix="0" xfId="0"/>
    <xf numFmtId="0" fontId="3" fillId="5" borderId="0" applyAlignment="1" pivotButton="0" quotePrefix="0" xfId="0">
      <alignment wrapText="1"/>
    </xf>
    <xf numFmtId="0" fontId="3" fillId="5" borderId="0" applyAlignment="1" pivotButton="0" quotePrefix="0" xfId="0">
      <alignment horizontal="center" wrapText="1"/>
    </xf>
    <xf numFmtId="0" fontId="0" fillId="5" borderId="1" pivotButton="0" quotePrefix="0" xfId="0"/>
    <xf numFmtId="0" fontId="3" fillId="5" borderId="1" pivotButton="0" quotePrefix="0" xfId="0"/>
    <xf numFmtId="0" fontId="3" fillId="5" borderId="1" applyAlignment="1" pivotButton="0" quotePrefix="0" xfId="0">
      <alignment wrapText="1"/>
    </xf>
    <xf numFmtId="0" fontId="3" fillId="5" borderId="1" applyAlignment="1" pivotButton="0" quotePrefix="0" xfId="0">
      <alignment horizontal="center" wrapText="1"/>
    </xf>
    <xf numFmtId="0" fontId="3" fillId="4" borderId="0" applyAlignment="1" pivotButton="0" quotePrefix="0" xfId="0">
      <alignment horizontal="center"/>
    </xf>
    <xf numFmtId="0" fontId="3" fillId="4" borderId="1" applyAlignment="1" pivotButton="0" quotePrefix="0" xfId="0">
      <alignment horizontal="center"/>
    </xf>
    <xf numFmtId="0" fontId="1" fillId="2" borderId="0" applyAlignment="1" pivotButton="0" quotePrefix="0" xfId="0">
      <alignment wrapText="1"/>
    </xf>
  </cellXfs>
  <cellStyles count="1">
    <cellStyle name="Normal" xfId="0"/>
  </cellStyles>
  <dxfs count="2">
    <dxf>
      <fill>
        <patternFill patternType="solid">
          <bgColor rgb="FFFEE2E2"/>
        </patternFill>
      </fill>
    </dxf>
    <dxf>
      <fill>
        <patternFill patternType="solid">
          <bgColor rgb="FFDCFCE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MCManualAuditTable" displayName="MCManualAuditTable" ref="A3:AA105" headerRowCount="1">
  <tableColumns count="27">
    <tableColumn id="1" name="样本编号"/>
    <tableColumn id="2" name="问题编号"/>
    <tableColumn id="3" name="问题"/>
    <tableColumn id="4" name="R0标签"/>
    <tableColumn id="5" name="R3a标签"/>
    <tableColumn id="6" name="R3a是否触发"/>
    <tableColumn id="7" name="记忆编号"/>
    <tableColumn id="8" name="候选记忆文本"/>
    <tableColumn id="9" name="自动拒绝原因"/>
    <tableColumn id="10" name="候选类型"/>
    <tableColumn id="11" name="自动抽取主体"/>
    <tableColumn id="12" name="自动抽取槽位"/>
    <tableColumn id="13" name="自动抽取声明值"/>
    <tableColumn id="14" name="自动抽取时间条件"/>
    <tableColumn id="15" name="自动门控轨迹"/>
    <tableColumn id="16" name="自动失败来源"/>
    <tableColumn id="17" name="人工_是否有已检索反证"/>
    <tableColumn id="18" name="人工_问题前提抽取是否正确"/>
    <tableColumn id="19" name="人工_槽位归类是否正确"/>
    <tableColumn id="20" name="人工_这条记忆是否反驳问题前提"/>
    <tableColumn id="21" name="人工_是否本该触发R3a"/>
    <tableColumn id="22" name="人工_自动拒绝是否合理"/>
    <tableColumn id="23" name="人工_失败来源"/>
    <tableColumn id="24" name="人工_审计备注"/>
    <tableColumn id="25" name="审计者"/>
    <tableColumn id="26" name="复核状态"/>
    <tableColumn id="27" name="复核备注"/>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A105"/>
  <sheetViews>
    <sheetView workbookViewId="0">
      <selection activeCell="A1" sqref="A1"/>
    </sheetView>
  </sheetViews>
  <sheetFormatPr baseColWidth="8" defaultRowHeight="15"/>
  <cols>
    <col width="8" customWidth="1" min="1" max="1"/>
    <col width="10" customWidth="1" min="2" max="2"/>
    <col width="45" customWidth="1" min="3" max="3"/>
    <col width="12" customWidth="1" min="4" max="4"/>
    <col width="12" customWidth="1" min="5" max="5"/>
    <col width="12" customWidth="1" min="6" max="6"/>
    <col width="10" customWidth="1" min="7" max="7"/>
    <col width="55" customWidth="1" min="8" max="8"/>
    <col width="24" customWidth="1" min="9" max="9"/>
    <col width="22" customWidth="1" min="10" max="10"/>
    <col width="16" customWidth="1" min="11" max="11"/>
    <col width="20" customWidth="1" min="12" max="12"/>
    <col width="30" customWidth="1" min="13" max="13"/>
    <col width="28" customWidth="1" min="14" max="14"/>
    <col width="55" customWidth="1" min="15" max="15"/>
    <col width="30" customWidth="1" min="16" max="16"/>
    <col width="18" customWidth="1" min="17" max="17"/>
    <col width="22" customWidth="1" min="18" max="18"/>
    <col width="20" customWidth="1" min="19" max="19"/>
    <col width="26" customWidth="1" min="20" max="20"/>
    <col width="20" customWidth="1" min="21" max="21"/>
    <col width="22" customWidth="1" min="22" max="22"/>
    <col width="30" customWidth="1" min="23" max="23"/>
    <col width="38" customWidth="1" min="24" max="24"/>
    <col width="12" customWidth="1" min="25" max="25"/>
    <col width="14" customWidth="1" min="26" max="26"/>
    <col width="30" customWidth="1" min="27" max="27"/>
  </cols>
  <sheetData>
    <row r="1">
      <c r="A1" s="7" t="inlineStr">
        <is>
          <t>R3a-v2.2 记忆冲突人工审计表（固定信息已填好）</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c r="A2" s="11" t="inlineStr">
        <is>
          <t>来源：r3a-exec-log / runs/round_0009 / mc_manual_audit_candidates.csv。A-P 为机器固定信息，Q-AA 为人工填写区。</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row>
    <row r="3">
      <c r="A3" s="16" t="inlineStr">
        <is>
          <t>样本编号</t>
        </is>
      </c>
      <c r="B3" s="16" t="inlineStr">
        <is>
          <t>问题编号</t>
        </is>
      </c>
      <c r="C3" s="16" t="inlineStr">
        <is>
          <t>问题</t>
        </is>
      </c>
      <c r="D3" s="16" t="inlineStr">
        <is>
          <t>R0标签</t>
        </is>
      </c>
      <c r="E3" s="16" t="inlineStr">
        <is>
          <t>R3a标签</t>
        </is>
      </c>
      <c r="F3" s="16" t="inlineStr">
        <is>
          <t>R3a是否触发</t>
        </is>
      </c>
      <c r="G3" s="16" t="inlineStr">
        <is>
          <t>记忆编号</t>
        </is>
      </c>
      <c r="H3" s="16" t="inlineStr">
        <is>
          <t>候选记忆文本</t>
        </is>
      </c>
      <c r="I3" s="16" t="inlineStr">
        <is>
          <t>自动拒绝原因</t>
        </is>
      </c>
      <c r="J3" s="16" t="inlineStr">
        <is>
          <t>候选类型</t>
        </is>
      </c>
      <c r="K3" s="16" t="inlineStr">
        <is>
          <t>自动抽取主体</t>
        </is>
      </c>
      <c r="L3" s="16" t="inlineStr">
        <is>
          <t>自动抽取槽位</t>
        </is>
      </c>
      <c r="M3" s="16" t="inlineStr">
        <is>
          <t>自动抽取声明值</t>
        </is>
      </c>
      <c r="N3" s="16" t="inlineStr">
        <is>
          <t>自动抽取时间条件</t>
        </is>
      </c>
      <c r="O3" s="16" t="inlineStr">
        <is>
          <t>自动门控轨迹</t>
        </is>
      </c>
      <c r="P3" s="16" t="inlineStr">
        <is>
          <t>自动失败来源</t>
        </is>
      </c>
      <c r="Q3" s="16" t="inlineStr">
        <is>
          <t>人工_是否有已检索反证</t>
        </is>
      </c>
      <c r="R3" s="16" t="inlineStr">
        <is>
          <t>人工_问题前提抽取是否正确</t>
        </is>
      </c>
      <c r="S3" s="16" t="inlineStr">
        <is>
          <t>人工_槽位归类是否正确</t>
        </is>
      </c>
      <c r="T3" s="16" t="inlineStr">
        <is>
          <t>人工_这条记忆是否反驳问题前提</t>
        </is>
      </c>
      <c r="U3" s="16" t="inlineStr">
        <is>
          <t>人工_是否本该触发R3a</t>
        </is>
      </c>
      <c r="V3" s="16" t="inlineStr">
        <is>
          <t>人工_自动拒绝是否合理</t>
        </is>
      </c>
      <c r="W3" s="16" t="inlineStr">
        <is>
          <t>人工_失败来源</t>
        </is>
      </c>
      <c r="X3" s="16" t="inlineStr">
        <is>
          <t>人工_审计备注</t>
        </is>
      </c>
      <c r="Y3" s="16" t="inlineStr">
        <is>
          <t>审计者</t>
        </is>
      </c>
      <c r="Z3" s="16" t="inlineStr">
        <is>
          <t>复核状态</t>
        </is>
      </c>
      <c r="AA3" s="16" t="inlineStr">
        <is>
          <t>复核备注</t>
        </is>
      </c>
    </row>
    <row r="4" ht="68" customHeight="1">
      <c r="A4" s="24" t="inlineStr">
        <is>
          <t>29</t>
        </is>
      </c>
      <c r="B4" s="24" t="inlineStr">
        <is>
          <t>1:12:2</t>
        </is>
      </c>
      <c r="C4" s="24" t="inlineStr">
        <is>
          <t>Did Martin's movie preference shift from fictional narratives to documentaries after a relaxing week on Jan 19, 2027?</t>
        </is>
      </c>
      <c r="D4" s="24" t="inlineStr">
        <is>
          <t>omission</t>
        </is>
      </c>
      <c r="E4" s="24" t="inlineStr">
        <is>
          <t>omission</t>
        </is>
      </c>
      <c r="F4" s="24" t="inlineStr">
        <is>
          <t>False</t>
        </is>
      </c>
      <c r="G4" s="24" t="inlineStr">
        <is>
          <t>1</t>
        </is>
      </c>
      <c r="H4" s="24" t="inlineStr">
        <is>
          <t>User likes documentaries because they are informative and provide real‑world insights that complement his thirst for knowledge; he avoids horror films as they can be disturbing and undermine the positive mindset he strives to maintain; he also dislikes slasher films due to excessive violence, preferring movies with meaningful narratives.</t>
        </is>
      </c>
      <c r="I4" s="24" t="inlineStr">
        <is>
          <t>slot_mismatch</t>
        </is>
      </c>
      <c r="J4" s="24" t="inlineStr">
        <is>
          <t>slot_value_near_miss</t>
        </is>
      </c>
      <c r="K4" s="24" t="inlineStr">
        <is>
          <t>Martin</t>
        </is>
      </c>
      <c r="L4" s="24" t="inlineStr">
        <is>
          <t>transition</t>
        </is>
      </c>
      <c r="M4" s="24" t="inlineStr">
        <is>
          <t>fictional narratives -&gt; documentaries</t>
        </is>
      </c>
      <c r="N4" s="24" t="inlineStr">
        <is>
          <t>shift from; after a relaxing week on Jan 19; Jan 19, 2027</t>
        </is>
      </c>
      <c r="O4" s="24" t="inlineStr">
        <is>
          <t>premise_anchor:True:pass:shared anchor tokens: narrativ, narratives | slot_value_alignment:False:slot_mismatch:transition premise needs same preference/action value | temporal_compatibility:False:not_evaluated: | explicit_refutation:False:not_evaluated:</t>
        </is>
      </c>
      <c r="P4" s="24" t="inlineStr">
        <is>
          <t>no_counterevidence_in_raw_memories</t>
        </is>
      </c>
      <c r="Q4" s="24" t="inlineStr">
        <is>
          <t>没有</t>
        </is>
      </c>
      <c r="R4" s="24" t="inlineStr">
        <is>
          <t>正确</t>
        </is>
      </c>
      <c r="S4" s="24" t="inlineStr">
        <is>
          <t>正确</t>
        </is>
      </c>
      <c r="T4" s="24" t="inlineStr">
        <is>
          <t>不是反证但有用</t>
        </is>
      </c>
      <c r="U4" s="24" t="inlineStr">
        <is>
          <t>不该触发</t>
        </is>
      </c>
      <c r="V4" s="24" t="inlineStr">
        <is>
          <t>合理</t>
        </is>
      </c>
      <c r="W4" s="24" t="n"/>
      <c r="X4" s="24" t="inlineStr">
        <is>
          <t>Memory mentions documentaries and narratives but does not show a shift from fictional narratives.</t>
        </is>
      </c>
      <c r="Y4" s="24" t="inlineStr">
        <is>
          <t>陆含</t>
        </is>
      </c>
      <c r="Z4" s="24" t="inlineStr">
        <is>
          <t>未复核</t>
        </is>
      </c>
      <c r="AA4" s="24" t="n"/>
    </row>
    <row r="5" ht="68" customHeight="1">
      <c r="A5" s="24" t="inlineStr">
        <is>
          <t>29</t>
        </is>
      </c>
      <c r="B5" s="24" t="inlineStr">
        <is>
          <t>1:12:2</t>
        </is>
      </c>
      <c r="C5" s="24" t="inlineStr">
        <is>
          <t>Did Martin's movie preference shift from fictional narratives to documentaries after a relaxing week on Jan 19, 2027?</t>
        </is>
      </c>
      <c r="D5" s="24" t="inlineStr">
        <is>
          <t>omission</t>
        </is>
      </c>
      <c r="E5" s="24" t="inlineStr">
        <is>
          <t>omission</t>
        </is>
      </c>
      <c r="F5" s="24" t="inlineStr">
        <is>
          <t>False</t>
        </is>
      </c>
      <c r="G5" s="24" t="inlineStr">
        <is>
          <t>2</t>
        </is>
      </c>
      <c r="H5"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5" s="24" t="inlineStr">
        <is>
          <t>slot_mismatch</t>
        </is>
      </c>
      <c r="J5" s="24" t="inlineStr">
        <is>
          <t>slot_value_near_miss</t>
        </is>
      </c>
      <c r="K5" s="24" t="inlineStr">
        <is>
          <t>Martin</t>
        </is>
      </c>
      <c r="L5" s="24" t="inlineStr">
        <is>
          <t>transition</t>
        </is>
      </c>
      <c r="M5" s="24" t="inlineStr">
        <is>
          <t>fictional narratives -&gt; documentaries</t>
        </is>
      </c>
      <c r="N5" s="24" t="inlineStr">
        <is>
          <t>shift from; after a relaxing week on Jan 19; Jan 19, 2027</t>
        </is>
      </c>
      <c r="O5" s="24" t="inlineStr">
        <is>
          <t>premise_anchor:True:pass:shared anchor tokens: martin | slot_value_alignment:False:slot_mismatch:transition premise needs same preference/action value | temporal_compatibility:False:not_evaluated: | explicit_refutation:False:not_evaluated:</t>
        </is>
      </c>
      <c r="P5" s="24" t="inlineStr">
        <is>
          <t>no_counterevidence_in_raw_memories</t>
        </is>
      </c>
      <c r="Q5" s="24" t="inlineStr">
        <is>
          <t>没有</t>
        </is>
      </c>
      <c r="R5" s="24" t="inlineStr">
        <is>
          <t>正确</t>
        </is>
      </c>
      <c r="S5" s="24" t="inlineStr">
        <is>
          <t>正确</t>
        </is>
      </c>
      <c r="T5" s="24" t="inlineStr">
        <is>
          <t>不是反证</t>
        </is>
      </c>
      <c r="U5" s="24" t="inlineStr">
        <is>
          <t>不该触发</t>
        </is>
      </c>
      <c r="V5" s="24" t="inlineStr">
        <is>
          <t>合理</t>
        </is>
      </c>
      <c r="W5" s="24" t="n"/>
      <c r="X5" s="24" t="inlineStr">
        <is>
          <t>Family background does not address the movie preference shift.</t>
        </is>
      </c>
      <c r="Y5" s="24" t="inlineStr">
        <is>
          <t>陆含</t>
        </is>
      </c>
      <c r="Z5" s="24" t="inlineStr">
        <is>
          <t>未复核</t>
        </is>
      </c>
      <c r="AA5" s="24" t="n"/>
    </row>
    <row r="6" ht="68" customHeight="1">
      <c r="A6" s="24" t="inlineStr">
        <is>
          <t>29</t>
        </is>
      </c>
      <c r="B6" s="24" t="inlineStr">
        <is>
          <t>1:12:2</t>
        </is>
      </c>
      <c r="C6" s="24" t="inlineStr">
        <is>
          <t>Did Martin's movie preference shift from fictional narratives to documentaries after a relaxing week on Jan 19, 2027?</t>
        </is>
      </c>
      <c r="D6" s="24" t="inlineStr">
        <is>
          <t>omission</t>
        </is>
      </c>
      <c r="E6" s="24" t="inlineStr">
        <is>
          <t>omission</t>
        </is>
      </c>
      <c r="F6" s="24" t="inlineStr">
        <is>
          <t>False</t>
        </is>
      </c>
      <c r="G6" s="24" t="inlineStr">
        <is>
          <t>3</t>
        </is>
      </c>
      <c r="H6" s="24" t="inlineStr">
        <is>
          <t>User's name is Martin Mark, male, born on August 2, 1996, currently 29 years old, and resides in Columbus.</t>
        </is>
      </c>
      <c r="I6" s="24" t="inlineStr">
        <is>
          <t>slot_mismatch</t>
        </is>
      </c>
      <c r="J6" s="24" t="inlineStr">
        <is>
          <t>slot_value_near_miss</t>
        </is>
      </c>
      <c r="K6" s="24" t="inlineStr">
        <is>
          <t>Martin</t>
        </is>
      </c>
      <c r="L6" s="24" t="inlineStr">
        <is>
          <t>transition</t>
        </is>
      </c>
      <c r="M6" s="24" t="inlineStr">
        <is>
          <t>fictional narratives -&gt; documentaries</t>
        </is>
      </c>
      <c r="N6" s="24" t="inlineStr">
        <is>
          <t>shift from; after a relaxing week on Jan 19; Jan 19, 2027</t>
        </is>
      </c>
      <c r="O6" s="24" t="inlineStr">
        <is>
          <t>premise_anchor:True:pass:shared anchor tokens: martin | slot_value_alignment:False:slot_mismatch:transition premise needs same preference/action value | temporal_compatibility:False:not_evaluated: | explicit_refutation:False:not_evaluated:</t>
        </is>
      </c>
      <c r="P6" s="24" t="inlineStr">
        <is>
          <t>no_counterevidence_in_raw_memories</t>
        </is>
      </c>
      <c r="Q6" s="24" t="inlineStr">
        <is>
          <t>没有</t>
        </is>
      </c>
      <c r="R6" s="24" t="inlineStr">
        <is>
          <t>正确</t>
        </is>
      </c>
      <c r="S6" s="24" t="inlineStr">
        <is>
          <t>正确</t>
        </is>
      </c>
      <c r="T6" s="24" t="inlineStr">
        <is>
          <t>不是反证</t>
        </is>
      </c>
      <c r="U6" s="24" t="inlineStr">
        <is>
          <t>不该触发</t>
        </is>
      </c>
      <c r="V6" s="24" t="inlineStr">
        <is>
          <t>合理</t>
        </is>
      </c>
      <c r="W6" s="24" t="n"/>
      <c r="X6" s="24" t="inlineStr">
        <is>
          <t>Identity information does not address the movie preference shift.</t>
        </is>
      </c>
      <c r="Y6" s="24" t="inlineStr">
        <is>
          <t>陆含</t>
        </is>
      </c>
      <c r="Z6" s="24" t="inlineStr">
        <is>
          <t>未复核</t>
        </is>
      </c>
      <c r="AA6" s="24" t="n"/>
    </row>
    <row r="7" ht="68" customHeight="1">
      <c r="A7" s="24" t="inlineStr">
        <is>
          <t>40</t>
        </is>
      </c>
      <c r="B7" s="24" t="inlineStr">
        <is>
          <t>1:15:3</t>
        </is>
      </c>
      <c r="C7" s="24" t="inlineStr">
        <is>
          <t>Did Martin decide to keep using traditional athletic wear after attending the seminar on Oct 29, 2027?</t>
        </is>
      </c>
      <c r="D7" s="24" t="inlineStr">
        <is>
          <t>omission</t>
        </is>
      </c>
      <c r="E7" s="24" t="inlineStr">
        <is>
          <t>omission</t>
        </is>
      </c>
      <c r="F7" s="24" t="inlineStr">
        <is>
          <t>False</t>
        </is>
      </c>
      <c r="G7" s="24" t="inlineStr">
        <is>
          <t>1</t>
        </is>
      </c>
      <c r="H7" s="24" t="inlineStr">
        <is>
          <t>User likes comfortable athletic wear for its comfort and flexibility, ideal for his active lifestyle; he prefers casual business attire as it balances professionalism with comfort at work; he chooses eco‑friendly fabrics because they align with his sustainability and environmental values; he dislikes formal wear as it feels restrictive, preferring clothing that allows easy movement and comfort.</t>
        </is>
      </c>
      <c r="I7" s="24" t="inlineStr">
        <is>
          <t>slot_mismatch</t>
        </is>
      </c>
      <c r="J7" s="24" t="inlineStr">
        <is>
          <t>slot_value_near_miss</t>
        </is>
      </c>
      <c r="K7" s="24" t="inlineStr">
        <is>
          <t>Martin</t>
        </is>
      </c>
      <c r="L7" s="24" t="inlineStr">
        <is>
          <t>activity</t>
        </is>
      </c>
      <c r="M7" s="24" t="inlineStr">
        <is>
          <t>traditional athletic wear</t>
        </is>
      </c>
      <c r="N7" s="24" t="inlineStr">
        <is>
          <t>decide to; after attending the seminar on Oct 29; Oct 29, 2027</t>
        </is>
      </c>
      <c r="O7" s="24" t="inlineStr">
        <is>
          <t>premise_anchor:True:pass:shared anchor tokens: wear | slot_value_alignment:False:slot_mismatch:activity object differs | temporal_compatibility:False:not_evaluated: | explicit_refutation:False:not_evaluated:</t>
        </is>
      </c>
      <c r="P7" s="24" t="inlineStr">
        <is>
          <t>no_counterevidence_in_raw_memories</t>
        </is>
      </c>
      <c r="Q7" s="24" t="inlineStr">
        <is>
          <t>不确定</t>
        </is>
      </c>
      <c r="R7" s="24" t="inlineStr">
        <is>
          <t>部分正确</t>
        </is>
      </c>
      <c r="S7" s="24" t="inlineStr">
        <is>
          <t>过宽</t>
        </is>
      </c>
      <c r="T7" s="24" t="inlineStr">
        <is>
          <t>模糊反证</t>
        </is>
      </c>
      <c r="U7" s="24" t="inlineStr">
        <is>
          <t>不确定</t>
        </is>
      </c>
      <c r="V7" s="24" t="inlineStr">
        <is>
          <t>部分合理</t>
        </is>
      </c>
      <c r="W7" s="24" t="inlineStr">
        <is>
          <t>人工无法判断</t>
        </is>
      </c>
      <c r="X7" s="24" t="inlineStr">
        <is>
          <t>Eco-friendly fabric preference may conflict with keeping traditional athletic wear, but it is not explicit.</t>
        </is>
      </c>
      <c r="Y7" s="24" t="inlineStr">
        <is>
          <t>陆含</t>
        </is>
      </c>
      <c r="Z7" s="24" t="inlineStr">
        <is>
          <t>未复核</t>
        </is>
      </c>
      <c r="AA7" s="24" t="n"/>
    </row>
    <row r="8" ht="68" customHeight="1">
      <c r="A8" s="24" t="inlineStr">
        <is>
          <t>40</t>
        </is>
      </c>
      <c r="B8" s="24" t="inlineStr">
        <is>
          <t>1:15:3</t>
        </is>
      </c>
      <c r="C8" s="24" t="inlineStr">
        <is>
          <t>Did Martin decide to keep using traditional athletic wear after attending the seminar on Oct 29, 2027?</t>
        </is>
      </c>
      <c r="D8" s="24" t="inlineStr">
        <is>
          <t>omission</t>
        </is>
      </c>
      <c r="E8" s="24" t="inlineStr">
        <is>
          <t>omission</t>
        </is>
      </c>
      <c r="F8" s="24" t="inlineStr">
        <is>
          <t>False</t>
        </is>
      </c>
      <c r="G8" s="24" t="inlineStr">
        <is>
          <t>2</t>
        </is>
      </c>
      <c r="H8" s="24" t="inlineStr">
        <is>
          <t>User's name is Martin Mark, male, born on August 2, 1996, currently 29 years old, and resides in Columbus.</t>
        </is>
      </c>
      <c r="I8" s="24" t="inlineStr">
        <is>
          <t>slot_mismatch</t>
        </is>
      </c>
      <c r="J8" s="24" t="inlineStr">
        <is>
          <t>slot_value_near_miss</t>
        </is>
      </c>
      <c r="K8" s="24" t="inlineStr">
        <is>
          <t>Martin</t>
        </is>
      </c>
      <c r="L8" s="24" t="inlineStr">
        <is>
          <t>activity</t>
        </is>
      </c>
      <c r="M8" s="24" t="inlineStr">
        <is>
          <t>traditional athletic wear</t>
        </is>
      </c>
      <c r="N8" s="24" t="inlineStr">
        <is>
          <t>decide to; after attending the seminar on Oct 29; Oct 29, 2027</t>
        </is>
      </c>
      <c r="O8" s="24" t="inlineStr">
        <is>
          <t>premise_anchor:True:pass:shared anchor tokens: martin | slot_value_alignment:False:slot_mismatch:premise slot activity vs memory slot generic_yesno | temporal_compatibility:False:not_evaluated: | explicit_refutation:False:not_evaluated:</t>
        </is>
      </c>
      <c r="P8" s="24" t="inlineStr">
        <is>
          <t>no_counterevidence_in_raw_memories</t>
        </is>
      </c>
      <c r="Q8" s="24" t="inlineStr">
        <is>
          <t>没有</t>
        </is>
      </c>
      <c r="R8" s="24" t="inlineStr">
        <is>
          <t>部分正确</t>
        </is>
      </c>
      <c r="S8" s="24" t="inlineStr">
        <is>
          <t>过宽</t>
        </is>
      </c>
      <c r="T8" s="24" t="inlineStr">
        <is>
          <t>不是反证</t>
        </is>
      </c>
      <c r="U8" s="24" t="inlineStr">
        <is>
          <t>不该触发</t>
        </is>
      </c>
      <c r="V8" s="24" t="inlineStr">
        <is>
          <t>合理</t>
        </is>
      </c>
      <c r="W8" s="24" t="n"/>
      <c r="X8" s="24" t="inlineStr">
        <is>
          <t>Identity information does not address the athletic-wear decision.</t>
        </is>
      </c>
      <c r="Y8" s="24" t="inlineStr">
        <is>
          <t>陆含</t>
        </is>
      </c>
      <c r="Z8" s="24" t="inlineStr">
        <is>
          <t>未复核</t>
        </is>
      </c>
      <c r="AA8" s="24" t="n"/>
    </row>
    <row r="9" ht="68" customHeight="1">
      <c r="A9" s="24" t="inlineStr">
        <is>
          <t>40</t>
        </is>
      </c>
      <c r="B9" s="24" t="inlineStr">
        <is>
          <t>1:15:3</t>
        </is>
      </c>
      <c r="C9" s="24" t="inlineStr">
        <is>
          <t>Did Martin decide to keep using traditional athletic wear after attending the seminar on Oct 29, 2027?</t>
        </is>
      </c>
      <c r="D9" s="24" t="inlineStr">
        <is>
          <t>omission</t>
        </is>
      </c>
      <c r="E9" s="24" t="inlineStr">
        <is>
          <t>omission</t>
        </is>
      </c>
      <c r="F9" s="24" t="inlineStr">
        <is>
          <t>False</t>
        </is>
      </c>
      <c r="G9" s="24" t="inlineStr">
        <is>
          <t>3</t>
        </is>
      </c>
      <c r="H9" s="24" t="inlineStr">
        <is>
          <t>Despite a challenging journey, Martin feels hopeful and optimistic about finding a role that supports both his career ambitions and personal health.</t>
        </is>
      </c>
      <c r="I9" s="24" t="inlineStr">
        <is>
          <t>slot_mismatch</t>
        </is>
      </c>
      <c r="J9" s="24" t="inlineStr">
        <is>
          <t>slot_value_near_miss</t>
        </is>
      </c>
      <c r="K9" s="24" t="inlineStr">
        <is>
          <t>Martin</t>
        </is>
      </c>
      <c r="L9" s="24" t="inlineStr">
        <is>
          <t>activity</t>
        </is>
      </c>
      <c r="M9" s="24" t="inlineStr">
        <is>
          <t>traditional athletic wear</t>
        </is>
      </c>
      <c r="N9" s="24" t="inlineStr">
        <is>
          <t>decide to; after attending the seminar on Oct 29; Oct 29, 2027</t>
        </is>
      </c>
      <c r="O9" s="24" t="inlineStr">
        <is>
          <t>premise_anchor:True:pass:shared anchor tokens: martin | slot_value_alignment:False:slot_mismatch:premise slot activity vs memory slot health_status | temporal_compatibility:False:not_evaluated: | explicit_refutation:False:not_evaluated:</t>
        </is>
      </c>
      <c r="P9" s="24" t="inlineStr">
        <is>
          <t>no_counterevidence_in_raw_memories</t>
        </is>
      </c>
      <c r="Q9" s="24" t="inlineStr">
        <is>
          <t>没有</t>
        </is>
      </c>
      <c r="R9" s="24" t="inlineStr">
        <is>
          <t>部分正确</t>
        </is>
      </c>
      <c r="S9" s="24" t="inlineStr">
        <is>
          <t>过宽</t>
        </is>
      </c>
      <c r="T9" s="24" t="inlineStr">
        <is>
          <t>不是反证</t>
        </is>
      </c>
      <c r="U9" s="24" t="inlineStr">
        <is>
          <t>不该触发</t>
        </is>
      </c>
      <c r="V9" s="24" t="inlineStr">
        <is>
          <t>合理</t>
        </is>
      </c>
      <c r="W9" s="24" t="n"/>
      <c r="X9" s="24" t="inlineStr">
        <is>
          <t>Career optimism does not address the athletic-wear decision.</t>
        </is>
      </c>
      <c r="Y9" s="24" t="inlineStr">
        <is>
          <t>陆含</t>
        </is>
      </c>
      <c r="Z9" s="24" t="inlineStr">
        <is>
          <t>未复核</t>
        </is>
      </c>
      <c r="AA9" s="24" t="n"/>
    </row>
    <row r="10" ht="68" customHeight="1">
      <c r="A10" s="24" t="inlineStr">
        <is>
          <t>44</t>
        </is>
      </c>
      <c r="B10" s="24" t="inlineStr">
        <is>
          <t>1:21:3</t>
        </is>
      </c>
      <c r="C10" s="24" t="inlineStr">
        <is>
          <t>Was Martin closed to new experiences and uninterested in sports that challenge him mentally after May 05, 2028?</t>
        </is>
      </c>
      <c r="D10" s="24" t="inlineStr">
        <is>
          <t>omission</t>
        </is>
      </c>
      <c r="E10" s="24" t="inlineStr">
        <is>
          <t>omission</t>
        </is>
      </c>
      <c r="F10" s="24" t="inlineStr">
        <is>
          <t>False</t>
        </is>
      </c>
      <c r="G10" s="24" t="inlineStr">
        <is>
          <t>3</t>
        </is>
      </c>
      <c r="H10"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10" s="24" t="inlineStr">
        <is>
          <t>absence_not_refutation</t>
        </is>
      </c>
      <c r="J10" s="24" t="inlineStr">
        <is>
          <t>absence_not_refutation</t>
        </is>
      </c>
      <c r="K10" s="24" t="inlineStr">
        <is>
          <t>Martin</t>
        </is>
      </c>
      <c r="L10" s="24" t="inlineStr">
        <is>
          <t>generic_yesno</t>
        </is>
      </c>
      <c r="M10" s="24" t="inlineStr">
        <is>
          <t>mentally may 2028</t>
        </is>
      </c>
      <c r="N10" s="24" t="inlineStr">
        <is>
          <t>after May 05; May 05, 2028</t>
        </is>
      </c>
      <c r="O10" s="24" t="inlineStr">
        <is>
          <t>premise_anchor:True:pass:shared anchor tokens: martin | slot_value_alignment:True:pass:same slot | temporal_compatibility:True:pass:temporal condition is compatible | explicit_refutation:False:absence_not_refutation:memory does not mention the premise value</t>
        </is>
      </c>
      <c r="P10" s="24" t="inlineStr">
        <is>
          <t>temporal_gate_too_strict</t>
        </is>
      </c>
      <c r="Q10" s="24" t="inlineStr">
        <is>
          <t>没有</t>
        </is>
      </c>
      <c r="R10" s="24" t="inlineStr">
        <is>
          <t>错误</t>
        </is>
      </c>
      <c r="S10" s="24" t="inlineStr">
        <is>
          <t>过宽</t>
        </is>
      </c>
      <c r="T10" s="24" t="inlineStr">
        <is>
          <t>不是反证</t>
        </is>
      </c>
      <c r="U10" s="24" t="inlineStr">
        <is>
          <t>不该触发</t>
        </is>
      </c>
      <c r="V10" s="24" t="inlineStr">
        <is>
          <t>合理</t>
        </is>
      </c>
      <c r="W10" s="24" t="n"/>
      <c r="X10" s="24" t="inlineStr">
        <is>
          <t>Family medical background does not address openness to new experiences or challenging sports.</t>
        </is>
      </c>
      <c r="Y10" s="24" t="inlineStr">
        <is>
          <t>陆含</t>
        </is>
      </c>
      <c r="Z10" s="24" t="inlineStr">
        <is>
          <t>未复核</t>
        </is>
      </c>
      <c r="AA10" s="24" t="n"/>
    </row>
    <row r="11" ht="68" customHeight="1">
      <c r="A11" s="24" t="inlineStr">
        <is>
          <t>44</t>
        </is>
      </c>
      <c r="B11" s="24" t="inlineStr">
        <is>
          <t>1:21:3</t>
        </is>
      </c>
      <c r="C11" s="24" t="inlineStr">
        <is>
          <t>Was Martin closed to new experiences and uninterested in sports that challenge him mentally after May 05, 2028?</t>
        </is>
      </c>
      <c r="D11" s="24" t="inlineStr">
        <is>
          <t>omission</t>
        </is>
      </c>
      <c r="E11" s="24" t="inlineStr">
        <is>
          <t>omission</t>
        </is>
      </c>
      <c r="F11" s="24" t="inlineStr">
        <is>
          <t>False</t>
        </is>
      </c>
      <c r="G11" s="24" t="inlineStr">
        <is>
          <t>7</t>
        </is>
      </c>
      <c r="H11" s="24" t="inlineStr">
        <is>
          <t>User's name is Martin Mark, male, born on August 2, 1996, currently 29 years old, and resides in Columbus.</t>
        </is>
      </c>
      <c r="I11" s="24" t="inlineStr">
        <is>
          <t>absence_not_refutation</t>
        </is>
      </c>
      <c r="J11" s="24" t="inlineStr">
        <is>
          <t>absence_not_refutation</t>
        </is>
      </c>
      <c r="K11" s="24" t="inlineStr">
        <is>
          <t>Martin</t>
        </is>
      </c>
      <c r="L11" s="24" t="inlineStr">
        <is>
          <t>generic_yesno</t>
        </is>
      </c>
      <c r="M11" s="24" t="inlineStr">
        <is>
          <t>mentally may 2028</t>
        </is>
      </c>
      <c r="N11" s="24" t="inlineStr">
        <is>
          <t>after May 05; May 05, 2028</t>
        </is>
      </c>
      <c r="O11" s="24" t="inlineStr">
        <is>
          <t>premise_anchor:True:pass:shared anchor tokens: martin | slot_value_alignment:True:pass:same slot | temporal_compatibility:True:pass:temporal condition is compatible | explicit_refutation:False:absence_not_refutation:memory does not mention the premise value</t>
        </is>
      </c>
      <c r="P11" s="24" t="inlineStr">
        <is>
          <t>temporal_gate_too_strict</t>
        </is>
      </c>
      <c r="Q11" s="24" t="inlineStr">
        <is>
          <t>没有</t>
        </is>
      </c>
      <c r="R11" s="24" t="inlineStr">
        <is>
          <t>错误</t>
        </is>
      </c>
      <c r="S11" s="24" t="inlineStr">
        <is>
          <t>过宽</t>
        </is>
      </c>
      <c r="T11" s="24" t="inlineStr">
        <is>
          <t>不是反证</t>
        </is>
      </c>
      <c r="U11" s="24" t="inlineStr">
        <is>
          <t>不该触发</t>
        </is>
      </c>
      <c r="V11" s="24" t="inlineStr">
        <is>
          <t>合理</t>
        </is>
      </c>
      <c r="W11" s="24" t="n"/>
      <c r="X11" s="24" t="inlineStr">
        <is>
          <t>Identity information does not address openness to new experiences or challenging sports.</t>
        </is>
      </c>
      <c r="Y11" s="24" t="inlineStr">
        <is>
          <t>陆含</t>
        </is>
      </c>
      <c r="Z11" s="24" t="inlineStr">
        <is>
          <t>未复核</t>
        </is>
      </c>
      <c r="AA11" s="24" t="n"/>
    </row>
    <row r="12" ht="68" customHeight="1">
      <c r="A12" s="24" t="inlineStr">
        <is>
          <t>44</t>
        </is>
      </c>
      <c r="B12" s="24" t="inlineStr">
        <is>
          <t>1:21:3</t>
        </is>
      </c>
      <c r="C12" s="24" t="inlineStr">
        <is>
          <t>Was Martin closed to new experiences and uninterested in sports that challenge him mentally after May 05, 2028?</t>
        </is>
      </c>
      <c r="D12" s="24" t="inlineStr">
        <is>
          <t>omission</t>
        </is>
      </c>
      <c r="E12" s="24" t="inlineStr">
        <is>
          <t>omission</t>
        </is>
      </c>
      <c r="F12" s="24" t="inlineStr">
        <is>
          <t>False</t>
        </is>
      </c>
      <c r="G12" s="24" t="inlineStr">
        <is>
          <t>12</t>
        </is>
      </c>
      <c r="H12" s="24" t="inlineStr">
        <is>
          <t>Martin expresses readiness to take on new challenges and opportunities in his current position.</t>
        </is>
      </c>
      <c r="I12" s="24" t="inlineStr">
        <is>
          <t>absence_not_refutation</t>
        </is>
      </c>
      <c r="J12" s="24" t="inlineStr">
        <is>
          <t>absence_not_refutation</t>
        </is>
      </c>
      <c r="K12" s="24" t="inlineStr">
        <is>
          <t>Martin</t>
        </is>
      </c>
      <c r="L12" s="24" t="inlineStr">
        <is>
          <t>generic_yesno</t>
        </is>
      </c>
      <c r="M12" s="24" t="inlineStr">
        <is>
          <t>mentally may 2028</t>
        </is>
      </c>
      <c r="N12" s="24" t="inlineStr">
        <is>
          <t>after May 05; May 05, 2028</t>
        </is>
      </c>
      <c r="O12" s="24" t="inlineStr">
        <is>
          <t>premise_anchor:True:pass:shared anchor tokens: martin | slot_value_alignment:True:pass:same slot | temporal_compatibility:True:pass:temporal condition is compatible | explicit_refutation:False:absence_not_refutation:memory does not mention the premise value</t>
        </is>
      </c>
      <c r="P12" s="24" t="inlineStr">
        <is>
          <t>temporal_gate_too_strict</t>
        </is>
      </c>
      <c r="Q12" s="24" t="inlineStr">
        <is>
          <t>明确有</t>
        </is>
      </c>
      <c r="R12" s="24" t="inlineStr">
        <is>
          <t>错误</t>
        </is>
      </c>
      <c r="S12" s="24" t="inlineStr">
        <is>
          <t>过宽</t>
        </is>
      </c>
      <c r="T12" s="24" t="inlineStr">
        <is>
          <t>真反证</t>
        </is>
      </c>
      <c r="U12" s="24" t="inlineStr">
        <is>
          <t>应该触发</t>
        </is>
      </c>
      <c r="V12" s="24" t="inlineStr">
        <is>
          <t>不合理</t>
        </is>
      </c>
      <c r="W12" s="24" t="inlineStr">
        <is>
          <t>问题前提抽取错误</t>
        </is>
      </c>
      <c r="X12" s="24" t="inlineStr">
        <is>
          <t>Readiness for new challenges contradicts being closed to new experiences.</t>
        </is>
      </c>
      <c r="Y12" s="24" t="inlineStr">
        <is>
          <t>陆含</t>
        </is>
      </c>
      <c r="Z12" s="24" t="inlineStr">
        <is>
          <t>未复核</t>
        </is>
      </c>
      <c r="AA12" s="24" t="n"/>
    </row>
    <row r="13" ht="68" customHeight="1">
      <c r="A13" s="24" t="inlineStr">
        <is>
          <t>45</t>
        </is>
      </c>
      <c r="B13" s="24" t="inlineStr">
        <is>
          <t>1:21:2</t>
        </is>
      </c>
      <c r="C13" s="24" t="inlineStr">
        <is>
          <t>Did Martin's perception of boxing remain purely negative after May 05, 2028?</t>
        </is>
      </c>
      <c r="D13" s="24" t="inlineStr">
        <is>
          <t>omission</t>
        </is>
      </c>
      <c r="E13" s="24" t="inlineStr">
        <is>
          <t>omission</t>
        </is>
      </c>
      <c r="F13" s="24" t="inlineStr">
        <is>
          <t>False</t>
        </is>
      </c>
      <c r="G13" s="24" t="inlineStr">
        <is>
          <t>3</t>
        </is>
      </c>
      <c r="H13"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13" s="24" t="inlineStr">
        <is>
          <t>absence_not_refutation</t>
        </is>
      </c>
      <c r="J13" s="24" t="inlineStr">
        <is>
          <t>absence_not_refutation</t>
        </is>
      </c>
      <c r="K13" s="24" t="inlineStr">
        <is>
          <t>Martin</t>
        </is>
      </c>
      <c r="L13" s="24" t="inlineStr">
        <is>
          <t>generic_yesno</t>
        </is>
      </c>
      <c r="M13" s="24" t="inlineStr">
        <is>
          <t>negative may 2028</t>
        </is>
      </c>
      <c r="N13" s="24" t="inlineStr">
        <is>
          <t>after May 05; May 05, 2028</t>
        </is>
      </c>
      <c r="O13" s="24" t="inlineStr">
        <is>
          <t>premise_anchor:True:pass:shared anchor tokens: martin | slot_value_alignment:True:pass:same slot | temporal_compatibility:True:pass:temporal condition is compatible | explicit_refutation:False:absence_not_refutation:memory does not mention the premise value</t>
        </is>
      </c>
      <c r="P13" s="24" t="inlineStr">
        <is>
          <t>premise_extraction_error</t>
        </is>
      </c>
      <c r="Q13" s="24" t="inlineStr">
        <is>
          <t>没有</t>
        </is>
      </c>
      <c r="R13" s="24" t="inlineStr">
        <is>
          <t>部分正确</t>
        </is>
      </c>
      <c r="S13" s="24" t="inlineStr">
        <is>
          <t>过宽</t>
        </is>
      </c>
      <c r="T13" s="24" t="inlineStr">
        <is>
          <t>不是反证</t>
        </is>
      </c>
      <c r="U13" s="24" t="inlineStr">
        <is>
          <t>不该触发</t>
        </is>
      </c>
      <c r="V13" s="24" t="inlineStr">
        <is>
          <t>合理</t>
        </is>
      </c>
      <c r="W13" s="24" t="n"/>
      <c r="X13" s="24" t="inlineStr">
        <is>
          <t>Family medical background does not address boxing perception.</t>
        </is>
      </c>
      <c r="Y13" s="24" t="inlineStr">
        <is>
          <t>陆含</t>
        </is>
      </c>
      <c r="Z13" s="24" t="inlineStr">
        <is>
          <t>未复核</t>
        </is>
      </c>
      <c r="AA13" s="24" t="n"/>
    </row>
    <row r="14" ht="68" customHeight="1">
      <c r="A14" s="24" t="inlineStr">
        <is>
          <t>45</t>
        </is>
      </c>
      <c r="B14" s="24" t="inlineStr">
        <is>
          <t>1:21:2</t>
        </is>
      </c>
      <c r="C14" s="24" t="inlineStr">
        <is>
          <t>Did Martin's perception of boxing remain purely negative after May 05, 2028?</t>
        </is>
      </c>
      <c r="D14" s="24" t="inlineStr">
        <is>
          <t>omission</t>
        </is>
      </c>
      <c r="E14" s="24" t="inlineStr">
        <is>
          <t>omission</t>
        </is>
      </c>
      <c r="F14" s="24" t="inlineStr">
        <is>
          <t>False</t>
        </is>
      </c>
      <c r="G14" s="24" t="inlineStr">
        <is>
          <t>7</t>
        </is>
      </c>
      <c r="H14" s="24" t="inlineStr">
        <is>
          <t>User's name is Martin Mark, male, born on August 2, 1996, currently 29 years old, and resides in Columbus.</t>
        </is>
      </c>
      <c r="I14" s="24" t="inlineStr">
        <is>
          <t>absence_not_refutation</t>
        </is>
      </c>
      <c r="J14" s="24" t="inlineStr">
        <is>
          <t>absence_not_refutation</t>
        </is>
      </c>
      <c r="K14" s="24" t="inlineStr">
        <is>
          <t>Martin</t>
        </is>
      </c>
      <c r="L14" s="24" t="inlineStr">
        <is>
          <t>generic_yesno</t>
        </is>
      </c>
      <c r="M14" s="24" t="inlineStr">
        <is>
          <t>negative may 2028</t>
        </is>
      </c>
      <c r="N14" s="24" t="inlineStr">
        <is>
          <t>after May 05; May 05, 2028</t>
        </is>
      </c>
      <c r="O14" s="24" t="inlineStr">
        <is>
          <t>premise_anchor:True:pass:shared anchor tokens: martin | slot_value_alignment:True:pass:same slot | temporal_compatibility:True:pass:temporal condition is compatible | explicit_refutation:False:absence_not_refutation:memory does not mention the premise value</t>
        </is>
      </c>
      <c r="P14" s="24" t="inlineStr">
        <is>
          <t>premise_extraction_error</t>
        </is>
      </c>
      <c r="Q14" s="24" t="inlineStr">
        <is>
          <t>没有</t>
        </is>
      </c>
      <c r="R14" s="24" t="inlineStr">
        <is>
          <t>部分正确</t>
        </is>
      </c>
      <c r="S14" s="24" t="inlineStr">
        <is>
          <t>过宽</t>
        </is>
      </c>
      <c r="T14" s="24" t="inlineStr">
        <is>
          <t>不是反证</t>
        </is>
      </c>
      <c r="U14" s="24" t="inlineStr">
        <is>
          <t>不该触发</t>
        </is>
      </c>
      <c r="V14" s="24" t="inlineStr">
        <is>
          <t>合理</t>
        </is>
      </c>
      <c r="W14" s="24" t="n"/>
      <c r="X14" s="24" t="inlineStr">
        <is>
          <t>Identity information does not address boxing perception.</t>
        </is>
      </c>
      <c r="Y14" s="24" t="inlineStr">
        <is>
          <t>陆含</t>
        </is>
      </c>
      <c r="Z14" s="24" t="inlineStr">
        <is>
          <t>未复核</t>
        </is>
      </c>
      <c r="AA14" s="24" t="n"/>
    </row>
    <row r="15" ht="68" customHeight="1">
      <c r="A15" s="24" t="inlineStr">
        <is>
          <t>45</t>
        </is>
      </c>
      <c r="B15" s="24" t="inlineStr">
        <is>
          <t>1:21:2</t>
        </is>
      </c>
      <c r="C15" s="24" t="inlineStr">
        <is>
          <t>Did Martin's perception of boxing remain purely negative after May 05, 2028?</t>
        </is>
      </c>
      <c r="D15" s="24" t="inlineStr">
        <is>
          <t>omission</t>
        </is>
      </c>
      <c r="E15" s="24" t="inlineStr">
        <is>
          <t>omission</t>
        </is>
      </c>
      <c r="F15" s="24" t="inlineStr">
        <is>
          <t>False</t>
        </is>
      </c>
      <c r="G15" s="24" t="inlineStr">
        <is>
          <t>14</t>
        </is>
      </c>
      <c r="H15" s="24" t="inlineStr">
        <is>
          <t>Martin transitioned to a new role, reporting huge relief and a much healthier balance between work and personal life, marking a significant improvement over his previous position.</t>
        </is>
      </c>
      <c r="I15" s="24" t="inlineStr">
        <is>
          <t>absence_not_refutation</t>
        </is>
      </c>
      <c r="J15" s="24" t="inlineStr">
        <is>
          <t>absence_not_refutation</t>
        </is>
      </c>
      <c r="K15" s="24" t="inlineStr">
        <is>
          <t>Martin</t>
        </is>
      </c>
      <c r="L15" s="24" t="inlineStr">
        <is>
          <t>generic_yesno</t>
        </is>
      </c>
      <c r="M15" s="24" t="inlineStr">
        <is>
          <t>negative may 2028</t>
        </is>
      </c>
      <c r="N15" s="24" t="inlineStr">
        <is>
          <t>after May 05; May 05, 2028</t>
        </is>
      </c>
      <c r="O15" s="24" t="inlineStr">
        <is>
          <t>premise_anchor:True:pass:shared anchor tokens: martin | slot_value_alignment:True:pass:same slot | temporal_compatibility:True:pass:temporal condition is compatible | explicit_refutation:False:absence_not_refutation:memory does not mention the premise value</t>
        </is>
      </c>
      <c r="P15" s="24" t="inlineStr">
        <is>
          <t>premise_extraction_error</t>
        </is>
      </c>
      <c r="Q15" s="24" t="inlineStr">
        <is>
          <t>没有</t>
        </is>
      </c>
      <c r="R15" s="24" t="inlineStr">
        <is>
          <t>部分正确</t>
        </is>
      </c>
      <c r="S15" s="24" t="inlineStr">
        <is>
          <t>过宽</t>
        </is>
      </c>
      <c r="T15" s="24" t="inlineStr">
        <is>
          <t>不是反证</t>
        </is>
      </c>
      <c r="U15" s="24" t="inlineStr">
        <is>
          <t>不该触发</t>
        </is>
      </c>
      <c r="V15" s="24" t="inlineStr">
        <is>
          <t>合理</t>
        </is>
      </c>
      <c r="W15" s="24" t="n"/>
      <c r="X15" s="24" t="inlineStr">
        <is>
          <t>Job transition does not address whether boxing perception remained negative.</t>
        </is>
      </c>
      <c r="Y15" s="24" t="inlineStr">
        <is>
          <t>陆含</t>
        </is>
      </c>
      <c r="Z15" s="24" t="inlineStr">
        <is>
          <t>未复核</t>
        </is>
      </c>
      <c r="AA15" s="24" t="n"/>
    </row>
    <row r="16" ht="68" customHeight="1">
      <c r="A16" s="24" t="inlineStr">
        <is>
          <t>47</t>
        </is>
      </c>
      <c r="B16" s="24" t="inlineStr">
        <is>
          <t>1:22:2</t>
        </is>
      </c>
      <c r="C16" s="24" t="inlineStr">
        <is>
          <t>Did Martin's social network encourage him to retire early on April 20, 2028?</t>
        </is>
      </c>
      <c r="D16" s="24" t="inlineStr">
        <is>
          <t>omission</t>
        </is>
      </c>
      <c r="E16" s="24" t="inlineStr">
        <is>
          <t>omission</t>
        </is>
      </c>
      <c r="F16" s="24" t="inlineStr">
        <is>
          <t>False</t>
        </is>
      </c>
      <c r="G16" s="24" t="inlineStr">
        <is>
          <t>4</t>
        </is>
      </c>
      <c r="H16"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16" s="24" t="inlineStr">
        <is>
          <t>absence_not_refutation</t>
        </is>
      </c>
      <c r="J16" s="24" t="inlineStr">
        <is>
          <t>absence_not_refutation</t>
        </is>
      </c>
      <c r="K16" s="24" t="inlineStr">
        <is>
          <t>Martin</t>
        </is>
      </c>
      <c r="L16" s="24" t="inlineStr">
        <is>
          <t>generic_yesno</t>
        </is>
      </c>
      <c r="M16" s="24" t="inlineStr">
        <is>
          <t>early april 2028</t>
        </is>
      </c>
      <c r="N16" s="24" t="inlineStr">
        <is>
          <t>on April 20; April 20, 2028</t>
        </is>
      </c>
      <c r="O16" s="24" t="inlineStr">
        <is>
          <t>premise_anchor:True:pass:shared anchor tokens: martin | slot_value_alignment:True:pass:same slot | temporal_compatibility:True:pass:temporal condition is compatible | explicit_refutation:False:absence_not_refutation:memory does not mention the premise value</t>
        </is>
      </c>
      <c r="P16" s="24" t="inlineStr">
        <is>
          <t>premise_extraction_error</t>
        </is>
      </c>
      <c r="Q16" s="24" t="inlineStr">
        <is>
          <t>没有</t>
        </is>
      </c>
      <c r="R16" s="24" t="inlineStr">
        <is>
          <t>部分正确</t>
        </is>
      </c>
      <c r="S16" s="24" t="inlineStr">
        <is>
          <t>过宽</t>
        </is>
      </c>
      <c r="T16" s="24" t="inlineStr">
        <is>
          <t>不是反证</t>
        </is>
      </c>
      <c r="U16" s="24" t="inlineStr">
        <is>
          <t>不该触发</t>
        </is>
      </c>
      <c r="V16" s="24" t="inlineStr">
        <is>
          <t>合理</t>
        </is>
      </c>
      <c r="W16" s="24" t="n"/>
      <c r="X16" s="24" t="inlineStr">
        <is>
          <t>Family background does not address social-network encouragement to retire.</t>
        </is>
      </c>
      <c r="Y16" s="24" t="inlineStr">
        <is>
          <t>陆含</t>
        </is>
      </c>
      <c r="Z16" s="24" t="inlineStr">
        <is>
          <t>未复核</t>
        </is>
      </c>
      <c r="AA16" s="24" t="n"/>
    </row>
    <row r="17" ht="68" customHeight="1">
      <c r="A17" s="24" t="inlineStr">
        <is>
          <t>47</t>
        </is>
      </c>
      <c r="B17" s="24" t="inlineStr">
        <is>
          <t>1:22:2</t>
        </is>
      </c>
      <c r="C17" s="24" t="inlineStr">
        <is>
          <t>Did Martin's social network encourage him to retire early on April 20, 2028?</t>
        </is>
      </c>
      <c r="D17" s="24" t="inlineStr">
        <is>
          <t>omission</t>
        </is>
      </c>
      <c r="E17" s="24" t="inlineStr">
        <is>
          <t>omission</t>
        </is>
      </c>
      <c r="F17" s="24" t="inlineStr">
        <is>
          <t>False</t>
        </is>
      </c>
      <c r="G17" s="24" t="inlineStr">
        <is>
          <t>8</t>
        </is>
      </c>
      <c r="H17" s="24" t="inlineStr">
        <is>
          <t>User's name is Martin Mark, male, born on August 2, 1996, currently 29 years old, and resides in Columbus.</t>
        </is>
      </c>
      <c r="I17" s="24" t="inlineStr">
        <is>
          <t>absence_not_refutation</t>
        </is>
      </c>
      <c r="J17" s="24" t="inlineStr">
        <is>
          <t>absence_not_refutation</t>
        </is>
      </c>
      <c r="K17" s="24" t="inlineStr">
        <is>
          <t>Martin</t>
        </is>
      </c>
      <c r="L17" s="24" t="inlineStr">
        <is>
          <t>generic_yesno</t>
        </is>
      </c>
      <c r="M17" s="24" t="inlineStr">
        <is>
          <t>early april 2028</t>
        </is>
      </c>
      <c r="N17" s="24" t="inlineStr">
        <is>
          <t>on April 20; April 20, 2028</t>
        </is>
      </c>
      <c r="O17" s="24" t="inlineStr">
        <is>
          <t>premise_anchor:True:pass:shared anchor tokens: martin | slot_value_alignment:True:pass:same slot | temporal_compatibility:True:pass:temporal condition is compatible | explicit_refutation:False:absence_not_refutation:memory does not mention the premise value</t>
        </is>
      </c>
      <c r="P17" s="24" t="inlineStr">
        <is>
          <t>premise_extraction_error</t>
        </is>
      </c>
      <c r="Q17" s="24" t="inlineStr">
        <is>
          <t>没有</t>
        </is>
      </c>
      <c r="R17" s="24" t="inlineStr">
        <is>
          <t>部分正确</t>
        </is>
      </c>
      <c r="S17" s="24" t="inlineStr">
        <is>
          <t>过宽</t>
        </is>
      </c>
      <c r="T17" s="24" t="inlineStr">
        <is>
          <t>不是反证</t>
        </is>
      </c>
      <c r="U17" s="24" t="inlineStr">
        <is>
          <t>不该触发</t>
        </is>
      </c>
      <c r="V17" s="24" t="inlineStr">
        <is>
          <t>合理</t>
        </is>
      </c>
      <c r="W17" s="24" t="n"/>
      <c r="X17" s="24" t="inlineStr">
        <is>
          <t>Identity information does not address social-network encouragement to retire.</t>
        </is>
      </c>
      <c r="Y17" s="24" t="inlineStr">
        <is>
          <t>陆含</t>
        </is>
      </c>
      <c r="Z17" s="24" t="inlineStr">
        <is>
          <t>未复核</t>
        </is>
      </c>
      <c r="AA17" s="24" t="n"/>
    </row>
    <row r="18" ht="68" customHeight="1">
      <c r="A18" s="24" t="inlineStr">
        <is>
          <t>47</t>
        </is>
      </c>
      <c r="B18" s="24" t="inlineStr">
        <is>
          <t>1:22:2</t>
        </is>
      </c>
      <c r="C18" s="24" t="inlineStr">
        <is>
          <t>Did Martin's social network encourage him to retire early on April 20, 2028?</t>
        </is>
      </c>
      <c r="D18" s="24" t="inlineStr">
        <is>
          <t>omission</t>
        </is>
      </c>
      <c r="E18" s="24" t="inlineStr">
        <is>
          <t>omission</t>
        </is>
      </c>
      <c r="F18" s="24" t="inlineStr">
        <is>
          <t>False</t>
        </is>
      </c>
      <c r="G18" s="24" t="inlineStr">
        <is>
          <t>10</t>
        </is>
      </c>
      <c r="H18" s="24" t="inlineStr">
        <is>
          <t>Martin transitioned to a new role, reporting huge relief and a much healthier balance between work and personal life, marking a significant improvement over his previous position.</t>
        </is>
      </c>
      <c r="I18" s="24" t="inlineStr">
        <is>
          <t>absence_not_refutation</t>
        </is>
      </c>
      <c r="J18" s="24" t="inlineStr">
        <is>
          <t>absence_not_refutation</t>
        </is>
      </c>
      <c r="K18" s="24" t="inlineStr">
        <is>
          <t>Martin</t>
        </is>
      </c>
      <c r="L18" s="24" t="inlineStr">
        <is>
          <t>generic_yesno</t>
        </is>
      </c>
      <c r="M18" s="24" t="inlineStr">
        <is>
          <t>early april 2028</t>
        </is>
      </c>
      <c r="N18" s="24" t="inlineStr">
        <is>
          <t>on April 20; April 20, 2028</t>
        </is>
      </c>
      <c r="O18" s="24" t="inlineStr">
        <is>
          <t>premise_anchor:True:pass:shared anchor tokens: martin | slot_value_alignment:True:pass:same slot | temporal_compatibility:True:pass:temporal condition is compatible | explicit_refutation:False:absence_not_refutation:memory does not mention the premise value</t>
        </is>
      </c>
      <c r="P18" s="24" t="inlineStr">
        <is>
          <t>premise_extraction_error</t>
        </is>
      </c>
      <c r="Q18" s="24" t="inlineStr">
        <is>
          <t>没有</t>
        </is>
      </c>
      <c r="R18" s="24" t="inlineStr">
        <is>
          <t>部分正确</t>
        </is>
      </c>
      <c r="S18" s="24" t="inlineStr">
        <is>
          <t>过宽</t>
        </is>
      </c>
      <c r="T18" s="24" t="inlineStr">
        <is>
          <t>不是反证但有用</t>
        </is>
      </c>
      <c r="U18" s="24" t="inlineStr">
        <is>
          <t>不该触发</t>
        </is>
      </c>
      <c r="V18" s="24" t="inlineStr">
        <is>
          <t>合理</t>
        </is>
      </c>
      <c r="W18" s="24" t="n"/>
      <c r="X18" s="24" t="inlineStr">
        <is>
          <t>New role information is career-related but does not refute social-network encouragement to retire.</t>
        </is>
      </c>
      <c r="Y18" s="24" t="inlineStr">
        <is>
          <t>陆含</t>
        </is>
      </c>
      <c r="Z18" s="24" t="inlineStr">
        <is>
          <t>未复核</t>
        </is>
      </c>
      <c r="AA18" s="24" t="n"/>
    </row>
    <row r="19" ht="68" customHeight="1">
      <c r="A19" s="24" t="inlineStr">
        <is>
          <t>59</t>
        </is>
      </c>
      <c r="B19" s="24" t="inlineStr">
        <is>
          <t>1:23:2</t>
        </is>
      </c>
      <c r="C19" s="24" t="inlineStr">
        <is>
          <t>Did Martin express a preference for solo gaming over multiplayer puzzle games on Aug 08, 2028?</t>
        </is>
      </c>
      <c r="D19" s="24" t="inlineStr">
        <is>
          <t>omission</t>
        </is>
      </c>
      <c r="E19" s="24" t="inlineStr">
        <is>
          <t>omission</t>
        </is>
      </c>
      <c r="F19" s="24" t="inlineStr">
        <is>
          <t>False</t>
        </is>
      </c>
      <c r="G19" s="24" t="inlineStr">
        <is>
          <t>1</t>
        </is>
      </c>
      <c r="H19" s="24" t="inlineStr">
        <is>
          <t>User dislikes violent video games because they promote aggression, which opposes his values of peace and well‑being; he likes puzzle games as they challenge his mind and improve problem‑solving skills crucial to his profession; he also avoids gambling games due to their potential for addiction and financial stress, which are detrimental to mental health.</t>
        </is>
      </c>
      <c r="I19" s="24" t="inlineStr">
        <is>
          <t>object_specificity_mismatch</t>
        </is>
      </c>
      <c r="J19" s="24" t="inlineStr">
        <is>
          <t>slot_value_near_miss</t>
        </is>
      </c>
      <c r="K19" s="24" t="inlineStr">
        <is>
          <t>Martin</t>
        </is>
      </c>
      <c r="L19" s="24" t="inlineStr">
        <is>
          <t>preference_status</t>
        </is>
      </c>
      <c r="M19" s="24" t="inlineStr">
        <is>
          <t>solo gaming over multiplayer puzzle games</t>
        </is>
      </c>
      <c r="N19" s="24" t="inlineStr">
        <is>
          <t>on Aug 08; Aug 08, 2028</t>
        </is>
      </c>
      <c r="O19" s="24" t="inlineStr">
        <is>
          <t>premise_anchor:True:pass:shared anchor tokens: puzzle | slot_value_alignment:False:object_specificity_mismatch:preference object is too generic | temporal_compatibility:False:not_evaluated: | explicit_refutation:False:not_evaluated:</t>
        </is>
      </c>
      <c r="P19" s="24" t="inlineStr">
        <is>
          <t>slot_mapping_error</t>
        </is>
      </c>
      <c r="Q19" s="24" t="inlineStr">
        <is>
          <t>没有</t>
        </is>
      </c>
      <c r="R19" s="24" t="inlineStr">
        <is>
          <t>正确</t>
        </is>
      </c>
      <c r="S19" s="24" t="inlineStr">
        <is>
          <t>正确</t>
        </is>
      </c>
      <c r="T19" s="24" t="inlineStr">
        <is>
          <t>不是反证但有用</t>
        </is>
      </c>
      <c r="U19" s="24" t="inlineStr">
        <is>
          <t>不该触发</t>
        </is>
      </c>
      <c r="V19" s="24" t="inlineStr">
        <is>
          <t>合理</t>
        </is>
      </c>
      <c r="W19" s="24" t="n"/>
      <c r="X19" s="24" t="inlineStr">
        <is>
          <t>The memory likes puzzle games but does not address solo gaming over multiplayer puzzle games.</t>
        </is>
      </c>
      <c r="Y19" s="24" t="inlineStr">
        <is>
          <t>陆含</t>
        </is>
      </c>
      <c r="Z19" s="24" t="inlineStr">
        <is>
          <t>未复核</t>
        </is>
      </c>
      <c r="AA19" s="24" t="n"/>
    </row>
    <row r="20" ht="68" customHeight="1">
      <c r="A20" s="24" t="inlineStr">
        <is>
          <t>63</t>
        </is>
      </c>
      <c r="B20" s="24" t="inlineStr">
        <is>
          <t>1:24:3</t>
        </is>
      </c>
      <c r="C20" s="24" t="inlineStr">
        <is>
          <t>Did Martin Mark express a preference for avoiding crowded tourist spots on Nov 10, 2028?</t>
        </is>
      </c>
      <c r="D20" s="24" t="inlineStr">
        <is>
          <t>omission</t>
        </is>
      </c>
      <c r="E20" s="24" t="inlineStr">
        <is>
          <t>omission</t>
        </is>
      </c>
      <c r="F20" s="24" t="inlineStr">
        <is>
          <t>False</t>
        </is>
      </c>
      <c r="G20" s="24" t="inlineStr">
        <is>
          <t>1</t>
        </is>
      </c>
      <c r="H20" s="24" t="inlineStr">
        <is>
          <t>User likes wellness retreats for relaxation and activities that promote physical and mental health, aligning with his lifestyle; he avoids crowded tourist spots because they can be overwhelming and stressful; he enjoys nature hikes to connect with the environment and experience tranquility as an escape from his busy work life; he likes cultural tours for insights into different lifestyles and traditions, and spa vacations for unwinding and rejuvenation to maintain life balance.</t>
        </is>
      </c>
      <c r="I20" s="24" t="inlineStr">
        <is>
          <t>not_refuting</t>
        </is>
      </c>
      <c r="J20" s="24" t="inlineStr">
        <is>
          <t>related_but_not_refuting</t>
        </is>
      </c>
      <c r="K20" s="24" t="inlineStr">
        <is>
          <t>Martin Mark</t>
        </is>
      </c>
      <c r="L20" s="24" t="inlineStr">
        <is>
          <t>preference_status</t>
        </is>
      </c>
      <c r="M20" s="24" t="inlineStr">
        <is>
          <t>avoiding crowded tourist spots</t>
        </is>
      </c>
      <c r="N20" s="24" t="inlineStr">
        <is>
          <t>on Nov 10; Nov 10, 2028</t>
        </is>
      </c>
      <c r="O20" s="24" t="inlineStr">
        <is>
          <t>premise_anchor:True:pass:shared anchor tokens: crowd, crowded, spot, spots, tourist | slot_value_alignment:True:pass:same preference value | temporal_compatibility:True:pass:stable opposite preference can refute dated preference utterance | explicit_refutation:False:not_refuting:memory is compatible with the premise or only supports it</t>
        </is>
      </c>
      <c r="P20" s="24" t="inlineStr">
        <is>
          <t>slot_mapping_error</t>
        </is>
      </c>
      <c r="Q20" s="24" t="inlineStr">
        <is>
          <t>没有</t>
        </is>
      </c>
      <c r="R20" s="24" t="inlineStr">
        <is>
          <t>正确</t>
        </is>
      </c>
      <c r="S20" s="24" t="inlineStr">
        <is>
          <t>正确</t>
        </is>
      </c>
      <c r="T20" s="24" t="inlineStr">
        <is>
          <t>不是反证但有用</t>
        </is>
      </c>
      <c r="U20" s="24" t="inlineStr">
        <is>
          <t>不该触发</t>
        </is>
      </c>
      <c r="V20" s="24" t="inlineStr">
        <is>
          <t>合理</t>
        </is>
      </c>
      <c r="W20" s="24" t="n"/>
      <c r="X20" s="24" t="inlineStr">
        <is>
          <t>The memory supports avoiding crowded tourist spots, so it is useful but not a refutation.</t>
        </is>
      </c>
      <c r="Y20" s="24" t="inlineStr">
        <is>
          <t>陆含</t>
        </is>
      </c>
      <c r="Z20" s="24" t="inlineStr">
        <is>
          <t>未复核</t>
        </is>
      </c>
      <c r="AA20" s="24" t="n"/>
    </row>
    <row r="21" ht="68" customHeight="1">
      <c r="A21" s="24" t="inlineStr">
        <is>
          <t>74</t>
        </is>
      </c>
      <c r="B21" s="24" t="inlineStr">
        <is>
          <t>1:30:4</t>
        </is>
      </c>
      <c r="C21" s="24" t="inlineStr">
        <is>
          <t>Did Martin's promotion to Senior Director at Huaxin Consulting occur after June 2029?</t>
        </is>
      </c>
      <c r="D21" s="24" t="inlineStr">
        <is>
          <t>omission</t>
        </is>
      </c>
      <c r="E21" s="24" t="inlineStr">
        <is>
          <t>omission</t>
        </is>
      </c>
      <c r="F21" s="24" t="inlineStr">
        <is>
          <t>False</t>
        </is>
      </c>
      <c r="G21" s="24" t="inlineStr">
        <is>
          <t>10</t>
        </is>
      </c>
      <c r="H21"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21" s="24" t="inlineStr">
        <is>
          <t>absence_not_refutation</t>
        </is>
      </c>
      <c r="J21" s="24" t="inlineStr">
        <is>
          <t>absence_not_refutation</t>
        </is>
      </c>
      <c r="K21" s="24" t="inlineStr">
        <is>
          <t>Martin</t>
        </is>
      </c>
      <c r="L21" s="24" t="inlineStr">
        <is>
          <t>generic_yesno</t>
        </is>
      </c>
      <c r="M21" s="24" t="inlineStr">
        <is>
          <t>occur june 2029</t>
        </is>
      </c>
      <c r="N21" s="24" t="inlineStr">
        <is>
          <t>after June 2029</t>
        </is>
      </c>
      <c r="O21" s="24" t="inlineStr">
        <is>
          <t>premise_anchor:True:pass:shared anchor tokens: martin | slot_value_alignment:True:pass:same slot | temporal_compatibility:True:pass:temporal condition is compatible | explicit_refutation:False:absence_not_refutation:memory does not mention the premise value</t>
        </is>
      </c>
      <c r="P21" s="24" t="inlineStr">
        <is>
          <t>no_counterevidence_in_raw_memories</t>
        </is>
      </c>
      <c r="Q21" s="24" t="inlineStr">
        <is>
          <t>没有</t>
        </is>
      </c>
      <c r="R21" s="24" t="inlineStr">
        <is>
          <t>部分正确</t>
        </is>
      </c>
      <c r="S21" s="24" t="inlineStr">
        <is>
          <t>过宽</t>
        </is>
      </c>
      <c r="T21" s="24" t="inlineStr">
        <is>
          <t>不是反证</t>
        </is>
      </c>
      <c r="U21" s="24" t="inlineStr">
        <is>
          <t>不该触发</t>
        </is>
      </c>
      <c r="V21" s="24" t="inlineStr">
        <is>
          <t>合理</t>
        </is>
      </c>
      <c r="W21" s="24" t="n"/>
      <c r="X21" s="24" t="inlineStr">
        <is>
          <t>Family background does not address the Senior Director promotion timing.</t>
        </is>
      </c>
      <c r="Y21" s="24" t="inlineStr">
        <is>
          <t>陆含</t>
        </is>
      </c>
      <c r="Z21" s="24" t="inlineStr">
        <is>
          <t>未复核</t>
        </is>
      </c>
      <c r="AA21" s="24" t="n"/>
    </row>
    <row r="22" ht="68" customHeight="1">
      <c r="A22" s="24" t="inlineStr">
        <is>
          <t>74</t>
        </is>
      </c>
      <c r="B22" s="24" t="inlineStr">
        <is>
          <t>1:30:4</t>
        </is>
      </c>
      <c r="C22" s="24" t="inlineStr">
        <is>
          <t>Did Martin's promotion to Senior Director at Huaxin Consulting occur after June 2029?</t>
        </is>
      </c>
      <c r="D22" s="24" t="inlineStr">
        <is>
          <t>omission</t>
        </is>
      </c>
      <c r="E22" s="24" t="inlineStr">
        <is>
          <t>omission</t>
        </is>
      </c>
      <c r="F22" s="24" t="inlineStr">
        <is>
          <t>False</t>
        </is>
      </c>
      <c r="G22" s="24" t="inlineStr">
        <is>
          <t>11</t>
        </is>
      </c>
      <c r="H22" s="24" t="inlineStr">
        <is>
          <t>User's name is Martin Mark, male, born on August 2, 1996, currently 29 years old, and resides in Columbus.</t>
        </is>
      </c>
      <c r="I22" s="24" t="inlineStr">
        <is>
          <t>absence_not_refutation</t>
        </is>
      </c>
      <c r="J22" s="24" t="inlineStr">
        <is>
          <t>absence_not_refutation</t>
        </is>
      </c>
      <c r="K22" s="24" t="inlineStr">
        <is>
          <t>Martin</t>
        </is>
      </c>
      <c r="L22" s="24" t="inlineStr">
        <is>
          <t>generic_yesno</t>
        </is>
      </c>
      <c r="M22" s="24" t="inlineStr">
        <is>
          <t>occur june 2029</t>
        </is>
      </c>
      <c r="N22" s="24" t="inlineStr">
        <is>
          <t>after June 2029</t>
        </is>
      </c>
      <c r="O22" s="24" t="inlineStr">
        <is>
          <t>premise_anchor:True:pass:shared anchor tokens: martin | slot_value_alignment:True:pass:same slot | temporal_compatibility:True:pass:temporal condition is compatible | explicit_refutation:False:absence_not_refutation:memory does not mention the premise value</t>
        </is>
      </c>
      <c r="P22" s="24" t="inlineStr">
        <is>
          <t>no_counterevidence_in_raw_memories</t>
        </is>
      </c>
      <c r="Q22" s="24" t="inlineStr">
        <is>
          <t>没有</t>
        </is>
      </c>
      <c r="R22" s="24" t="inlineStr">
        <is>
          <t>部分正确</t>
        </is>
      </c>
      <c r="S22" s="24" t="inlineStr">
        <is>
          <t>过宽</t>
        </is>
      </c>
      <c r="T22" s="24" t="inlineStr">
        <is>
          <t>不是反证</t>
        </is>
      </c>
      <c r="U22" s="24" t="inlineStr">
        <is>
          <t>不该触发</t>
        </is>
      </c>
      <c r="V22" s="24" t="inlineStr">
        <is>
          <t>合理</t>
        </is>
      </c>
      <c r="W22" s="24" t="n"/>
      <c r="X22" s="24" t="inlineStr">
        <is>
          <t>Identity information does not address the Senior Director promotion timing.</t>
        </is>
      </c>
      <c r="Y22" s="24" t="inlineStr">
        <is>
          <t>陆含</t>
        </is>
      </c>
      <c r="Z22" s="24" t="inlineStr">
        <is>
          <t>未复核</t>
        </is>
      </c>
      <c r="AA22" s="24" t="n"/>
    </row>
    <row r="23" ht="68" customHeight="1">
      <c r="A23" s="24" t="inlineStr">
        <is>
          <t>74</t>
        </is>
      </c>
      <c r="B23" s="24" t="inlineStr">
        <is>
          <t>1:30:4</t>
        </is>
      </c>
      <c r="C23" s="24" t="inlineStr">
        <is>
          <t>Did Martin's promotion to Senior Director at Huaxin Consulting occur after June 2029?</t>
        </is>
      </c>
      <c r="D23" s="24" t="inlineStr">
        <is>
          <t>omission</t>
        </is>
      </c>
      <c r="E23" s="24" t="inlineStr">
        <is>
          <t>omission</t>
        </is>
      </c>
      <c r="F23" s="24" t="inlineStr">
        <is>
          <t>False</t>
        </is>
      </c>
      <c r="G23" s="24" t="inlineStr">
        <is>
          <t>12</t>
        </is>
      </c>
      <c r="H23" s="24" t="inlineStr">
        <is>
          <t>Yoga remains a staple in Martin’s routine, complementing the more intense activities and supporting his mental clarity.</t>
        </is>
      </c>
      <c r="I23" s="24" t="inlineStr">
        <is>
          <t>absence_not_refutation</t>
        </is>
      </c>
      <c r="J23" s="24" t="inlineStr">
        <is>
          <t>absence_not_refutation</t>
        </is>
      </c>
      <c r="K23" s="24" t="inlineStr">
        <is>
          <t>Martin</t>
        </is>
      </c>
      <c r="L23" s="24" t="inlineStr">
        <is>
          <t>generic_yesno</t>
        </is>
      </c>
      <c r="M23" s="24" t="inlineStr">
        <is>
          <t>occur june 2029</t>
        </is>
      </c>
      <c r="N23" s="24" t="inlineStr">
        <is>
          <t>after June 2029</t>
        </is>
      </c>
      <c r="O23" s="24" t="inlineStr">
        <is>
          <t>premise_anchor:True:pass:shared anchor tokens: martin | slot_value_alignment:True:pass:same slot | temporal_compatibility:True:pass:temporal condition is compatible | explicit_refutation:False:absence_not_refutation:memory does not mention the premise value</t>
        </is>
      </c>
      <c r="P23" s="24" t="inlineStr">
        <is>
          <t>no_counterevidence_in_raw_memories</t>
        </is>
      </c>
      <c r="Q23" s="24" t="inlineStr">
        <is>
          <t>没有</t>
        </is>
      </c>
      <c r="R23" s="24" t="inlineStr">
        <is>
          <t>部分正确</t>
        </is>
      </c>
      <c r="S23" s="24" t="inlineStr">
        <is>
          <t>过宽</t>
        </is>
      </c>
      <c r="T23" s="24" t="inlineStr">
        <is>
          <t>不是反证</t>
        </is>
      </c>
      <c r="U23" s="24" t="inlineStr">
        <is>
          <t>不该触发</t>
        </is>
      </c>
      <c r="V23" s="24" t="inlineStr">
        <is>
          <t>合理</t>
        </is>
      </c>
      <c r="W23" s="24" t="n"/>
      <c r="X23" s="24" t="inlineStr">
        <is>
          <t>Yoga routine does not address the Senior Director promotion timing.</t>
        </is>
      </c>
      <c r="Y23" s="24" t="inlineStr">
        <is>
          <t>陆含</t>
        </is>
      </c>
      <c r="Z23" s="24" t="inlineStr">
        <is>
          <t>未复核</t>
        </is>
      </c>
      <c r="AA23" s="24" t="n"/>
    </row>
    <row r="24" ht="68" customHeight="1">
      <c r="A24" s="24" t="inlineStr">
        <is>
          <t>75</t>
        </is>
      </c>
      <c r="B24" s="24" t="inlineStr">
        <is>
          <t>1:30:5</t>
        </is>
      </c>
      <c r="C24" s="24" t="inlineStr">
        <is>
          <t>Did Martin's mental health improve after his promotion in March 2029?</t>
        </is>
      </c>
      <c r="D24" s="24" t="inlineStr">
        <is>
          <t>omission</t>
        </is>
      </c>
      <c r="E24" s="24" t="inlineStr">
        <is>
          <t>omission</t>
        </is>
      </c>
      <c r="F24" s="24" t="inlineStr">
        <is>
          <t>False</t>
        </is>
      </c>
      <c r="G24" s="24" t="inlineStr">
        <is>
          <t>1</t>
        </is>
      </c>
      <c r="H24" s="24" t="inlineStr">
        <is>
          <t>Martin says the new role has noticeably improved his mental health, relieving the stress and pressure that his former job had imposed on him.</t>
        </is>
      </c>
      <c r="I24" s="24" t="inlineStr">
        <is>
          <t>not_refuting</t>
        </is>
      </c>
      <c r="J24" s="24" t="inlineStr">
        <is>
          <t>related_but_not_refuting</t>
        </is>
      </c>
      <c r="K24" s="24" t="inlineStr">
        <is>
          <t>Martin</t>
        </is>
      </c>
      <c r="L24" s="24" t="inlineStr">
        <is>
          <t>health_status</t>
        </is>
      </c>
      <c r="M24" s="24" t="inlineStr">
        <is>
          <t>health</t>
        </is>
      </c>
      <c r="N24" s="24" t="inlineStr">
        <is>
          <t>after his promotion in March 2029</t>
        </is>
      </c>
      <c r="O24" s="24" t="inlineStr">
        <is>
          <t>premise_anchor:True:pass:same health/status domain | slot_value_alignment:True:pass:same health/status slot | temporal_compatibility:True:pass:health/status proposition has compatible trajectory semantics | explicit_refutation:False:not_refuting:health evidence does not contradict the premise</t>
        </is>
      </c>
      <c r="P24" s="24" t="inlineStr">
        <is>
          <t>slot_mapping_error</t>
        </is>
      </c>
      <c r="Q24" s="24" t="inlineStr">
        <is>
          <t>没有</t>
        </is>
      </c>
      <c r="R24" s="24" t="inlineStr">
        <is>
          <t>部分正确</t>
        </is>
      </c>
      <c r="S24" s="24" t="inlineStr">
        <is>
          <t>正确</t>
        </is>
      </c>
      <c r="T24" s="24" t="inlineStr">
        <is>
          <t>不是反证但有用</t>
        </is>
      </c>
      <c r="U24" s="24" t="inlineStr">
        <is>
          <t>不该触发</t>
        </is>
      </c>
      <c r="V24" s="24" t="inlineStr">
        <is>
          <t>合理</t>
        </is>
      </c>
      <c r="W24" s="24" t="n"/>
      <c r="X24" s="24" t="inlineStr">
        <is>
          <t>The memory supports mental-health improvement, so it is useful but not a refutation.</t>
        </is>
      </c>
      <c r="Y24" s="24" t="inlineStr">
        <is>
          <t>陆含</t>
        </is>
      </c>
      <c r="Z24" s="24" t="inlineStr">
        <is>
          <t>未复核</t>
        </is>
      </c>
      <c r="AA24" s="24" t="n"/>
    </row>
    <row r="25" ht="68" customHeight="1">
      <c r="A25" s="24" t="inlineStr">
        <is>
          <t>75</t>
        </is>
      </c>
      <c r="B25" s="24" t="inlineStr">
        <is>
          <t>1:30:5</t>
        </is>
      </c>
      <c r="C25" s="24" t="inlineStr">
        <is>
          <t>Did Martin's mental health improve after his promotion in March 2029?</t>
        </is>
      </c>
      <c r="D25" s="24" t="inlineStr">
        <is>
          <t>omission</t>
        </is>
      </c>
      <c r="E25" s="24" t="inlineStr">
        <is>
          <t>omission</t>
        </is>
      </c>
      <c r="F25" s="24" t="inlineStr">
        <is>
          <t>False</t>
        </is>
      </c>
      <c r="G25" s="24" t="inlineStr">
        <is>
          <t>2</t>
        </is>
      </c>
      <c r="H25" s="24" t="inlineStr">
        <is>
          <t>Despite a challenging journey, Martin feels hopeful and optimistic about finding a role that supports both his career ambitions and personal health.</t>
        </is>
      </c>
      <c r="I25" s="24" t="inlineStr">
        <is>
          <t>not_refuting</t>
        </is>
      </c>
      <c r="J25" s="24" t="inlineStr">
        <is>
          <t>related_but_not_refuting</t>
        </is>
      </c>
      <c r="K25" s="24" t="inlineStr">
        <is>
          <t>Martin</t>
        </is>
      </c>
      <c r="L25" s="24" t="inlineStr">
        <is>
          <t>health_status</t>
        </is>
      </c>
      <c r="M25" s="24" t="inlineStr">
        <is>
          <t>health</t>
        </is>
      </c>
      <c r="N25" s="24" t="inlineStr">
        <is>
          <t>after his promotion in March 2029</t>
        </is>
      </c>
      <c r="O25" s="24" t="inlineStr">
        <is>
          <t>premise_anchor:True:pass:same health/status domain | slot_value_alignment:True:pass:same health/status slot | temporal_compatibility:True:pass:health/status proposition has compatible trajectory semantics | explicit_refutation:False:not_refuting:health evidence does not contradict the premise</t>
        </is>
      </c>
      <c r="P25" s="24" t="inlineStr">
        <is>
          <t>slot_mapping_error</t>
        </is>
      </c>
      <c r="Q25" s="24" t="inlineStr">
        <is>
          <t>没有</t>
        </is>
      </c>
      <c r="R25" s="24" t="inlineStr">
        <is>
          <t>部分正确</t>
        </is>
      </c>
      <c r="S25" s="24" t="inlineStr">
        <is>
          <t>正确</t>
        </is>
      </c>
      <c r="T25" s="24" t="inlineStr">
        <is>
          <t>不是反证但有用</t>
        </is>
      </c>
      <c r="U25" s="24" t="inlineStr">
        <is>
          <t>不该触发</t>
        </is>
      </c>
      <c r="V25" s="24" t="inlineStr">
        <is>
          <t>合理</t>
        </is>
      </c>
      <c r="W25" s="24" t="n"/>
      <c r="X25" s="24" t="inlineStr">
        <is>
          <t>The memory is related to career and health but does not refute improvement after promotion.</t>
        </is>
      </c>
      <c r="Y25" s="24" t="inlineStr">
        <is>
          <t>陆含</t>
        </is>
      </c>
      <c r="Z25" s="24" t="inlineStr">
        <is>
          <t>未复核</t>
        </is>
      </c>
      <c r="AA25" s="24" t="n"/>
    </row>
    <row r="26" ht="68" customHeight="1">
      <c r="A26" s="24" t="inlineStr">
        <is>
          <t>75</t>
        </is>
      </c>
      <c r="B26" s="24" t="inlineStr">
        <is>
          <t>1:30:5</t>
        </is>
      </c>
      <c r="C26" s="24" t="inlineStr">
        <is>
          <t>Did Martin's mental health improve after his promotion in March 2029?</t>
        </is>
      </c>
      <c r="D26" s="24" t="inlineStr">
        <is>
          <t>omission</t>
        </is>
      </c>
      <c r="E26" s="24" t="inlineStr">
        <is>
          <t>omission</t>
        </is>
      </c>
      <c r="F26" s="24" t="inlineStr">
        <is>
          <t>False</t>
        </is>
      </c>
      <c r="G26" s="24" t="inlineStr">
        <is>
          <t>4</t>
        </is>
      </c>
      <c r="H26" s="24" t="inlineStr">
        <is>
          <t>User reflected that his current role as director at Huaxin Consulting is negatively affecting his mental health and recognized the need for a career change.</t>
        </is>
      </c>
      <c r="I26" s="24" t="inlineStr">
        <is>
          <t>not_refuting</t>
        </is>
      </c>
      <c r="J26" s="24" t="inlineStr">
        <is>
          <t>related_but_not_refuting</t>
        </is>
      </c>
      <c r="K26" s="24" t="inlineStr">
        <is>
          <t>Martin</t>
        </is>
      </c>
      <c r="L26" s="24" t="inlineStr">
        <is>
          <t>health_status</t>
        </is>
      </c>
      <c r="M26" s="24" t="inlineStr">
        <is>
          <t>health</t>
        </is>
      </c>
      <c r="N26" s="24" t="inlineStr">
        <is>
          <t>after his promotion in March 2029</t>
        </is>
      </c>
      <c r="O26" s="24" t="inlineStr">
        <is>
          <t>premise_anchor:True:pass:same health/status domain | slot_value_alignment:True:pass:same health/status slot | temporal_compatibility:True:pass:health/status proposition has compatible trajectory semantics | explicit_refutation:False:not_refuting:health evidence does not contradict the premise</t>
        </is>
      </c>
      <c r="P26" s="24" t="inlineStr">
        <is>
          <t>slot_mapping_error</t>
        </is>
      </c>
      <c r="Q26" s="24" t="inlineStr">
        <is>
          <t>明确有</t>
        </is>
      </c>
      <c r="R26" s="24" t="inlineStr">
        <is>
          <t>部分正确</t>
        </is>
      </c>
      <c r="S26" s="24" t="inlineStr">
        <is>
          <t>正确</t>
        </is>
      </c>
      <c r="T26" s="24" t="inlineStr">
        <is>
          <t>真反证</t>
        </is>
      </c>
      <c r="U26" s="24" t="inlineStr">
        <is>
          <t>应该触发</t>
        </is>
      </c>
      <c r="V26" s="24" t="inlineStr">
        <is>
          <t>不合理</t>
        </is>
      </c>
      <c r="W26" s="24" t="inlineStr">
        <is>
          <t>明确反驳判断过严</t>
        </is>
      </c>
      <c r="X26" s="24" t="inlineStr">
        <is>
          <t>The memory says the current role negatively affects mental health, contradicting improvement.</t>
        </is>
      </c>
      <c r="Y26" s="24" t="inlineStr">
        <is>
          <t>陆含</t>
        </is>
      </c>
      <c r="Z26" s="24" t="inlineStr">
        <is>
          <t>未复核</t>
        </is>
      </c>
      <c r="AA26" s="24" t="n"/>
    </row>
    <row r="27" ht="68" customHeight="1">
      <c r="A27" s="24" t="inlineStr">
        <is>
          <t>84</t>
        </is>
      </c>
      <c r="B27" s="24" t="inlineStr">
        <is>
          <t>1:33:1</t>
        </is>
      </c>
      <c r="C27" s="24" t="inlineStr">
        <is>
          <t>Did Martin Mark decide to exclude Sphynx cats from his pet preferences after visiting his colleague's home on 2030-02-26?</t>
        </is>
      </c>
      <c r="D27" s="24" t="inlineStr">
        <is>
          <t>omission</t>
        </is>
      </c>
      <c r="E27" s="24" t="inlineStr">
        <is>
          <t>omission</t>
        </is>
      </c>
      <c r="F27" s="24" t="inlineStr">
        <is>
          <t>False</t>
        </is>
      </c>
      <c r="G27" s="24" t="inlineStr">
        <is>
          <t>1</t>
        </is>
      </c>
      <c r="H27" s="24" t="inlineStr">
        <is>
          <t>User’s emerging preference for Golden Retrievers reflects his openness to new experiences and interactions, marking a shift from his previous focus on Labradors.</t>
        </is>
      </c>
      <c r="I27" s="24" t="inlineStr">
        <is>
          <t>absence_not_refutation</t>
        </is>
      </c>
      <c r="J27" s="24" t="inlineStr">
        <is>
          <t>absence_not_refutation</t>
        </is>
      </c>
      <c r="K27" s="24" t="inlineStr">
        <is>
          <t>Martin Mark</t>
        </is>
      </c>
      <c r="L27" s="24" t="inlineStr">
        <is>
          <t>generic_yesno</t>
        </is>
      </c>
      <c r="M27" s="24" t="inlineStr">
        <is>
          <t>colleague' home 2030</t>
        </is>
      </c>
      <c r="N27" s="24" t="inlineStr">
        <is>
          <t>decide to; after visiting his colleague's home on 2030-02-26; 2030-02-26</t>
        </is>
      </c>
      <c r="O27" s="24" t="inlineStr">
        <is>
          <t>premise_anchor:True:pass:shared anchor tokens: mark | slot_value_alignment:True:pass:same slot | temporal_compatibility:True:pass:temporal condition is compatible | explicit_refutation:False:absence_not_refutation:memory does not mention the premise value</t>
        </is>
      </c>
      <c r="P27" s="24" t="inlineStr">
        <is>
          <t>premise_extraction_error</t>
        </is>
      </c>
      <c r="Q27" s="24" t="inlineStr">
        <is>
          <t>没有</t>
        </is>
      </c>
      <c r="R27" s="24" t="inlineStr">
        <is>
          <t>错误</t>
        </is>
      </c>
      <c r="S27" s="24" t="inlineStr">
        <is>
          <t>过宽</t>
        </is>
      </c>
      <c r="T27" s="24" t="inlineStr">
        <is>
          <t>不是反证但有用</t>
        </is>
      </c>
      <c r="U27" s="24" t="inlineStr">
        <is>
          <t>不该触发</t>
        </is>
      </c>
      <c r="V27" s="24" t="inlineStr">
        <is>
          <t>合理</t>
        </is>
      </c>
      <c r="W27" s="24" t="n"/>
      <c r="X27" s="24" t="inlineStr">
        <is>
          <t>Golden Retriever preference is pet-related but does not address excluding Sphynx cats.</t>
        </is>
      </c>
      <c r="Y27" s="24" t="inlineStr">
        <is>
          <t>陆含</t>
        </is>
      </c>
      <c r="Z27" s="24" t="inlineStr">
        <is>
          <t>未复核</t>
        </is>
      </c>
      <c r="AA27" s="24" t="n"/>
    </row>
    <row r="28" ht="68" customHeight="1">
      <c r="A28" s="24" t="inlineStr">
        <is>
          <t>84</t>
        </is>
      </c>
      <c r="B28" s="24" t="inlineStr">
        <is>
          <t>1:33:1</t>
        </is>
      </c>
      <c r="C28" s="24" t="inlineStr">
        <is>
          <t>Did Martin Mark decide to exclude Sphynx cats from his pet preferences after visiting his colleague's home on 2030-02-26?</t>
        </is>
      </c>
      <c r="D28" s="24" t="inlineStr">
        <is>
          <t>omission</t>
        </is>
      </c>
      <c r="E28" s="24" t="inlineStr">
        <is>
          <t>omission</t>
        </is>
      </c>
      <c r="F28" s="24" t="inlineStr">
        <is>
          <t>False</t>
        </is>
      </c>
      <c r="G28" s="24" t="inlineStr">
        <is>
          <t>2</t>
        </is>
      </c>
      <c r="H28" s="24" t="inlineStr">
        <is>
          <t>User's name is Martin Mark, male, born on August 2, 1996, currently 29 years old, and resides in Columbus.</t>
        </is>
      </c>
      <c r="I28" s="24" t="inlineStr">
        <is>
          <t>absence_not_refutation</t>
        </is>
      </c>
      <c r="J28" s="24" t="inlineStr">
        <is>
          <t>absence_not_refutation</t>
        </is>
      </c>
      <c r="K28" s="24" t="inlineStr">
        <is>
          <t>Martin Mark</t>
        </is>
      </c>
      <c r="L28" s="24" t="inlineStr">
        <is>
          <t>generic_yesno</t>
        </is>
      </c>
      <c r="M28" s="24" t="inlineStr">
        <is>
          <t>colleague' home 2030</t>
        </is>
      </c>
      <c r="N28" s="24" t="inlineStr">
        <is>
          <t>decide to; after visiting his colleague's home on 2030-02-26; 2030-02-26</t>
        </is>
      </c>
      <c r="O28" s="24" t="inlineStr">
        <is>
          <t>premise_anchor:True:pass:shared anchor tokens: mark, martin | slot_value_alignment:True:pass:same slot | temporal_compatibility:True:pass:temporal condition is compatible | explicit_refutation:False:absence_not_refutation:memory does not mention the premise value</t>
        </is>
      </c>
      <c r="P28" s="24" t="inlineStr">
        <is>
          <t>premise_extraction_error</t>
        </is>
      </c>
      <c r="Q28" s="24" t="inlineStr">
        <is>
          <t>没有</t>
        </is>
      </c>
      <c r="R28" s="24" t="inlineStr">
        <is>
          <t>错误</t>
        </is>
      </c>
      <c r="S28" s="24" t="inlineStr">
        <is>
          <t>过宽</t>
        </is>
      </c>
      <c r="T28" s="24" t="inlineStr">
        <is>
          <t>不是反证</t>
        </is>
      </c>
      <c r="U28" s="24" t="inlineStr">
        <is>
          <t>不该触发</t>
        </is>
      </c>
      <c r="V28" s="24" t="inlineStr">
        <is>
          <t>合理</t>
        </is>
      </c>
      <c r="W28" s="24" t="n"/>
      <c r="X28" s="24" t="inlineStr">
        <is>
          <t>Identity information does not address excluding Sphynx cats.</t>
        </is>
      </c>
      <c r="Y28" s="24" t="inlineStr">
        <is>
          <t>陆含</t>
        </is>
      </c>
      <c r="Z28" s="24" t="inlineStr">
        <is>
          <t>未复核</t>
        </is>
      </c>
      <c r="AA28" s="24" t="n"/>
    </row>
    <row r="29" ht="68" customHeight="1">
      <c r="A29" s="24" t="inlineStr">
        <is>
          <t>84</t>
        </is>
      </c>
      <c r="B29" s="24" t="inlineStr">
        <is>
          <t>1:33:1</t>
        </is>
      </c>
      <c r="C29" s="24" t="inlineStr">
        <is>
          <t>Did Martin Mark decide to exclude Sphynx cats from his pet preferences after visiting his colleague's home on 2030-02-26?</t>
        </is>
      </c>
      <c r="D29" s="24" t="inlineStr">
        <is>
          <t>omission</t>
        </is>
      </c>
      <c r="E29" s="24" t="inlineStr">
        <is>
          <t>omission</t>
        </is>
      </c>
      <c r="F29" s="24" t="inlineStr">
        <is>
          <t>False</t>
        </is>
      </c>
      <c r="G29" s="24" t="inlineStr">
        <is>
          <t>6</t>
        </is>
      </c>
      <c r="H29"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29" s="24" t="inlineStr">
        <is>
          <t>absence_not_refutation</t>
        </is>
      </c>
      <c r="J29" s="24" t="inlineStr">
        <is>
          <t>absence_not_refutation</t>
        </is>
      </c>
      <c r="K29" s="24" t="inlineStr">
        <is>
          <t>Martin Mark</t>
        </is>
      </c>
      <c r="L29" s="24" t="inlineStr">
        <is>
          <t>generic_yesno</t>
        </is>
      </c>
      <c r="M29" s="24" t="inlineStr">
        <is>
          <t>colleague' home 2030</t>
        </is>
      </c>
      <c r="N29" s="24" t="inlineStr">
        <is>
          <t>decide to; after visiting his colleague's home on 2030-02-26; 2030-02-26</t>
        </is>
      </c>
      <c r="O29" s="24" t="inlineStr">
        <is>
          <t>premise_anchor:True:pass:shared anchor tokens: martin | slot_value_alignment:True:pass:same slot | temporal_compatibility:True:pass:temporal condition is compatible | explicit_refutation:False:absence_not_refutation:memory does not mention the premise value</t>
        </is>
      </c>
      <c r="P29" s="24" t="inlineStr">
        <is>
          <t>premise_extraction_error</t>
        </is>
      </c>
      <c r="Q29" s="24" t="inlineStr">
        <is>
          <t>没有</t>
        </is>
      </c>
      <c r="R29" s="24" t="inlineStr">
        <is>
          <t>错误</t>
        </is>
      </c>
      <c r="S29" s="24" t="inlineStr">
        <is>
          <t>过宽</t>
        </is>
      </c>
      <c r="T29" s="24" t="inlineStr">
        <is>
          <t>不是反证</t>
        </is>
      </c>
      <c r="U29" s="24" t="inlineStr">
        <is>
          <t>不该触发</t>
        </is>
      </c>
      <c r="V29" s="24" t="inlineStr">
        <is>
          <t>合理</t>
        </is>
      </c>
      <c r="W29" s="24" t="n"/>
      <c r="X29" s="24" t="inlineStr">
        <is>
          <t>Family background does not address excluding Sphynx cats.</t>
        </is>
      </c>
      <c r="Y29" s="24" t="inlineStr">
        <is>
          <t>陆含</t>
        </is>
      </c>
      <c r="Z29" s="24" t="inlineStr">
        <is>
          <t>未复核</t>
        </is>
      </c>
      <c r="AA29" s="24" t="n"/>
    </row>
    <row r="30" ht="68" customHeight="1">
      <c r="A30" s="24" t="inlineStr">
        <is>
          <t>87</t>
        </is>
      </c>
      <c r="B30" s="24" t="inlineStr">
        <is>
          <t>1:32:3</t>
        </is>
      </c>
      <c r="C30" s="24" t="inlineStr">
        <is>
          <t>Did Martin Mark decide to switch to casual attire on Nov 23, 2029, to enhance professionalism?</t>
        </is>
      </c>
      <c r="D30" s="24" t="inlineStr">
        <is>
          <t>omission</t>
        </is>
      </c>
      <c r="E30" s="24" t="inlineStr">
        <is>
          <t>omission</t>
        </is>
      </c>
      <c r="F30" s="24" t="inlineStr">
        <is>
          <t>False</t>
        </is>
      </c>
      <c r="G30" s="24" t="inlineStr">
        <is>
          <t>2</t>
        </is>
      </c>
      <c r="H30" s="24" t="inlineStr">
        <is>
          <t>User's name is Martin Mark, male, born on August 2, 1996, currently 29 years old, and resides in Columbus.</t>
        </is>
      </c>
      <c r="I30" s="24" t="inlineStr">
        <is>
          <t>absence_not_refutation</t>
        </is>
      </c>
      <c r="J30" s="24" t="inlineStr">
        <is>
          <t>absence_not_refutation</t>
        </is>
      </c>
      <c r="K30" s="24" t="inlineStr">
        <is>
          <t>Martin Mark</t>
        </is>
      </c>
      <c r="L30" s="24" t="inlineStr">
        <is>
          <t>generic_yesno</t>
        </is>
      </c>
      <c r="M30" s="24" t="inlineStr">
        <is>
          <t>2029 enhance professionalism</t>
        </is>
      </c>
      <c r="N30" s="24" t="inlineStr">
        <is>
          <t>decide to; on Nov 23; Nov 23, 2029</t>
        </is>
      </c>
      <c r="O30" s="24" t="inlineStr">
        <is>
          <t>premise_anchor:True:pass:shared anchor tokens: mark, martin | slot_value_alignment:True:pass:same slot | temporal_compatibility:True:pass:temporal condition is compatible | explicit_refutation:False:absence_not_refutation:memory does not mention the premise value</t>
        </is>
      </c>
      <c r="P30" s="24" t="inlineStr">
        <is>
          <t>premise_extraction_error</t>
        </is>
      </c>
      <c r="Q30" s="24" t="inlineStr">
        <is>
          <t>没有</t>
        </is>
      </c>
      <c r="R30" s="24" t="inlineStr">
        <is>
          <t>错误</t>
        </is>
      </c>
      <c r="S30" s="24" t="inlineStr">
        <is>
          <t>过宽</t>
        </is>
      </c>
      <c r="T30" s="24" t="inlineStr">
        <is>
          <t>不是反证</t>
        </is>
      </c>
      <c r="U30" s="24" t="inlineStr">
        <is>
          <t>不该触发</t>
        </is>
      </c>
      <c r="V30" s="24" t="inlineStr">
        <is>
          <t>合理</t>
        </is>
      </c>
      <c r="W30" s="24" t="n"/>
      <c r="X30" s="24" t="inlineStr">
        <is>
          <t>Identity information does not address switching to casual attire.</t>
        </is>
      </c>
      <c r="Y30" s="24" t="inlineStr">
        <is>
          <t>陆含</t>
        </is>
      </c>
      <c r="Z30" s="24" t="inlineStr">
        <is>
          <t>未复核</t>
        </is>
      </c>
      <c r="AA30" s="24" t="n"/>
    </row>
    <row r="31" ht="68" customHeight="1">
      <c r="A31" s="24" t="inlineStr">
        <is>
          <t>87</t>
        </is>
      </c>
      <c r="B31" s="24" t="inlineStr">
        <is>
          <t>1:32:3</t>
        </is>
      </c>
      <c r="C31" s="24" t="inlineStr">
        <is>
          <t>Did Martin Mark decide to switch to casual attire on Nov 23, 2029, to enhance professionalism?</t>
        </is>
      </c>
      <c r="D31" s="24" t="inlineStr">
        <is>
          <t>omission</t>
        </is>
      </c>
      <c r="E31" s="24" t="inlineStr">
        <is>
          <t>omission</t>
        </is>
      </c>
      <c r="F31" s="24" t="inlineStr">
        <is>
          <t>False</t>
        </is>
      </c>
      <c r="G31" s="24" t="inlineStr">
        <is>
          <t>3</t>
        </is>
      </c>
      <c r="H31" s="24" t="inlineStr">
        <is>
          <t>Martin transitioned to a new role, reporting huge relief and a much healthier balance between work and personal life, marking a significant improvement over his previous position.</t>
        </is>
      </c>
      <c r="I31" s="24" t="inlineStr">
        <is>
          <t>absence_not_refutation</t>
        </is>
      </c>
      <c r="J31" s="24" t="inlineStr">
        <is>
          <t>absence_not_refutation</t>
        </is>
      </c>
      <c r="K31" s="24" t="inlineStr">
        <is>
          <t>Martin Mark</t>
        </is>
      </c>
      <c r="L31" s="24" t="inlineStr">
        <is>
          <t>generic_yesno</t>
        </is>
      </c>
      <c r="M31" s="24" t="inlineStr">
        <is>
          <t>2029 enhance professionalism</t>
        </is>
      </c>
      <c r="N31" s="24" t="inlineStr">
        <is>
          <t>decide to; on Nov 23; Nov 23, 2029</t>
        </is>
      </c>
      <c r="O31" s="24" t="inlineStr">
        <is>
          <t>premise_anchor:True:pass:shared anchor tokens: mark, martin | slot_value_alignment:True:pass:same slot | temporal_compatibility:True:pass:temporal condition is compatible | explicit_refutation:False:absence_not_refutation:memory does not mention the premise value</t>
        </is>
      </c>
      <c r="P31" s="24" t="inlineStr">
        <is>
          <t>premise_extraction_error</t>
        </is>
      </c>
      <c r="Q31" s="24" t="inlineStr">
        <is>
          <t>没有</t>
        </is>
      </c>
      <c r="R31" s="24" t="inlineStr">
        <is>
          <t>错误</t>
        </is>
      </c>
      <c r="S31" s="24" t="inlineStr">
        <is>
          <t>过宽</t>
        </is>
      </c>
      <c r="T31" s="24" t="inlineStr">
        <is>
          <t>不是反证</t>
        </is>
      </c>
      <c r="U31" s="24" t="inlineStr">
        <is>
          <t>不该触发</t>
        </is>
      </c>
      <c r="V31" s="24" t="inlineStr">
        <is>
          <t>合理</t>
        </is>
      </c>
      <c r="W31" s="24" t="n"/>
      <c r="X31" s="24" t="inlineStr">
        <is>
          <t>Job transition does not address switching to casual attire for professionalism.</t>
        </is>
      </c>
      <c r="Y31" s="24" t="inlineStr">
        <is>
          <t>陆含</t>
        </is>
      </c>
      <c r="Z31" s="24" t="inlineStr">
        <is>
          <t>未复核</t>
        </is>
      </c>
      <c r="AA31" s="24" t="n"/>
    </row>
    <row r="32" ht="68" customHeight="1">
      <c r="A32" s="24" t="inlineStr">
        <is>
          <t>87</t>
        </is>
      </c>
      <c r="B32" s="24" t="inlineStr">
        <is>
          <t>1:32:3</t>
        </is>
      </c>
      <c r="C32" s="24" t="inlineStr">
        <is>
          <t>Did Martin Mark decide to switch to casual attire on Nov 23, 2029, to enhance professionalism?</t>
        </is>
      </c>
      <c r="D32" s="24" t="inlineStr">
        <is>
          <t>omission</t>
        </is>
      </c>
      <c r="E32" s="24" t="inlineStr">
        <is>
          <t>omission</t>
        </is>
      </c>
      <c r="F32" s="24" t="inlineStr">
        <is>
          <t>False</t>
        </is>
      </c>
      <c r="G32" s="24" t="inlineStr">
        <is>
          <t>5</t>
        </is>
      </c>
      <c r="H32" s="24" t="inlineStr">
        <is>
          <t>Martin tried simulated skydiving during a team‑building event on April 10, 2026 and found the experience quite thrilling.</t>
        </is>
      </c>
      <c r="I32" s="24" t="inlineStr">
        <is>
          <t>absence_not_refutation</t>
        </is>
      </c>
      <c r="J32" s="24" t="inlineStr">
        <is>
          <t>absence_not_refutation</t>
        </is>
      </c>
      <c r="K32" s="24" t="inlineStr">
        <is>
          <t>Martin Mark</t>
        </is>
      </c>
      <c r="L32" s="24" t="inlineStr">
        <is>
          <t>generic_yesno</t>
        </is>
      </c>
      <c r="M32" s="24" t="inlineStr">
        <is>
          <t>2029 enhance professionalism</t>
        </is>
      </c>
      <c r="N32" s="24" t="inlineStr">
        <is>
          <t>decide to; on Nov 23; Nov 23, 2029</t>
        </is>
      </c>
      <c r="O32" s="24" t="inlineStr">
        <is>
          <t>premise_anchor:True:pass:shared anchor tokens: martin | slot_value_alignment:True:pass:same slot | temporal_compatibility:True:pass:temporal condition is compatible | explicit_refutation:False:absence_not_refutation:memory does not mention the premise value</t>
        </is>
      </c>
      <c r="P32" s="24" t="inlineStr">
        <is>
          <t>premise_extraction_error</t>
        </is>
      </c>
      <c r="Q32" s="24" t="inlineStr">
        <is>
          <t>没有</t>
        </is>
      </c>
      <c r="R32" s="24" t="inlineStr">
        <is>
          <t>错误</t>
        </is>
      </c>
      <c r="S32" s="24" t="inlineStr">
        <is>
          <t>过宽</t>
        </is>
      </c>
      <c r="T32" s="24" t="inlineStr">
        <is>
          <t>不是反证</t>
        </is>
      </c>
      <c r="U32" s="24" t="inlineStr">
        <is>
          <t>不该触发</t>
        </is>
      </c>
      <c r="V32" s="24" t="inlineStr">
        <is>
          <t>合理</t>
        </is>
      </c>
      <c r="W32" s="24" t="n"/>
      <c r="X32" s="24" t="inlineStr">
        <is>
          <t>Simulated skydiving does not address switching to casual attire.</t>
        </is>
      </c>
      <c r="Y32" s="24" t="inlineStr">
        <is>
          <t>陆含</t>
        </is>
      </c>
      <c r="Z32" s="24" t="inlineStr">
        <is>
          <t>未复核</t>
        </is>
      </c>
      <c r="AA32" s="24" t="n"/>
    </row>
    <row r="33" ht="68" customHeight="1">
      <c r="A33" s="24" t="inlineStr">
        <is>
          <t>91</t>
        </is>
      </c>
      <c r="B33" s="24" t="inlineStr">
        <is>
          <t>1:34:2</t>
        </is>
      </c>
      <c r="C33" s="24" t="inlineStr">
        <is>
          <t>Did Martin Mark's perception of wrestling remain negative after attending a live event on May 31, 2030?</t>
        </is>
      </c>
      <c r="D33" s="24" t="inlineStr">
        <is>
          <t>omission</t>
        </is>
      </c>
      <c r="E33" s="24" t="inlineStr">
        <is>
          <t>omission</t>
        </is>
      </c>
      <c r="F33" s="24" t="inlineStr">
        <is>
          <t>False</t>
        </is>
      </c>
      <c r="G33" s="24" t="inlineStr">
        <is>
          <t>1</t>
        </is>
      </c>
      <c r="H33" s="24" t="inlineStr">
        <is>
          <t>Martin tried simulated skydiving during a team‑building event on April 10, 2026 and found the experience quite thrilling.</t>
        </is>
      </c>
      <c r="I33" s="24" t="inlineStr">
        <is>
          <t>absence_not_refutation</t>
        </is>
      </c>
      <c r="J33" s="24" t="inlineStr">
        <is>
          <t>absence_not_refutation</t>
        </is>
      </c>
      <c r="K33" s="24" t="inlineStr">
        <is>
          <t>Martin Mark</t>
        </is>
      </c>
      <c r="L33" s="24" t="inlineStr">
        <is>
          <t>generic_yesno</t>
        </is>
      </c>
      <c r="M33" s="24" t="inlineStr">
        <is>
          <t>event may 2030</t>
        </is>
      </c>
      <c r="N33" s="24" t="inlineStr">
        <is>
          <t>after attending a live event on May 31; May 31, 2030</t>
        </is>
      </c>
      <c r="O33" s="24" t="inlineStr">
        <is>
          <t>premise_anchor:True:pass:shared anchor tokens: martin | slot_value_alignment:True:pass:same slot | temporal_compatibility:True:pass:temporal condition is compatible | explicit_refutation:False:absence_not_refutation:memory does not mention the premise value</t>
        </is>
      </c>
      <c r="P33" s="24" t="inlineStr">
        <is>
          <t>premise_extraction_error</t>
        </is>
      </c>
      <c r="Q33" s="24" t="inlineStr">
        <is>
          <t>没有</t>
        </is>
      </c>
      <c r="R33" s="24" t="inlineStr">
        <is>
          <t>错误</t>
        </is>
      </c>
      <c r="S33" s="24" t="inlineStr">
        <is>
          <t>过宽</t>
        </is>
      </c>
      <c r="T33" s="24" t="inlineStr">
        <is>
          <t>不是反证</t>
        </is>
      </c>
      <c r="U33" s="24" t="inlineStr">
        <is>
          <t>不该触发</t>
        </is>
      </c>
      <c r="V33" s="24" t="inlineStr">
        <is>
          <t>合理</t>
        </is>
      </c>
      <c r="W33" s="24" t="n"/>
      <c r="X33" s="24" t="inlineStr">
        <is>
          <t>Simulated skydiving does not address wrestling perception.</t>
        </is>
      </c>
      <c r="Y33" s="24" t="inlineStr">
        <is>
          <t>陆含</t>
        </is>
      </c>
      <c r="Z33" s="24" t="inlineStr">
        <is>
          <t>未复核</t>
        </is>
      </c>
      <c r="AA33" s="24" t="n"/>
    </row>
    <row r="34" ht="68" customHeight="1">
      <c r="A34" s="24" t="inlineStr">
        <is>
          <t>91</t>
        </is>
      </c>
      <c r="B34" s="24" t="inlineStr">
        <is>
          <t>1:34:2</t>
        </is>
      </c>
      <c r="C34" s="24" t="inlineStr">
        <is>
          <t>Did Martin Mark's perception of wrestling remain negative after attending a live event on May 31, 2030?</t>
        </is>
      </c>
      <c r="D34" s="24" t="inlineStr">
        <is>
          <t>omission</t>
        </is>
      </c>
      <c r="E34" s="24" t="inlineStr">
        <is>
          <t>omission</t>
        </is>
      </c>
      <c r="F34" s="24" t="inlineStr">
        <is>
          <t>False</t>
        </is>
      </c>
      <c r="G34" s="24" t="inlineStr">
        <is>
          <t>2</t>
        </is>
      </c>
      <c r="H34" s="24" t="inlineStr">
        <is>
          <t>User's name is Martin Mark, male, born on August 2, 1996, currently 29 years old, and resides in Columbus.</t>
        </is>
      </c>
      <c r="I34" s="24" t="inlineStr">
        <is>
          <t>absence_not_refutation</t>
        </is>
      </c>
      <c r="J34" s="24" t="inlineStr">
        <is>
          <t>absence_not_refutation</t>
        </is>
      </c>
      <c r="K34" s="24" t="inlineStr">
        <is>
          <t>Martin Mark</t>
        </is>
      </c>
      <c r="L34" s="24" t="inlineStr">
        <is>
          <t>generic_yesno</t>
        </is>
      </c>
      <c r="M34" s="24" t="inlineStr">
        <is>
          <t>event may 2030</t>
        </is>
      </c>
      <c r="N34" s="24" t="inlineStr">
        <is>
          <t>after attending a live event on May 31; May 31, 2030</t>
        </is>
      </c>
      <c r="O34" s="24" t="inlineStr">
        <is>
          <t>premise_anchor:True:pass:shared anchor tokens: mark, martin | slot_value_alignment:True:pass:same slot | temporal_compatibility:True:pass:temporal condition is compatible | explicit_refutation:False:absence_not_refutation:memory does not mention the premise value</t>
        </is>
      </c>
      <c r="P34" s="24" t="inlineStr">
        <is>
          <t>premise_extraction_error</t>
        </is>
      </c>
      <c r="Q34" s="24" t="inlineStr">
        <is>
          <t>没有</t>
        </is>
      </c>
      <c r="R34" s="24" t="inlineStr">
        <is>
          <t>错误</t>
        </is>
      </c>
      <c r="S34" s="24" t="inlineStr">
        <is>
          <t>过宽</t>
        </is>
      </c>
      <c r="T34" s="24" t="inlineStr">
        <is>
          <t>不是反证</t>
        </is>
      </c>
      <c r="U34" s="24" t="inlineStr">
        <is>
          <t>不该触发</t>
        </is>
      </c>
      <c r="V34" s="24" t="inlineStr">
        <is>
          <t>合理</t>
        </is>
      </c>
      <c r="W34" s="24" t="n"/>
      <c r="X34" s="24" t="inlineStr">
        <is>
          <t>Identity information does not address wrestling perception.</t>
        </is>
      </c>
      <c r="Y34" s="24" t="inlineStr">
        <is>
          <t>陆含</t>
        </is>
      </c>
      <c r="Z34" s="24" t="inlineStr">
        <is>
          <t>未复核</t>
        </is>
      </c>
      <c r="AA34" s="24" t="n"/>
    </row>
    <row r="35" ht="68" customHeight="1">
      <c r="A35" s="24" t="inlineStr">
        <is>
          <t>91</t>
        </is>
      </c>
      <c r="B35" s="24" t="inlineStr">
        <is>
          <t>1:34:2</t>
        </is>
      </c>
      <c r="C35" s="24" t="inlineStr">
        <is>
          <t>Did Martin Mark's perception of wrestling remain negative after attending a live event on May 31, 2030?</t>
        </is>
      </c>
      <c r="D35" s="24" t="inlineStr">
        <is>
          <t>omission</t>
        </is>
      </c>
      <c r="E35" s="24" t="inlineStr">
        <is>
          <t>omission</t>
        </is>
      </c>
      <c r="F35" s="24" t="inlineStr">
        <is>
          <t>False</t>
        </is>
      </c>
      <c r="G35" s="24" t="inlineStr">
        <is>
          <t>3</t>
        </is>
      </c>
      <c r="H35" s="24" t="inlineStr">
        <is>
          <t>Yoga remains a staple in Martin’s routine, complementing the more intense activities and supporting his mental clarity.</t>
        </is>
      </c>
      <c r="I35" s="24" t="inlineStr">
        <is>
          <t>absence_not_refutation</t>
        </is>
      </c>
      <c r="J35" s="24" t="inlineStr">
        <is>
          <t>absence_not_refutation</t>
        </is>
      </c>
      <c r="K35" s="24" t="inlineStr">
        <is>
          <t>Martin Mark</t>
        </is>
      </c>
      <c r="L35" s="24" t="inlineStr">
        <is>
          <t>generic_yesno</t>
        </is>
      </c>
      <c r="M35" s="24" t="inlineStr">
        <is>
          <t>event may 2030</t>
        </is>
      </c>
      <c r="N35" s="24" t="inlineStr">
        <is>
          <t>after attending a live event on May 31; May 31, 2030</t>
        </is>
      </c>
      <c r="O35" s="24" t="inlineStr">
        <is>
          <t>premise_anchor:True:pass:shared anchor tokens: martin | slot_value_alignment:True:pass:same slot | temporal_compatibility:True:pass:temporal condition is compatible | explicit_refutation:False:absence_not_refutation:memory does not mention the premise value</t>
        </is>
      </c>
      <c r="P35" s="24" t="inlineStr">
        <is>
          <t>premise_extraction_error</t>
        </is>
      </c>
      <c r="Q35" s="24" t="inlineStr">
        <is>
          <t>没有</t>
        </is>
      </c>
      <c r="R35" s="24" t="inlineStr">
        <is>
          <t>错误</t>
        </is>
      </c>
      <c r="S35" s="24" t="inlineStr">
        <is>
          <t>过宽</t>
        </is>
      </c>
      <c r="T35" s="24" t="inlineStr">
        <is>
          <t>不是反证</t>
        </is>
      </c>
      <c r="U35" s="24" t="inlineStr">
        <is>
          <t>不该触发</t>
        </is>
      </c>
      <c r="V35" s="24" t="inlineStr">
        <is>
          <t>合理</t>
        </is>
      </c>
      <c r="W35" s="24" t="n"/>
      <c r="X35" s="24" t="inlineStr">
        <is>
          <t>Yoga routine does not address wrestling perception.</t>
        </is>
      </c>
      <c r="Y35" s="24" t="inlineStr">
        <is>
          <t>陆含</t>
        </is>
      </c>
      <c r="Z35" s="24" t="inlineStr">
        <is>
          <t>未复核</t>
        </is>
      </c>
      <c r="AA35" s="24" t="n"/>
    </row>
    <row r="36" ht="68" customHeight="1">
      <c r="A36" s="24" t="inlineStr">
        <is>
          <t>93</t>
        </is>
      </c>
      <c r="B36" s="24" t="inlineStr">
        <is>
          <t>1:36:1</t>
        </is>
      </c>
      <c r="C36" s="24" t="inlineStr">
        <is>
          <t>Did Martin Mark abandon conservation-focused hikes after December 06, 2030?</t>
        </is>
      </c>
      <c r="D36" s="24" t="inlineStr">
        <is>
          <t>omission</t>
        </is>
      </c>
      <c r="E36" s="24" t="inlineStr">
        <is>
          <t>omission</t>
        </is>
      </c>
      <c r="F36" s="24" t="inlineStr">
        <is>
          <t>False</t>
        </is>
      </c>
      <c r="G36" s="24" t="inlineStr">
        <is>
          <t>1</t>
        </is>
      </c>
      <c r="H36" s="24" t="inlineStr">
        <is>
          <t>User's name is Martin Mark, male, born on August 2, 1996, currently 29 years old, and resides in Columbus.</t>
        </is>
      </c>
      <c r="I36" s="24" t="inlineStr">
        <is>
          <t>absence_not_refutation</t>
        </is>
      </c>
      <c r="J36" s="24" t="inlineStr">
        <is>
          <t>absence_not_refutation</t>
        </is>
      </c>
      <c r="K36" s="24" t="inlineStr">
        <is>
          <t>Martin Mark</t>
        </is>
      </c>
      <c r="L36" s="24" t="inlineStr">
        <is>
          <t>generic_yesno</t>
        </is>
      </c>
      <c r="M36" s="24" t="inlineStr">
        <is>
          <t>hik december 2030</t>
        </is>
      </c>
      <c r="N36" s="24" t="inlineStr">
        <is>
          <t>after December 06; December 06, 2030</t>
        </is>
      </c>
      <c r="O36" s="24" t="inlineStr">
        <is>
          <t>premise_anchor:True:pass:shared anchor tokens: mark, martin | slot_value_alignment:True:pass:same slot | temporal_compatibility:True:pass:temporal condition is compatible | explicit_refutation:False:absence_not_refutation:memory does not mention the premise value</t>
        </is>
      </c>
      <c r="P36" s="24" t="inlineStr">
        <is>
          <t>explicit_refutation_gate_too_strict</t>
        </is>
      </c>
      <c r="Q36" s="24" t="inlineStr">
        <is>
          <t>没有</t>
        </is>
      </c>
      <c r="R36" s="24" t="inlineStr">
        <is>
          <t>部分正确</t>
        </is>
      </c>
      <c r="S36" s="24" t="inlineStr">
        <is>
          <t>过宽</t>
        </is>
      </c>
      <c r="T36" s="24" t="inlineStr">
        <is>
          <t>不是反证</t>
        </is>
      </c>
      <c r="U36" s="24" t="inlineStr">
        <is>
          <t>不该触发</t>
        </is>
      </c>
      <c r="V36" s="24" t="inlineStr">
        <is>
          <t>合理</t>
        </is>
      </c>
      <c r="W36" s="24" t="n"/>
      <c r="X36" s="24" t="inlineStr">
        <is>
          <t>Identity information does not address conservation-focused hikes.</t>
        </is>
      </c>
      <c r="Y36" s="24" t="inlineStr">
        <is>
          <t>陆含</t>
        </is>
      </c>
      <c r="Z36" s="24" t="inlineStr">
        <is>
          <t>未复核</t>
        </is>
      </c>
      <c r="AA36" s="24" t="n"/>
    </row>
    <row r="37" ht="68" customHeight="1">
      <c r="A37" s="24" t="inlineStr">
        <is>
          <t>93</t>
        </is>
      </c>
      <c r="B37" s="24" t="inlineStr">
        <is>
          <t>1:36:1</t>
        </is>
      </c>
      <c r="C37" s="24" t="inlineStr">
        <is>
          <t>Did Martin Mark abandon conservation-focused hikes after December 06, 2030?</t>
        </is>
      </c>
      <c r="D37" s="24" t="inlineStr">
        <is>
          <t>omission</t>
        </is>
      </c>
      <c r="E37" s="24" t="inlineStr">
        <is>
          <t>omission</t>
        </is>
      </c>
      <c r="F37" s="24" t="inlineStr">
        <is>
          <t>False</t>
        </is>
      </c>
      <c r="G37" s="24" t="inlineStr">
        <is>
          <t>2</t>
        </is>
      </c>
      <c r="H37" s="24" t="inlineStr">
        <is>
          <t>Martin tried simulated skydiving during a team‑building event on April 10, 2026 and found the experience quite thrilling.</t>
        </is>
      </c>
      <c r="I37" s="24" t="inlineStr">
        <is>
          <t>absence_not_refutation</t>
        </is>
      </c>
      <c r="J37" s="24" t="inlineStr">
        <is>
          <t>absence_not_refutation</t>
        </is>
      </c>
      <c r="K37" s="24" t="inlineStr">
        <is>
          <t>Martin Mark</t>
        </is>
      </c>
      <c r="L37" s="24" t="inlineStr">
        <is>
          <t>generic_yesno</t>
        </is>
      </c>
      <c r="M37" s="24" t="inlineStr">
        <is>
          <t>hik december 2030</t>
        </is>
      </c>
      <c r="N37" s="24" t="inlineStr">
        <is>
          <t>after December 06; December 06, 2030</t>
        </is>
      </c>
      <c r="O37" s="24" t="inlineStr">
        <is>
          <t>premise_anchor:True:pass:shared anchor tokens: martin | slot_value_alignment:True:pass:same slot | temporal_compatibility:True:pass:temporal condition is compatible | explicit_refutation:False:absence_not_refutation:memory does not mention the premise value</t>
        </is>
      </c>
      <c r="P37" s="24" t="inlineStr">
        <is>
          <t>explicit_refutation_gate_too_strict</t>
        </is>
      </c>
      <c r="Q37" s="24" t="inlineStr">
        <is>
          <t>没有</t>
        </is>
      </c>
      <c r="R37" s="24" t="inlineStr">
        <is>
          <t>部分正确</t>
        </is>
      </c>
      <c r="S37" s="24" t="inlineStr">
        <is>
          <t>过宽</t>
        </is>
      </c>
      <c r="T37" s="24" t="inlineStr">
        <is>
          <t>不是反证</t>
        </is>
      </c>
      <c r="U37" s="24" t="inlineStr">
        <is>
          <t>不该触发</t>
        </is>
      </c>
      <c r="V37" s="24" t="inlineStr">
        <is>
          <t>合理</t>
        </is>
      </c>
      <c r="W37" s="24" t="n"/>
      <c r="X37" s="24" t="inlineStr">
        <is>
          <t>Simulated skydiving does not address conservation-focused hikes.</t>
        </is>
      </c>
      <c r="Y37" s="24" t="inlineStr">
        <is>
          <t>陆含</t>
        </is>
      </c>
      <c r="Z37" s="24" t="inlineStr">
        <is>
          <t>未复核</t>
        </is>
      </c>
      <c r="AA37" s="24" t="n"/>
    </row>
    <row r="38" ht="68" customHeight="1">
      <c r="A38" s="24" t="inlineStr">
        <is>
          <t>93</t>
        </is>
      </c>
      <c r="B38" s="24" t="inlineStr">
        <is>
          <t>1:36:1</t>
        </is>
      </c>
      <c r="C38" s="24" t="inlineStr">
        <is>
          <t>Did Martin Mark abandon conservation-focused hikes after December 06, 2030?</t>
        </is>
      </c>
      <c r="D38" s="24" t="inlineStr">
        <is>
          <t>omission</t>
        </is>
      </c>
      <c r="E38" s="24" t="inlineStr">
        <is>
          <t>omission</t>
        </is>
      </c>
      <c r="F38" s="24" t="inlineStr">
        <is>
          <t>False</t>
        </is>
      </c>
      <c r="G38" s="24" t="inlineStr">
        <is>
          <t>3</t>
        </is>
      </c>
      <c r="H38"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38" s="24" t="inlineStr">
        <is>
          <t>absence_not_refutation</t>
        </is>
      </c>
      <c r="J38" s="24" t="inlineStr">
        <is>
          <t>absence_not_refutation</t>
        </is>
      </c>
      <c r="K38" s="24" t="inlineStr">
        <is>
          <t>Martin Mark</t>
        </is>
      </c>
      <c r="L38" s="24" t="inlineStr">
        <is>
          <t>generic_yesno</t>
        </is>
      </c>
      <c r="M38" s="24" t="inlineStr">
        <is>
          <t>hik december 2030</t>
        </is>
      </c>
      <c r="N38" s="24" t="inlineStr">
        <is>
          <t>after December 06; December 06, 2030</t>
        </is>
      </c>
      <c r="O38" s="24" t="inlineStr">
        <is>
          <t>premise_anchor:True:pass:shared anchor tokens: martin | slot_value_alignment:True:pass:same slot | temporal_compatibility:True:pass:temporal condition is compatible | explicit_refutation:False:absence_not_refutation:memory does not mention the premise value</t>
        </is>
      </c>
      <c r="P38" s="24" t="inlineStr">
        <is>
          <t>explicit_refutation_gate_too_strict</t>
        </is>
      </c>
      <c r="Q38" s="24" t="inlineStr">
        <is>
          <t>没有</t>
        </is>
      </c>
      <c r="R38" s="24" t="inlineStr">
        <is>
          <t>部分正确</t>
        </is>
      </c>
      <c r="S38" s="24" t="inlineStr">
        <is>
          <t>过宽</t>
        </is>
      </c>
      <c r="T38" s="24" t="inlineStr">
        <is>
          <t>不是反证</t>
        </is>
      </c>
      <c r="U38" s="24" t="inlineStr">
        <is>
          <t>不该触发</t>
        </is>
      </c>
      <c r="V38" s="24" t="inlineStr">
        <is>
          <t>合理</t>
        </is>
      </c>
      <c r="W38" s="24" t="n"/>
      <c r="X38" s="24" t="inlineStr">
        <is>
          <t>Family background does not address conservation-focused hikes.</t>
        </is>
      </c>
      <c r="Y38" s="24" t="inlineStr">
        <is>
          <t>陆含</t>
        </is>
      </c>
      <c r="Z38" s="24" t="inlineStr">
        <is>
          <t>未复核</t>
        </is>
      </c>
      <c r="AA38" s="24" t="n"/>
    </row>
    <row r="39" ht="68" customHeight="1">
      <c r="A39" s="24" t="inlineStr">
        <is>
          <t>95</t>
        </is>
      </c>
      <c r="B39" s="24" t="inlineStr">
        <is>
          <t>1:35:3</t>
        </is>
      </c>
      <c r="C39" s="24" t="inlineStr">
        <is>
          <t>Did Martin express skepticism about responsible gaming practices during his friend's recovery on Sep 04, 2030?</t>
        </is>
      </c>
      <c r="D39" s="24" t="inlineStr">
        <is>
          <t>omission</t>
        </is>
      </c>
      <c r="E39" s="24" t="inlineStr">
        <is>
          <t>omission</t>
        </is>
      </c>
      <c r="F39" s="24" t="inlineStr">
        <is>
          <t>False</t>
        </is>
      </c>
      <c r="G39" s="24" t="inlineStr">
        <is>
          <t>3</t>
        </is>
      </c>
      <c r="H39" s="24" t="inlineStr">
        <is>
          <t>Martin tried simulated skydiving during a team‑building event on April 10, 2026 and found the experience quite thrilling.</t>
        </is>
      </c>
      <c r="I39" s="24" t="inlineStr">
        <is>
          <t>absence_not_refutation</t>
        </is>
      </c>
      <c r="J39" s="24" t="inlineStr">
        <is>
          <t>absence_not_refutation</t>
        </is>
      </c>
      <c r="K39" s="24" t="inlineStr">
        <is>
          <t>Martin</t>
        </is>
      </c>
      <c r="L39" s="24" t="inlineStr">
        <is>
          <t>generic_yesno</t>
        </is>
      </c>
      <c r="M39" s="24" t="inlineStr">
        <is>
          <t>recovery sep 2030</t>
        </is>
      </c>
      <c r="N39" s="24" t="inlineStr">
        <is>
          <t>on Sep 04; Sep 04, 2030</t>
        </is>
      </c>
      <c r="O39" s="24" t="inlineStr">
        <is>
          <t>premise_anchor:True:pass:shared anchor tokens: martin | slot_value_alignment:True:pass:same slot | temporal_compatibility:True:pass:temporal condition is compatible | explicit_refutation:False:absence_not_refutation:memory does not mention the premise value</t>
        </is>
      </c>
      <c r="P39" s="24" t="inlineStr">
        <is>
          <t>temporal_gate_too_strict</t>
        </is>
      </c>
      <c r="Q39" s="24" t="inlineStr">
        <is>
          <t>没有</t>
        </is>
      </c>
      <c r="R39" s="24" t="inlineStr">
        <is>
          <t>错误</t>
        </is>
      </c>
      <c r="S39" s="24" t="inlineStr">
        <is>
          <t>过宽</t>
        </is>
      </c>
      <c r="T39" s="24" t="inlineStr">
        <is>
          <t>不是反证</t>
        </is>
      </c>
      <c r="U39" s="24" t="inlineStr">
        <is>
          <t>不该触发</t>
        </is>
      </c>
      <c r="V39" s="24" t="inlineStr">
        <is>
          <t>合理</t>
        </is>
      </c>
      <c r="W39" s="24" t="n"/>
      <c r="X39" s="24" t="inlineStr">
        <is>
          <t>Simulated skydiving does not address responsible gaming skepticism.</t>
        </is>
      </c>
      <c r="Y39" s="24" t="inlineStr">
        <is>
          <t>陆含</t>
        </is>
      </c>
      <c r="Z39" s="24" t="inlineStr">
        <is>
          <t>未复核</t>
        </is>
      </c>
      <c r="AA39" s="24" t="n"/>
    </row>
    <row r="40" ht="68" customHeight="1">
      <c r="A40" s="24" t="inlineStr">
        <is>
          <t>95</t>
        </is>
      </c>
      <c r="B40" s="24" t="inlineStr">
        <is>
          <t>1:35:3</t>
        </is>
      </c>
      <c r="C40" s="24" t="inlineStr">
        <is>
          <t>Did Martin express skepticism about responsible gaming practices during his friend's recovery on Sep 04, 2030?</t>
        </is>
      </c>
      <c r="D40" s="24" t="inlineStr">
        <is>
          <t>omission</t>
        </is>
      </c>
      <c r="E40" s="24" t="inlineStr">
        <is>
          <t>omission</t>
        </is>
      </c>
      <c r="F40" s="24" t="inlineStr">
        <is>
          <t>False</t>
        </is>
      </c>
      <c r="G40" s="24" t="inlineStr">
        <is>
          <t>8</t>
        </is>
      </c>
      <c r="H40"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40" s="24" t="inlineStr">
        <is>
          <t>absence_not_refutation</t>
        </is>
      </c>
      <c r="J40" s="24" t="inlineStr">
        <is>
          <t>absence_not_refutation</t>
        </is>
      </c>
      <c r="K40" s="24" t="inlineStr">
        <is>
          <t>Martin</t>
        </is>
      </c>
      <c r="L40" s="24" t="inlineStr">
        <is>
          <t>generic_yesno</t>
        </is>
      </c>
      <c r="M40" s="24" t="inlineStr">
        <is>
          <t>recovery sep 2030</t>
        </is>
      </c>
      <c r="N40" s="24" t="inlineStr">
        <is>
          <t>on Sep 04; Sep 04, 2030</t>
        </is>
      </c>
      <c r="O40" s="24" t="inlineStr">
        <is>
          <t>premise_anchor:True:pass:shared anchor tokens: martin | slot_value_alignment:True:pass:same slot | temporal_compatibility:True:pass:temporal condition is compatible | explicit_refutation:False:absence_not_refutation:memory does not mention the premise value</t>
        </is>
      </c>
      <c r="P40" s="24" t="inlineStr">
        <is>
          <t>temporal_gate_too_strict</t>
        </is>
      </c>
      <c r="Q40" s="24" t="inlineStr">
        <is>
          <t>没有</t>
        </is>
      </c>
      <c r="R40" s="24" t="inlineStr">
        <is>
          <t>错误</t>
        </is>
      </c>
      <c r="S40" s="24" t="inlineStr">
        <is>
          <t>过宽</t>
        </is>
      </c>
      <c r="T40" s="24" t="inlineStr">
        <is>
          <t>不是反证</t>
        </is>
      </c>
      <c r="U40" s="24" t="inlineStr">
        <is>
          <t>不该触发</t>
        </is>
      </c>
      <c r="V40" s="24" t="inlineStr">
        <is>
          <t>合理</t>
        </is>
      </c>
      <c r="W40" s="24" t="n"/>
      <c r="X40" s="24" t="inlineStr">
        <is>
          <t>Family background does not address responsible gaming skepticism.</t>
        </is>
      </c>
      <c r="Y40" s="24" t="inlineStr">
        <is>
          <t>陆含</t>
        </is>
      </c>
      <c r="Z40" s="24" t="inlineStr">
        <is>
          <t>未复核</t>
        </is>
      </c>
      <c r="AA40" s="24" t="n"/>
    </row>
    <row r="41" ht="68" customHeight="1">
      <c r="A41" s="24" t="inlineStr">
        <is>
          <t>95</t>
        </is>
      </c>
      <c r="B41" s="24" t="inlineStr">
        <is>
          <t>1:35:3</t>
        </is>
      </c>
      <c r="C41" s="24" t="inlineStr">
        <is>
          <t>Did Martin express skepticism about responsible gaming practices during his friend's recovery on Sep 04, 2030?</t>
        </is>
      </c>
      <c r="D41" s="24" t="inlineStr">
        <is>
          <t>omission</t>
        </is>
      </c>
      <c r="E41" s="24" t="inlineStr">
        <is>
          <t>omission</t>
        </is>
      </c>
      <c r="F41" s="24" t="inlineStr">
        <is>
          <t>False</t>
        </is>
      </c>
      <c r="G41" s="24" t="inlineStr">
        <is>
          <t>15</t>
        </is>
      </c>
      <c r="H41" s="24" t="inlineStr">
        <is>
          <t>Yoga remains a staple in Martin’s routine, complementing the more intense activities and supporting his mental clarity.</t>
        </is>
      </c>
      <c r="I41" s="24" t="inlineStr">
        <is>
          <t>absence_not_refutation</t>
        </is>
      </c>
      <c r="J41" s="24" t="inlineStr">
        <is>
          <t>absence_not_refutation</t>
        </is>
      </c>
      <c r="K41" s="24" t="inlineStr">
        <is>
          <t>Martin</t>
        </is>
      </c>
      <c r="L41" s="24" t="inlineStr">
        <is>
          <t>generic_yesno</t>
        </is>
      </c>
      <c r="M41" s="24" t="inlineStr">
        <is>
          <t>recovery sep 2030</t>
        </is>
      </c>
      <c r="N41" s="24" t="inlineStr">
        <is>
          <t>on Sep 04; Sep 04, 2030</t>
        </is>
      </c>
      <c r="O41" s="24" t="inlineStr">
        <is>
          <t>premise_anchor:True:pass:shared anchor tokens: martin | slot_value_alignment:True:pass:same slot | temporal_compatibility:True:pass:temporal condition is compatible | explicit_refutation:False:absence_not_refutation:memory does not mention the premise value</t>
        </is>
      </c>
      <c r="P41" s="24" t="inlineStr">
        <is>
          <t>temporal_gate_too_strict</t>
        </is>
      </c>
      <c r="Q41" s="24" t="inlineStr">
        <is>
          <t>没有</t>
        </is>
      </c>
      <c r="R41" s="24" t="inlineStr">
        <is>
          <t>错误</t>
        </is>
      </c>
      <c r="S41" s="24" t="inlineStr">
        <is>
          <t>过宽</t>
        </is>
      </c>
      <c r="T41" s="24" t="inlineStr">
        <is>
          <t>不是反证</t>
        </is>
      </c>
      <c r="U41" s="24" t="inlineStr">
        <is>
          <t>不该触发</t>
        </is>
      </c>
      <c r="V41" s="24" t="inlineStr">
        <is>
          <t>合理</t>
        </is>
      </c>
      <c r="W41" s="24" t="n"/>
      <c r="X41" s="24" t="inlineStr">
        <is>
          <t>Yoga routine does not address responsible gaming skepticism.</t>
        </is>
      </c>
      <c r="Y41" s="24" t="inlineStr">
        <is>
          <t>陆含</t>
        </is>
      </c>
      <c r="Z41" s="24" t="inlineStr">
        <is>
          <t>未复核</t>
        </is>
      </c>
      <c r="AA41" s="24" t="n"/>
    </row>
    <row r="42" ht="68" customHeight="1">
      <c r="A42" s="24" t="inlineStr">
        <is>
          <t>105</t>
        </is>
      </c>
      <c r="B42" s="24" t="inlineStr">
        <is>
          <t>1:40:3</t>
        </is>
      </c>
      <c r="C42" s="24" t="inlineStr">
        <is>
          <t>Did Martin Mark find rock music therapeutic during stressful periods at work on Sep 16, 2031?</t>
        </is>
      </c>
      <c r="D42" s="24" t="inlineStr">
        <is>
          <t>omission</t>
        </is>
      </c>
      <c r="E42" s="24" t="inlineStr">
        <is>
          <t>omission</t>
        </is>
      </c>
      <c r="F42" s="24" t="inlineStr">
        <is>
          <t>False</t>
        </is>
      </c>
      <c r="G42" s="24" t="inlineStr">
        <is>
          <t>2</t>
        </is>
      </c>
      <c r="H42" s="24" t="inlineStr">
        <is>
          <t>Martin transitioned to a new role, reporting huge relief and a much healthier balance between work and personal life, marking a significant improvement over his previous position.</t>
        </is>
      </c>
      <c r="I42" s="24" t="inlineStr">
        <is>
          <t>absence_not_refutation</t>
        </is>
      </c>
      <c r="J42" s="24" t="inlineStr">
        <is>
          <t>absence_not_refutation</t>
        </is>
      </c>
      <c r="K42" s="24" t="inlineStr">
        <is>
          <t>Martin Mark</t>
        </is>
      </c>
      <c r="L42" s="24" t="inlineStr">
        <is>
          <t>generic_yesno</t>
        </is>
      </c>
      <c r="M42" s="24" t="inlineStr">
        <is>
          <t>work sep 2031</t>
        </is>
      </c>
      <c r="N42" s="24" t="inlineStr">
        <is>
          <t>on Sep 16; Sep 16, 2031</t>
        </is>
      </c>
      <c r="O42" s="24" t="inlineStr">
        <is>
          <t>premise_anchor:True:pass:shared anchor tokens: mark, martin, work | slot_value_alignment:True:pass:same slot | temporal_compatibility:True:pass:temporal condition is compatible | explicit_refutation:False:absence_not_refutation:memory does not mention the premise value</t>
        </is>
      </c>
      <c r="P42" s="24" t="inlineStr">
        <is>
          <t>no_counterevidence_in_raw_memories</t>
        </is>
      </c>
      <c r="Q42" s="24" t="inlineStr">
        <is>
          <t>没有</t>
        </is>
      </c>
      <c r="R42" s="24" t="inlineStr">
        <is>
          <t>错误</t>
        </is>
      </c>
      <c r="S42" s="24" t="inlineStr">
        <is>
          <t>过宽</t>
        </is>
      </c>
      <c r="T42" s="24" t="inlineStr">
        <is>
          <t>不是反证但有用</t>
        </is>
      </c>
      <c r="U42" s="24" t="inlineStr">
        <is>
          <t>不该触发</t>
        </is>
      </c>
      <c r="V42" s="24" t="inlineStr">
        <is>
          <t>合理</t>
        </is>
      </c>
      <c r="W42" s="24" t="n"/>
      <c r="X42" s="24" t="inlineStr">
        <is>
          <t>Work relief is related to stress but does not address rock music being therapeutic.</t>
        </is>
      </c>
      <c r="Y42" s="24" t="inlineStr">
        <is>
          <t>陆含</t>
        </is>
      </c>
      <c r="Z42" s="24" t="inlineStr">
        <is>
          <t>未复核</t>
        </is>
      </c>
      <c r="AA42" s="24" t="n"/>
    </row>
    <row r="43" ht="68" customHeight="1">
      <c r="A43" s="24" t="inlineStr">
        <is>
          <t>105</t>
        </is>
      </c>
      <c r="B43" s="24" t="inlineStr">
        <is>
          <t>1:40:3</t>
        </is>
      </c>
      <c r="C43" s="24" t="inlineStr">
        <is>
          <t>Did Martin Mark find rock music therapeutic during stressful periods at work on Sep 16, 2031?</t>
        </is>
      </c>
      <c r="D43" s="24" t="inlineStr">
        <is>
          <t>omission</t>
        </is>
      </c>
      <c r="E43" s="24" t="inlineStr">
        <is>
          <t>omission</t>
        </is>
      </c>
      <c r="F43" s="24" t="inlineStr">
        <is>
          <t>False</t>
        </is>
      </c>
      <c r="G43" s="24" t="inlineStr">
        <is>
          <t>4</t>
        </is>
      </c>
      <c r="H43" s="24" t="inlineStr">
        <is>
          <t>Martin tried simulated skydiving during a team‑building event on April 10, 2026 and found the experience quite thrilling.</t>
        </is>
      </c>
      <c r="I43" s="24" t="inlineStr">
        <is>
          <t>absence_not_refutation</t>
        </is>
      </c>
      <c r="J43" s="24" t="inlineStr">
        <is>
          <t>absence_not_refutation</t>
        </is>
      </c>
      <c r="K43" s="24" t="inlineStr">
        <is>
          <t>Martin Mark</t>
        </is>
      </c>
      <c r="L43" s="24" t="inlineStr">
        <is>
          <t>generic_yesno</t>
        </is>
      </c>
      <c r="M43" s="24" t="inlineStr">
        <is>
          <t>work sep 2031</t>
        </is>
      </c>
      <c r="N43" s="24" t="inlineStr">
        <is>
          <t>on Sep 16; Sep 16, 2031</t>
        </is>
      </c>
      <c r="O43" s="24" t="inlineStr">
        <is>
          <t>premise_anchor:True:pass:shared anchor tokens: martin | slot_value_alignment:True:pass:same slot | temporal_compatibility:True:pass:temporal condition is compatible | explicit_refutation:False:absence_not_refutation:memory does not mention the premise value</t>
        </is>
      </c>
      <c r="P43" s="24" t="inlineStr">
        <is>
          <t>no_counterevidence_in_raw_memories</t>
        </is>
      </c>
      <c r="Q43" s="24" t="inlineStr">
        <is>
          <t>没有</t>
        </is>
      </c>
      <c r="R43" s="24" t="inlineStr">
        <is>
          <t>错误</t>
        </is>
      </c>
      <c r="S43" s="24" t="inlineStr">
        <is>
          <t>过宽</t>
        </is>
      </c>
      <c r="T43" s="24" t="inlineStr">
        <is>
          <t>不是反证</t>
        </is>
      </c>
      <c r="U43" s="24" t="inlineStr">
        <is>
          <t>不该触发</t>
        </is>
      </c>
      <c r="V43" s="24" t="inlineStr">
        <is>
          <t>合理</t>
        </is>
      </c>
      <c r="W43" s="24" t="n"/>
      <c r="X43" s="24" t="inlineStr">
        <is>
          <t>Simulated skydiving does not address rock music.</t>
        </is>
      </c>
      <c r="Y43" s="24" t="inlineStr">
        <is>
          <t>陆含</t>
        </is>
      </c>
      <c r="Z43" s="24" t="inlineStr">
        <is>
          <t>未复核</t>
        </is>
      </c>
      <c r="AA43" s="24" t="n"/>
    </row>
    <row r="44" ht="68" customHeight="1">
      <c r="A44" s="24" t="inlineStr">
        <is>
          <t>105</t>
        </is>
      </c>
      <c r="B44" s="24" t="inlineStr">
        <is>
          <t>1:40:3</t>
        </is>
      </c>
      <c r="C44" s="24" t="inlineStr">
        <is>
          <t>Did Martin Mark find rock music therapeutic during stressful periods at work on Sep 16, 2031?</t>
        </is>
      </c>
      <c r="D44" s="24" t="inlineStr">
        <is>
          <t>omission</t>
        </is>
      </c>
      <c r="E44" s="24" t="inlineStr">
        <is>
          <t>omission</t>
        </is>
      </c>
      <c r="F44" s="24" t="inlineStr">
        <is>
          <t>False</t>
        </is>
      </c>
      <c r="G44" s="24" t="inlineStr">
        <is>
          <t>13</t>
        </is>
      </c>
      <c r="H44" s="24" t="inlineStr">
        <is>
          <t>User's name is Martin Mark, male, born on August 2, 1996, currently 29 years old, and resides in Columbus.</t>
        </is>
      </c>
      <c r="I44" s="24" t="inlineStr">
        <is>
          <t>absence_not_refutation</t>
        </is>
      </c>
      <c r="J44" s="24" t="inlineStr">
        <is>
          <t>absence_not_refutation</t>
        </is>
      </c>
      <c r="K44" s="24" t="inlineStr">
        <is>
          <t>Martin Mark</t>
        </is>
      </c>
      <c r="L44" s="24" t="inlineStr">
        <is>
          <t>generic_yesno</t>
        </is>
      </c>
      <c r="M44" s="24" t="inlineStr">
        <is>
          <t>work sep 2031</t>
        </is>
      </c>
      <c r="N44" s="24" t="inlineStr">
        <is>
          <t>on Sep 16; Sep 16, 2031</t>
        </is>
      </c>
      <c r="O44" s="24" t="inlineStr">
        <is>
          <t>premise_anchor:True:pass:shared anchor tokens: mark, martin | slot_value_alignment:True:pass:same slot | temporal_compatibility:True:pass:temporal condition is compatible | explicit_refutation:False:absence_not_refutation:memory does not mention the premise value</t>
        </is>
      </c>
      <c r="P44" s="24" t="inlineStr">
        <is>
          <t>no_counterevidence_in_raw_memories</t>
        </is>
      </c>
      <c r="Q44" s="24" t="inlineStr">
        <is>
          <t>没有</t>
        </is>
      </c>
      <c r="R44" s="24" t="inlineStr">
        <is>
          <t>错误</t>
        </is>
      </c>
      <c r="S44" s="24" t="inlineStr">
        <is>
          <t>过宽</t>
        </is>
      </c>
      <c r="T44" s="24" t="inlineStr">
        <is>
          <t>不是反证</t>
        </is>
      </c>
      <c r="U44" s="24" t="inlineStr">
        <is>
          <t>不该触发</t>
        </is>
      </c>
      <c r="V44" s="24" t="inlineStr">
        <is>
          <t>合理</t>
        </is>
      </c>
      <c r="W44" s="24" t="n"/>
      <c r="X44" s="24" t="inlineStr">
        <is>
          <t>Identity information does not address rock music.</t>
        </is>
      </c>
      <c r="Y44" s="24" t="inlineStr">
        <is>
          <t>陆含</t>
        </is>
      </c>
      <c r="Z44" s="24" t="inlineStr">
        <is>
          <t>未复核</t>
        </is>
      </c>
      <c r="AA44" s="24" t="n"/>
    </row>
    <row r="45" ht="68" customHeight="1">
      <c r="A45" s="24" t="inlineStr">
        <is>
          <t>114</t>
        </is>
      </c>
      <c r="B45" s="24" t="inlineStr">
        <is>
          <t>1:44:3</t>
        </is>
      </c>
      <c r="C45" s="24" t="inlineStr">
        <is>
          <t>Did Martin experience a decrease in financial freedom after his salary increase on August 15, 2031?</t>
        </is>
      </c>
      <c r="D45" s="24" t="inlineStr">
        <is>
          <t>omission</t>
        </is>
      </c>
      <c r="E45" s="24" t="inlineStr">
        <is>
          <t>omission</t>
        </is>
      </c>
      <c r="F45" s="24" t="inlineStr">
        <is>
          <t>False</t>
        </is>
      </c>
      <c r="G45" s="24" t="inlineStr">
        <is>
          <t>2</t>
        </is>
      </c>
      <c r="H45"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45" s="24" t="inlineStr">
        <is>
          <t>absence_not_refutation</t>
        </is>
      </c>
      <c r="J45" s="24" t="inlineStr">
        <is>
          <t>absence_not_refutation</t>
        </is>
      </c>
      <c r="K45" s="24" t="inlineStr">
        <is>
          <t>Martin</t>
        </is>
      </c>
      <c r="L45" s="24" t="inlineStr">
        <is>
          <t>generic_yesno</t>
        </is>
      </c>
      <c r="M45" s="24" t="inlineStr">
        <is>
          <t>increase august 2031</t>
        </is>
      </c>
      <c r="N45" s="24" t="inlineStr">
        <is>
          <t>after his salary increase on August 15; August 15, 2031</t>
        </is>
      </c>
      <c r="O45" s="24" t="inlineStr">
        <is>
          <t>premise_anchor:True:pass:shared anchor tokens: august, martin | slot_value_alignment:True:pass:same slot | temporal_compatibility:True:pass:temporal condition is compatible | explicit_refutation:False:absence_not_refutation:memory does not mention the premise value</t>
        </is>
      </c>
      <c r="P45" s="24" t="inlineStr">
        <is>
          <t>slot_mapping_error</t>
        </is>
      </c>
      <c r="Q45" s="24" t="inlineStr">
        <is>
          <t>没有</t>
        </is>
      </c>
      <c r="R45" s="24" t="inlineStr">
        <is>
          <t>部分正确</t>
        </is>
      </c>
      <c r="S45" s="24" t="inlineStr">
        <is>
          <t>过宽</t>
        </is>
      </c>
      <c r="T45" s="24" t="inlineStr">
        <is>
          <t>不是反证</t>
        </is>
      </c>
      <c r="U45" s="24" t="inlineStr">
        <is>
          <t>不该触发</t>
        </is>
      </c>
      <c r="V45" s="24" t="inlineStr">
        <is>
          <t>合理</t>
        </is>
      </c>
      <c r="W45" s="24" t="n"/>
      <c r="X45" s="24" t="inlineStr">
        <is>
          <t>Family background does not address financial freedom after salary increase.</t>
        </is>
      </c>
      <c r="Y45" s="24" t="inlineStr">
        <is>
          <t>陆含</t>
        </is>
      </c>
      <c r="Z45" s="24" t="inlineStr">
        <is>
          <t>未复核</t>
        </is>
      </c>
      <c r="AA45" s="24" t="n"/>
    </row>
    <row r="46" ht="68" customHeight="1">
      <c r="A46" s="24" t="inlineStr">
        <is>
          <t>114</t>
        </is>
      </c>
      <c r="B46" s="24" t="inlineStr">
        <is>
          <t>1:44:3</t>
        </is>
      </c>
      <c r="C46" s="24" t="inlineStr">
        <is>
          <t>Did Martin experience a decrease in financial freedom after his salary increase on August 15, 2031?</t>
        </is>
      </c>
      <c r="D46" s="24" t="inlineStr">
        <is>
          <t>omission</t>
        </is>
      </c>
      <c r="E46" s="24" t="inlineStr">
        <is>
          <t>omission</t>
        </is>
      </c>
      <c r="F46" s="24" t="inlineStr">
        <is>
          <t>False</t>
        </is>
      </c>
      <c r="G46" s="24" t="inlineStr">
        <is>
          <t>4</t>
        </is>
      </c>
      <c r="H46" s="24" t="inlineStr">
        <is>
          <t>Martin transitioned to a new role, reporting huge relief and a much healthier balance between work and personal life, marking a significant improvement over his previous position.</t>
        </is>
      </c>
      <c r="I46" s="24" t="inlineStr">
        <is>
          <t>absence_not_refutation</t>
        </is>
      </c>
      <c r="J46" s="24" t="inlineStr">
        <is>
          <t>absence_not_refutation</t>
        </is>
      </c>
      <c r="K46" s="24" t="inlineStr">
        <is>
          <t>Martin</t>
        </is>
      </c>
      <c r="L46" s="24" t="inlineStr">
        <is>
          <t>generic_yesno</t>
        </is>
      </c>
      <c r="M46" s="24" t="inlineStr">
        <is>
          <t>increase august 2031</t>
        </is>
      </c>
      <c r="N46" s="24" t="inlineStr">
        <is>
          <t>after his salary increase on August 15; August 15, 2031</t>
        </is>
      </c>
      <c r="O46" s="24" t="inlineStr">
        <is>
          <t>premise_anchor:True:pass:shared anchor tokens: martin | slot_value_alignment:True:pass:same slot | temporal_compatibility:True:pass:temporal condition is compatible | explicit_refutation:False:absence_not_refutation:memory does not mention the premise value</t>
        </is>
      </c>
      <c r="P46" s="24" t="inlineStr">
        <is>
          <t>slot_mapping_error</t>
        </is>
      </c>
      <c r="Q46" s="24" t="inlineStr">
        <is>
          <t>没有</t>
        </is>
      </c>
      <c r="R46" s="24" t="inlineStr">
        <is>
          <t>部分正确</t>
        </is>
      </c>
      <c r="S46" s="24" t="inlineStr">
        <is>
          <t>过宽</t>
        </is>
      </c>
      <c r="T46" s="24" t="inlineStr">
        <is>
          <t>不是反证</t>
        </is>
      </c>
      <c r="U46" s="24" t="inlineStr">
        <is>
          <t>不该触发</t>
        </is>
      </c>
      <c r="V46" s="24" t="inlineStr">
        <is>
          <t>合理</t>
        </is>
      </c>
      <c r="W46" s="24" t="n"/>
      <c r="X46" s="24" t="inlineStr">
        <is>
          <t>Job transition does not address financial freedom after salary increase.</t>
        </is>
      </c>
      <c r="Y46" s="24" t="inlineStr">
        <is>
          <t>陆含</t>
        </is>
      </c>
      <c r="Z46" s="24" t="inlineStr">
        <is>
          <t>未复核</t>
        </is>
      </c>
      <c r="AA46" s="24" t="n"/>
    </row>
    <row r="47" ht="68" customHeight="1">
      <c r="A47" s="24" t="inlineStr">
        <is>
          <t>114</t>
        </is>
      </c>
      <c r="B47" s="24" t="inlineStr">
        <is>
          <t>1:44:3</t>
        </is>
      </c>
      <c r="C47" s="24" t="inlineStr">
        <is>
          <t>Did Martin experience a decrease in financial freedom after his salary increase on August 15, 2031?</t>
        </is>
      </c>
      <c r="D47" s="24" t="inlineStr">
        <is>
          <t>omission</t>
        </is>
      </c>
      <c r="E47" s="24" t="inlineStr">
        <is>
          <t>omission</t>
        </is>
      </c>
      <c r="F47" s="24" t="inlineStr">
        <is>
          <t>False</t>
        </is>
      </c>
      <c r="G47" s="24" t="inlineStr">
        <is>
          <t>11</t>
        </is>
      </c>
      <c r="H47" s="24" t="inlineStr">
        <is>
          <t>User's name is Martin Mark, male, born on August 2, 1996, currently 29 years old, and resides in Columbus.</t>
        </is>
      </c>
      <c r="I47" s="24" t="inlineStr">
        <is>
          <t>absence_not_refutation</t>
        </is>
      </c>
      <c r="J47" s="24" t="inlineStr">
        <is>
          <t>absence_not_refutation</t>
        </is>
      </c>
      <c r="K47" s="24" t="inlineStr">
        <is>
          <t>Martin</t>
        </is>
      </c>
      <c r="L47" s="24" t="inlineStr">
        <is>
          <t>generic_yesno</t>
        </is>
      </c>
      <c r="M47" s="24" t="inlineStr">
        <is>
          <t>increase august 2031</t>
        </is>
      </c>
      <c r="N47" s="24" t="inlineStr">
        <is>
          <t>after his salary increase on August 15; August 15, 2031</t>
        </is>
      </c>
      <c r="O47" s="24" t="inlineStr">
        <is>
          <t>premise_anchor:True:pass:shared anchor tokens: august, martin | slot_value_alignment:True:pass:same slot | temporal_compatibility:True:pass:temporal condition is compatible | explicit_refutation:False:absence_not_refutation:memory does not mention the premise value</t>
        </is>
      </c>
      <c r="P47" s="24" t="inlineStr">
        <is>
          <t>slot_mapping_error</t>
        </is>
      </c>
      <c r="Q47" s="24" t="inlineStr">
        <is>
          <t>没有</t>
        </is>
      </c>
      <c r="R47" s="24" t="inlineStr">
        <is>
          <t>部分正确</t>
        </is>
      </c>
      <c r="S47" s="24" t="inlineStr">
        <is>
          <t>过宽</t>
        </is>
      </c>
      <c r="T47" s="24" t="inlineStr">
        <is>
          <t>不是反证</t>
        </is>
      </c>
      <c r="U47" s="24" t="inlineStr">
        <is>
          <t>不该触发</t>
        </is>
      </c>
      <c r="V47" s="24" t="inlineStr">
        <is>
          <t>合理</t>
        </is>
      </c>
      <c r="W47" s="24" t="n"/>
      <c r="X47" s="24" t="inlineStr">
        <is>
          <t>Identity information does not address financial freedom after salary increase.</t>
        </is>
      </c>
      <c r="Y47" s="24" t="inlineStr">
        <is>
          <t>陆含</t>
        </is>
      </c>
      <c r="Z47" s="24" t="inlineStr">
        <is>
          <t>未复核</t>
        </is>
      </c>
      <c r="AA47" s="24" t="n"/>
    </row>
    <row r="48" ht="68" customHeight="1">
      <c r="A48" s="24" t="inlineStr">
        <is>
          <t>133</t>
        </is>
      </c>
      <c r="B48" s="24" t="inlineStr">
        <is>
          <t>1:54:1</t>
        </is>
      </c>
      <c r="C48" s="24" t="inlineStr">
        <is>
          <t>Did Martin Mark express a preference for regular green tea after the tea expo on Jul 08, 2033?</t>
        </is>
      </c>
      <c r="D48" s="24" t="inlineStr">
        <is>
          <t>omission</t>
        </is>
      </c>
      <c r="E48" s="24" t="inlineStr">
        <is>
          <t>omission</t>
        </is>
      </c>
      <c r="F48" s="24" t="inlineStr">
        <is>
          <t>False</t>
        </is>
      </c>
      <c r="G48" s="24" t="inlineStr">
        <is>
          <t>1</t>
        </is>
      </c>
      <c r="H48" s="24" t="inlineStr">
        <is>
          <t>User likes herbal teas for their calming properties and health benefits supporting overall well‑being; he enjoys fresh smoothies as his favorite nutritious and energizing drink for his active lifestyle; he avoids sugary sodas because of their high sugar content and lack of nutritional value, which conflict with his health‑conscious approach; he also likes green tea for its antioxidant properties, subtle flavor, refreshing taste, and benefits.</t>
        </is>
      </c>
      <c r="I48" s="24" t="inlineStr">
        <is>
          <t>not_refuting</t>
        </is>
      </c>
      <c r="J48" s="24" t="inlineStr">
        <is>
          <t>related_but_not_refuting</t>
        </is>
      </c>
      <c r="K48" s="24" t="inlineStr">
        <is>
          <t>Martin Mark</t>
        </is>
      </c>
      <c r="L48" s="24" t="inlineStr">
        <is>
          <t>preference_status</t>
        </is>
      </c>
      <c r="M48" s="24" t="inlineStr">
        <is>
          <t>regular green tea</t>
        </is>
      </c>
      <c r="N48" s="24" t="inlineStr">
        <is>
          <t>after the tea expo on Jul 08; Jul 08, 2033</t>
        </is>
      </c>
      <c r="O48" s="24" t="inlineStr">
        <is>
          <t>premise_anchor:True:pass:shared anchor tokens: green, tea | slot_value_alignment:True:pass:same preference value | temporal_compatibility:True:pass:stable opposite preference can refute dated preference utterance | explicit_refutation:False:not_refuting:memory is compatible with the premise or only supports it</t>
        </is>
      </c>
      <c r="P48" s="24" t="inlineStr">
        <is>
          <t>slot_mapping_error</t>
        </is>
      </c>
      <c r="Q48" s="24" t="inlineStr">
        <is>
          <t>没有</t>
        </is>
      </c>
      <c r="R48" s="24" t="inlineStr">
        <is>
          <t>正确</t>
        </is>
      </c>
      <c r="S48" s="24" t="inlineStr">
        <is>
          <t>正确</t>
        </is>
      </c>
      <c r="T48" s="24" t="inlineStr">
        <is>
          <t>不是反证但有用</t>
        </is>
      </c>
      <c r="U48" s="24" t="inlineStr">
        <is>
          <t>不该触发</t>
        </is>
      </c>
      <c r="V48" s="24" t="inlineStr">
        <is>
          <t>合理</t>
        </is>
      </c>
      <c r="W48" s="24" t="n"/>
      <c r="X48" s="24" t="inlineStr">
        <is>
          <t>The memory supports liking green tea, so it is useful but not a refutation.</t>
        </is>
      </c>
      <c r="Y48" s="24" t="inlineStr">
        <is>
          <t>陆含</t>
        </is>
      </c>
      <c r="Z48" s="24" t="inlineStr">
        <is>
          <t>未复核</t>
        </is>
      </c>
      <c r="AA48" s="24" t="n"/>
    </row>
    <row r="49" ht="68" customHeight="1">
      <c r="A49" s="24" t="inlineStr">
        <is>
          <t>135</t>
        </is>
      </c>
      <c r="B49" s="24" t="inlineStr">
        <is>
          <t>1:55:1</t>
        </is>
      </c>
      <c r="C49" s="24" t="inlineStr">
        <is>
          <t>Did Martin Mark express disinterest in socially conscious rap music on October 11, 2033?</t>
        </is>
      </c>
      <c r="D49" s="24" t="inlineStr">
        <is>
          <t>omission</t>
        </is>
      </c>
      <c r="E49" s="24" t="inlineStr">
        <is>
          <t>omission</t>
        </is>
      </c>
      <c r="F49" s="24" t="inlineStr">
        <is>
          <t>False</t>
        </is>
      </c>
      <c r="G49" s="24" t="inlineStr">
        <is>
          <t>3</t>
        </is>
      </c>
      <c r="H49" s="24" t="inlineStr">
        <is>
          <t>User dislikes heavy metal as it feels too chaotic, preferring soothing and harmonious music; he likes classical music for relaxation and focus, creating a peaceful atmosphere; he enjoys jazz for its improvisational style that stimulates creativity; he avoids rap music because it often feels too aggressive, preferring genres that promote positivity; he likes ambient music for unwinding after a busy day, helping him relax and recharge.</t>
        </is>
      </c>
      <c r="I49" s="24" t="inlineStr">
        <is>
          <t>not_refuting</t>
        </is>
      </c>
      <c r="J49" s="24" t="inlineStr">
        <is>
          <t>related_but_not_refuting</t>
        </is>
      </c>
      <c r="K49" s="24" t="inlineStr">
        <is>
          <t>Martin Mark</t>
        </is>
      </c>
      <c r="L49" s="24" t="inlineStr">
        <is>
          <t>preference_status</t>
        </is>
      </c>
      <c r="M49" s="24" t="inlineStr">
        <is>
          <t>socially conscious rap music</t>
        </is>
      </c>
      <c r="N49" s="24" t="inlineStr">
        <is>
          <t>on October 11; October 11, 2033</t>
        </is>
      </c>
      <c r="O49" s="24" t="inlineStr">
        <is>
          <t>premise_anchor:True:pass:shared anchor tokens: rap | slot_value_alignment:True:pass:same preference value | temporal_compatibility:True:pass:stable opposite preference can refute dated preference utterance | explicit_refutation:False:not_refuting:memory is compatible with the premise or only supports it</t>
        </is>
      </c>
      <c r="P49" s="24" t="inlineStr">
        <is>
          <t>slot_mapping_error</t>
        </is>
      </c>
      <c r="Q49" s="24" t="inlineStr">
        <is>
          <t>没有</t>
        </is>
      </c>
      <c r="R49" s="24" t="inlineStr">
        <is>
          <t>正确</t>
        </is>
      </c>
      <c r="S49" s="24" t="inlineStr">
        <is>
          <t>正确</t>
        </is>
      </c>
      <c r="T49" s="24" t="inlineStr">
        <is>
          <t>不是反证但有用</t>
        </is>
      </c>
      <c r="U49" s="24" t="inlineStr">
        <is>
          <t>不该触发</t>
        </is>
      </c>
      <c r="V49" s="24" t="inlineStr">
        <is>
          <t>合理</t>
        </is>
      </c>
      <c r="W49" s="24" t="n"/>
      <c r="X49" s="24" t="inlineStr">
        <is>
          <t>The memory supports avoiding rap music generally, not a refutation of disinterest.</t>
        </is>
      </c>
      <c r="Y49" s="24" t="inlineStr">
        <is>
          <t>陆含</t>
        </is>
      </c>
      <c r="Z49" s="24" t="inlineStr">
        <is>
          <t>未复核</t>
        </is>
      </c>
      <c r="AA49" s="24" t="n"/>
    </row>
    <row r="50" ht="68" customHeight="1">
      <c r="A50" s="24" t="inlineStr">
        <is>
          <t>147</t>
        </is>
      </c>
      <c r="B50" s="24" t="inlineStr">
        <is>
          <t>1:59:1</t>
        </is>
      </c>
      <c r="C50" s="24" t="inlineStr">
        <is>
          <t>Did Martin Mark express a preference for traditional herbal teas over potent health beverages on Oct 24, 2034?</t>
        </is>
      </c>
      <c r="D50" s="24" t="inlineStr">
        <is>
          <t>omission</t>
        </is>
      </c>
      <c r="E50" s="24" t="inlineStr">
        <is>
          <t>omission</t>
        </is>
      </c>
      <c r="F50" s="24" t="inlineStr">
        <is>
          <t>False</t>
        </is>
      </c>
      <c r="G50" s="24" t="inlineStr">
        <is>
          <t>1</t>
        </is>
      </c>
      <c r="H50" s="24" t="inlineStr">
        <is>
          <t>User intends to share the new herbal tea blends with friends, using them to foster meaningful conversations about health and wellness.</t>
        </is>
      </c>
      <c r="I50" s="24" t="inlineStr">
        <is>
          <t>not_refuting</t>
        </is>
      </c>
      <c r="J50" s="24" t="inlineStr">
        <is>
          <t>related_but_not_refuting</t>
        </is>
      </c>
      <c r="K50" s="24" t="inlineStr">
        <is>
          <t>Martin Mark</t>
        </is>
      </c>
      <c r="L50" s="24" t="inlineStr">
        <is>
          <t>health_status</t>
        </is>
      </c>
      <c r="M50" s="24" t="inlineStr">
        <is>
          <t>over potent health beverages</t>
        </is>
      </c>
      <c r="N50" s="24" t="inlineStr">
        <is>
          <t>on Oct 24; Oct 24, 2034</t>
        </is>
      </c>
      <c r="O50" s="24" t="inlineStr">
        <is>
          <t>premise_anchor:True:pass:same health/status domain | slot_value_alignment:True:pass:same health/status slot | temporal_compatibility:True:pass:health/status proposition has compatible trajectory semantics | explicit_refutation:False:not_refuting:health evidence does not contradict the premise</t>
        </is>
      </c>
      <c r="P50" s="24" t="inlineStr">
        <is>
          <t>slot_mapping_error</t>
        </is>
      </c>
      <c r="Q50" s="24" t="inlineStr">
        <is>
          <t>没有</t>
        </is>
      </c>
      <c r="R50" s="24" t="inlineStr">
        <is>
          <t>部分正确</t>
        </is>
      </c>
      <c r="S50" s="24" t="inlineStr">
        <is>
          <t>错误</t>
        </is>
      </c>
      <c r="T50" s="24" t="inlineStr">
        <is>
          <t>不是反证但有用</t>
        </is>
      </c>
      <c r="U50" s="24" t="inlineStr">
        <is>
          <t>不该触发</t>
        </is>
      </c>
      <c r="V50" s="24" t="inlineStr">
        <is>
          <t>合理</t>
        </is>
      </c>
      <c r="W50" s="24" t="n"/>
      <c r="X50" s="24" t="inlineStr">
        <is>
          <t>The memory mentions herbal tea blends but does not compare traditional teas with potent health beverages.</t>
        </is>
      </c>
      <c r="Y50" s="24" t="inlineStr">
        <is>
          <t>陆含</t>
        </is>
      </c>
      <c r="Z50" s="24" t="inlineStr">
        <is>
          <t>未复核</t>
        </is>
      </c>
      <c r="AA50" s="24" t="n"/>
    </row>
    <row r="51" ht="68" customHeight="1">
      <c r="A51" s="24" t="inlineStr">
        <is>
          <t>147</t>
        </is>
      </c>
      <c r="B51" s="24" t="inlineStr">
        <is>
          <t>1:59:1</t>
        </is>
      </c>
      <c r="C51" s="24" t="inlineStr">
        <is>
          <t>Did Martin Mark express a preference for traditional herbal teas over potent health beverages on Oct 24, 2034?</t>
        </is>
      </c>
      <c r="D51" s="24" t="inlineStr">
        <is>
          <t>omission</t>
        </is>
      </c>
      <c r="E51" s="24" t="inlineStr">
        <is>
          <t>omission</t>
        </is>
      </c>
      <c r="F51" s="24" t="inlineStr">
        <is>
          <t>False</t>
        </is>
      </c>
      <c r="G51" s="24" t="inlineStr">
        <is>
          <t>2</t>
        </is>
      </c>
      <c r="H51" s="24" t="inlineStr">
        <is>
          <t>User sees the herbal teas complementing his yoga practice by enhancing relaxation and focus, contributing to a holistic health approach.</t>
        </is>
      </c>
      <c r="I51" s="24" t="inlineStr">
        <is>
          <t>not_refuting</t>
        </is>
      </c>
      <c r="J51" s="24" t="inlineStr">
        <is>
          <t>related_but_not_refuting</t>
        </is>
      </c>
      <c r="K51" s="24" t="inlineStr">
        <is>
          <t>Martin Mark</t>
        </is>
      </c>
      <c r="L51" s="24" t="inlineStr">
        <is>
          <t>health_status</t>
        </is>
      </c>
      <c r="M51" s="24" t="inlineStr">
        <is>
          <t>over potent health beverages</t>
        </is>
      </c>
      <c r="N51" s="24" t="inlineStr">
        <is>
          <t>on Oct 24; Oct 24, 2034</t>
        </is>
      </c>
      <c r="O51" s="24" t="inlineStr">
        <is>
          <t>premise_anchor:True:pass:same health/status domain | slot_value_alignment:True:pass:same health/status slot | temporal_compatibility:True:pass:health/status proposition has compatible trajectory semantics | explicit_refutation:False:not_refuting:health evidence does not contradict the premise</t>
        </is>
      </c>
      <c r="P51" s="24" t="inlineStr">
        <is>
          <t>slot_mapping_error</t>
        </is>
      </c>
      <c r="Q51" s="24" t="inlineStr">
        <is>
          <t>没有</t>
        </is>
      </c>
      <c r="R51" s="24" t="inlineStr">
        <is>
          <t>部分正确</t>
        </is>
      </c>
      <c r="S51" s="24" t="inlineStr">
        <is>
          <t>错误</t>
        </is>
      </c>
      <c r="T51" s="24" t="inlineStr">
        <is>
          <t>不是反证但有用</t>
        </is>
      </c>
      <c r="U51" s="24" t="inlineStr">
        <is>
          <t>不该触发</t>
        </is>
      </c>
      <c r="V51" s="24" t="inlineStr">
        <is>
          <t>合理</t>
        </is>
      </c>
      <c r="W51" s="24" t="n"/>
      <c r="X51" s="24" t="inlineStr">
        <is>
          <t>The memory mentions herbal teas supporting yoga but does not refute the preference comparison.</t>
        </is>
      </c>
      <c r="Y51" s="24" t="inlineStr">
        <is>
          <t>陆含</t>
        </is>
      </c>
      <c r="Z51" s="24" t="inlineStr">
        <is>
          <t>未复核</t>
        </is>
      </c>
      <c r="AA51" s="24" t="n"/>
    </row>
    <row r="52" ht="68" customHeight="1">
      <c r="A52" s="24" t="inlineStr">
        <is>
          <t>147</t>
        </is>
      </c>
      <c r="B52" s="24" t="inlineStr">
        <is>
          <t>1:59:1</t>
        </is>
      </c>
      <c r="C52" s="24" t="inlineStr">
        <is>
          <t>Did Martin Mark express a preference for traditional herbal teas over potent health beverages on Oct 24, 2034?</t>
        </is>
      </c>
      <c r="D52" s="24" t="inlineStr">
        <is>
          <t>omission</t>
        </is>
      </c>
      <c r="E52" s="24" t="inlineStr">
        <is>
          <t>omission</t>
        </is>
      </c>
      <c r="F52" s="24" t="inlineStr">
        <is>
          <t>False</t>
        </is>
      </c>
      <c r="G52" s="24" t="inlineStr">
        <is>
          <t>3</t>
        </is>
      </c>
      <c r="H52" s="24" t="inlineStr">
        <is>
          <t>User attended a wellness retreat session where herbal teas with additional health‑enhancing blends were introduced, learning how these blends can boost relaxation and provide health benefits.</t>
        </is>
      </c>
      <c r="I52" s="24" t="inlineStr">
        <is>
          <t>not_refuting</t>
        </is>
      </c>
      <c r="J52" s="24" t="inlineStr">
        <is>
          <t>related_but_not_refuting</t>
        </is>
      </c>
      <c r="K52" s="24" t="inlineStr">
        <is>
          <t>Martin Mark</t>
        </is>
      </c>
      <c r="L52" s="24" t="inlineStr">
        <is>
          <t>health_status</t>
        </is>
      </c>
      <c r="M52" s="24" t="inlineStr">
        <is>
          <t>over potent health beverages</t>
        </is>
      </c>
      <c r="N52" s="24" t="inlineStr">
        <is>
          <t>on Oct 24; Oct 24, 2034</t>
        </is>
      </c>
      <c r="O52" s="24" t="inlineStr">
        <is>
          <t>premise_anchor:True:pass:same health/status domain | slot_value_alignment:True:pass:same health/status slot | temporal_compatibility:True:pass:health/status proposition has compatible trajectory semantics | explicit_refutation:False:not_refuting:health evidence does not contradict the premise</t>
        </is>
      </c>
      <c r="P52" s="24" t="inlineStr">
        <is>
          <t>slot_mapping_error</t>
        </is>
      </c>
      <c r="Q52" s="24" t="inlineStr">
        <is>
          <t>没有</t>
        </is>
      </c>
      <c r="R52" s="24" t="inlineStr">
        <is>
          <t>部分正确</t>
        </is>
      </c>
      <c r="S52" s="24" t="inlineStr">
        <is>
          <t>错误</t>
        </is>
      </c>
      <c r="T52" s="24" t="inlineStr">
        <is>
          <t>不是反证但有用</t>
        </is>
      </c>
      <c r="U52" s="24" t="inlineStr">
        <is>
          <t>不该触发</t>
        </is>
      </c>
      <c r="V52" s="24" t="inlineStr">
        <is>
          <t>合理</t>
        </is>
      </c>
      <c r="W52" s="24" t="n"/>
      <c r="X52" s="24" t="inlineStr">
        <is>
          <t>The wellness-retreat memory is related to herbal blends but does not state the opposite preference.</t>
        </is>
      </c>
      <c r="Y52" s="24" t="inlineStr">
        <is>
          <t>陆含</t>
        </is>
      </c>
      <c r="Z52" s="24" t="inlineStr">
        <is>
          <t>未复核</t>
        </is>
      </c>
      <c r="AA52" s="24" t="n"/>
    </row>
    <row r="53" ht="68" customHeight="1">
      <c r="A53" s="24" t="inlineStr">
        <is>
          <t>150</t>
        </is>
      </c>
      <c r="B53" s="24" t="inlineStr">
        <is>
          <t>1:60:3</t>
        </is>
      </c>
      <c r="C53" s="24" t="inlineStr">
        <is>
          <t>Did Martin Mark express a preference for ambient music over jazz on Jan 26, 2035?</t>
        </is>
      </c>
      <c r="D53" s="24" t="inlineStr">
        <is>
          <t>omission</t>
        </is>
      </c>
      <c r="E53" s="24" t="inlineStr">
        <is>
          <t>omission</t>
        </is>
      </c>
      <c r="F53" s="24" t="inlineStr">
        <is>
          <t>False</t>
        </is>
      </c>
      <c r="G53" s="24" t="inlineStr">
        <is>
          <t>2</t>
        </is>
      </c>
      <c r="H53" s="24" t="inlineStr">
        <is>
          <t>User dislikes heavy metal as it feels too chaotic, preferring soothing and harmonious music; he likes classical music for relaxation and focus, creating a peaceful atmosphere; he enjoys jazz for its improvisational style that stimulates creativity; he avoids rap music because it often feels too aggressive, preferring genres that promote positivity; he likes ambient music for unwinding after a busy day, helping him relax and recharge.</t>
        </is>
      </c>
      <c r="I53" s="24" t="inlineStr">
        <is>
          <t>object_specificity_mismatch</t>
        </is>
      </c>
      <c r="J53" s="24" t="inlineStr">
        <is>
          <t>slot_value_near_miss</t>
        </is>
      </c>
      <c r="K53" s="24" t="inlineStr">
        <is>
          <t>Martin Mark</t>
        </is>
      </c>
      <c r="L53" s="24" t="inlineStr">
        <is>
          <t>preference_status</t>
        </is>
      </c>
      <c r="M53" s="24" t="inlineStr">
        <is>
          <t>ambient music over jazz</t>
        </is>
      </c>
      <c r="N53" s="24" t="inlineStr">
        <is>
          <t>on Jan 26; Jan 26, 2035</t>
        </is>
      </c>
      <c r="O53" s="24" t="inlineStr">
        <is>
          <t>premise_anchor:True:pass:shared anchor tokens: ambient | slot_value_alignment:False:object_specificity_mismatch:preference object is too generic | temporal_compatibility:False:not_evaluated: | explicit_refutation:False:not_evaluated:</t>
        </is>
      </c>
      <c r="P53" s="24" t="inlineStr">
        <is>
          <t>slot_mapping_error</t>
        </is>
      </c>
      <c r="Q53" s="24" t="inlineStr">
        <is>
          <t>没有</t>
        </is>
      </c>
      <c r="R53" s="24" t="inlineStr">
        <is>
          <t>正确</t>
        </is>
      </c>
      <c r="S53" s="24" t="inlineStr">
        <is>
          <t>正确</t>
        </is>
      </c>
      <c r="T53" s="24" t="inlineStr">
        <is>
          <t>不是反证但有用</t>
        </is>
      </c>
      <c r="U53" s="24" t="inlineStr">
        <is>
          <t>不该触发</t>
        </is>
      </c>
      <c r="V53" s="24" t="inlineStr">
        <is>
          <t>合理</t>
        </is>
      </c>
      <c r="W53" s="24" t="n"/>
      <c r="X53" s="24" t="inlineStr">
        <is>
          <t>The memory likes both jazz and ambient music, so it does not refute preferring ambient over jazz.</t>
        </is>
      </c>
      <c r="Y53" s="24" t="inlineStr">
        <is>
          <t>陆含</t>
        </is>
      </c>
      <c r="Z53" s="24" t="inlineStr">
        <is>
          <t>未复核</t>
        </is>
      </c>
      <c r="AA53" s="24" t="n"/>
    </row>
    <row r="54" ht="68" customHeight="1">
      <c r="A54" s="24" t="inlineStr">
        <is>
          <t>154</t>
        </is>
      </c>
      <c r="B54" s="24" t="inlineStr">
        <is>
          <t>1:63:2</t>
        </is>
      </c>
      <c r="C54" s="24" t="inlineStr">
        <is>
          <t>Did Martin Mark decide to avoid stylish athletic wear after May 01, 2035?</t>
        </is>
      </c>
      <c r="D54" s="24" t="inlineStr">
        <is>
          <t>omission</t>
        </is>
      </c>
      <c r="E54" s="24" t="inlineStr">
        <is>
          <t>omission</t>
        </is>
      </c>
      <c r="F54" s="24" t="inlineStr">
        <is>
          <t>False</t>
        </is>
      </c>
      <c r="G54" s="24" t="inlineStr">
        <is>
          <t>1</t>
        </is>
      </c>
      <c r="H54" s="24" t="inlineStr">
        <is>
          <t>User attended a seminar on sustainable fashion around October 28, 2027, which opened his eyes to the environmental impact of traditional athletic wear.</t>
        </is>
      </c>
      <c r="I54" s="24" t="inlineStr">
        <is>
          <t>slot_mismatch</t>
        </is>
      </c>
      <c r="J54" s="24" t="inlineStr">
        <is>
          <t>slot_value_near_miss</t>
        </is>
      </c>
      <c r="K54" s="24" t="inlineStr">
        <is>
          <t>Martin Mark</t>
        </is>
      </c>
      <c r="L54" s="24" t="inlineStr">
        <is>
          <t>cessation</t>
        </is>
      </c>
      <c r="M54" s="24" t="inlineStr">
        <is>
          <t>stylish athletic wear</t>
        </is>
      </c>
      <c r="N54" s="24" t="inlineStr">
        <is>
          <t>decide to; after May 01; May 01, 2035</t>
        </is>
      </c>
      <c r="O54" s="24" t="inlineStr">
        <is>
          <t>premise_anchor:True:pass:shared anchor tokens: athletic, wear | slot_value_alignment:False:slot_mismatch:cessation object differs | temporal_compatibility:False:not_evaluated: | explicit_refutation:False:not_evaluated:</t>
        </is>
      </c>
      <c r="P54" s="24" t="inlineStr">
        <is>
          <t>slot_mapping_error</t>
        </is>
      </c>
      <c r="Q54" s="24" t="inlineStr">
        <is>
          <t>没有</t>
        </is>
      </c>
      <c r="R54" s="24" t="inlineStr">
        <is>
          <t>正确</t>
        </is>
      </c>
      <c r="S54" s="24" t="inlineStr">
        <is>
          <t>正确</t>
        </is>
      </c>
      <c r="T54" s="24" t="inlineStr">
        <is>
          <t>不是反证但有用</t>
        </is>
      </c>
      <c r="U54" s="24" t="inlineStr">
        <is>
          <t>不该触发</t>
        </is>
      </c>
      <c r="V54" s="24" t="inlineStr">
        <is>
          <t>合理</t>
        </is>
      </c>
      <c r="W54" s="24" t="n"/>
      <c r="X54" s="24" t="inlineStr">
        <is>
          <t>Traditional athletic wear is related, but the memory does not refute avoiding stylish athletic wear.</t>
        </is>
      </c>
      <c r="Y54" s="24" t="inlineStr">
        <is>
          <t>陆含</t>
        </is>
      </c>
      <c r="Z54" s="24" t="inlineStr">
        <is>
          <t>未复核</t>
        </is>
      </c>
      <c r="AA54" s="24" t="n"/>
    </row>
    <row r="55" ht="68" customHeight="1">
      <c r="A55" s="24" t="inlineStr">
        <is>
          <t>154</t>
        </is>
      </c>
      <c r="B55" s="24" t="inlineStr">
        <is>
          <t>1:63:2</t>
        </is>
      </c>
      <c r="C55" s="24" t="inlineStr">
        <is>
          <t>Did Martin Mark decide to avoid stylish athletic wear after May 01, 2035?</t>
        </is>
      </c>
      <c r="D55" s="24" t="inlineStr">
        <is>
          <t>omission</t>
        </is>
      </c>
      <c r="E55" s="24" t="inlineStr">
        <is>
          <t>omission</t>
        </is>
      </c>
      <c r="F55" s="24" t="inlineStr">
        <is>
          <t>False</t>
        </is>
      </c>
      <c r="G55" s="24" t="inlineStr">
        <is>
          <t>2</t>
        </is>
      </c>
      <c r="H55" s="24" t="inlineStr">
        <is>
          <t>User's name is Martin Mark, male, born on August 2, 1996, currently 29 years old, and resides in Columbus.</t>
        </is>
      </c>
      <c r="I55" s="24" t="inlineStr">
        <is>
          <t>slot_mismatch</t>
        </is>
      </c>
      <c r="J55" s="24" t="inlineStr">
        <is>
          <t>slot_value_near_miss</t>
        </is>
      </c>
      <c r="K55" s="24" t="inlineStr">
        <is>
          <t>Martin Mark</t>
        </is>
      </c>
      <c r="L55" s="24" t="inlineStr">
        <is>
          <t>cessation</t>
        </is>
      </c>
      <c r="M55" s="24" t="inlineStr">
        <is>
          <t>stylish athletic wear</t>
        </is>
      </c>
      <c r="N55" s="24" t="inlineStr">
        <is>
          <t>decide to; after May 01; May 01, 2035</t>
        </is>
      </c>
      <c r="O55" s="24" t="inlineStr">
        <is>
          <t>premise_anchor:True:pass:shared anchor tokens: mark, martin | slot_value_alignment:False:slot_mismatch:premise slot cessation vs memory slot generic_yesno | temporal_compatibility:False:not_evaluated: | explicit_refutation:False:not_evaluated:</t>
        </is>
      </c>
      <c r="P55" s="24" t="inlineStr">
        <is>
          <t>slot_mapping_error</t>
        </is>
      </c>
      <c r="Q55" s="24" t="inlineStr">
        <is>
          <t>没有</t>
        </is>
      </c>
      <c r="R55" s="24" t="inlineStr">
        <is>
          <t>正确</t>
        </is>
      </c>
      <c r="S55" s="24" t="inlineStr">
        <is>
          <t>正确</t>
        </is>
      </c>
      <c r="T55" s="24" t="inlineStr">
        <is>
          <t>不是反证</t>
        </is>
      </c>
      <c r="U55" s="24" t="inlineStr">
        <is>
          <t>不该触发</t>
        </is>
      </c>
      <c r="V55" s="24" t="inlineStr">
        <is>
          <t>合理</t>
        </is>
      </c>
      <c r="W55" s="24" t="n"/>
      <c r="X55" s="24" t="inlineStr">
        <is>
          <t>Identity information does not address avoiding stylish athletic wear.</t>
        </is>
      </c>
      <c r="Y55" s="24" t="inlineStr">
        <is>
          <t>陆含</t>
        </is>
      </c>
      <c r="Z55" s="24" t="inlineStr">
        <is>
          <t>未复核</t>
        </is>
      </c>
      <c r="AA55" s="24" t="n"/>
    </row>
    <row r="56" ht="68" customHeight="1">
      <c r="A56" s="24" t="inlineStr">
        <is>
          <t>154</t>
        </is>
      </c>
      <c r="B56" s="24" t="inlineStr">
        <is>
          <t>1:63:2</t>
        </is>
      </c>
      <c r="C56" s="24" t="inlineStr">
        <is>
          <t>Did Martin Mark decide to avoid stylish athletic wear after May 01, 2035?</t>
        </is>
      </c>
      <c r="D56" s="24" t="inlineStr">
        <is>
          <t>omission</t>
        </is>
      </c>
      <c r="E56" s="24" t="inlineStr">
        <is>
          <t>omission</t>
        </is>
      </c>
      <c r="F56" s="24" t="inlineStr">
        <is>
          <t>False</t>
        </is>
      </c>
      <c r="G56" s="24" t="inlineStr">
        <is>
          <t>3</t>
        </is>
      </c>
      <c r="H56" s="24" t="inlineStr">
        <is>
          <t>User likes comfortable athletic wear for its comfort and flexibility, ideal for his active lifestyle; he prefers casual business attire as it balances professionalism with comfort at work; he chooses eco‑friendly fabrics because they align with his sustainability and environmental values; he dislikes formal wear as it feels restrictive, preferring clothing that allows easy movement and comfort.</t>
        </is>
      </c>
      <c r="I56" s="24" t="inlineStr">
        <is>
          <t>slot_mismatch</t>
        </is>
      </c>
      <c r="J56" s="24" t="inlineStr">
        <is>
          <t>slot_value_near_miss</t>
        </is>
      </c>
      <c r="K56" s="24" t="inlineStr">
        <is>
          <t>Martin Mark</t>
        </is>
      </c>
      <c r="L56" s="24" t="inlineStr">
        <is>
          <t>cessation</t>
        </is>
      </c>
      <c r="M56" s="24" t="inlineStr">
        <is>
          <t>stylish athletic wear</t>
        </is>
      </c>
      <c r="N56" s="24" t="inlineStr">
        <is>
          <t>decide to; after May 01; May 01, 2035</t>
        </is>
      </c>
      <c r="O56" s="24" t="inlineStr">
        <is>
          <t>premise_anchor:True:pass:shared anchor tokens: wear | slot_value_alignment:False:slot_mismatch:cessation object differs | temporal_compatibility:False:not_evaluated: | explicit_refutation:False:not_evaluated:</t>
        </is>
      </c>
      <c r="P56" s="24" t="inlineStr">
        <is>
          <t>slot_mapping_error</t>
        </is>
      </c>
      <c r="Q56" s="24" t="inlineStr">
        <is>
          <t>没有</t>
        </is>
      </c>
      <c r="R56" s="24" t="inlineStr">
        <is>
          <t>正确</t>
        </is>
      </c>
      <c r="S56" s="24" t="inlineStr">
        <is>
          <t>正确</t>
        </is>
      </c>
      <c r="T56" s="24" t="inlineStr">
        <is>
          <t>不是反证但有用</t>
        </is>
      </c>
      <c r="U56" s="24" t="inlineStr">
        <is>
          <t>不该触发</t>
        </is>
      </c>
      <c r="V56" s="24" t="inlineStr">
        <is>
          <t>合理</t>
        </is>
      </c>
      <c r="W56" s="24" t="n"/>
      <c r="X56" s="24" t="inlineStr">
        <is>
          <t>Comfortable athletic wear is related, but it does not refute avoiding stylish athletic wear.</t>
        </is>
      </c>
      <c r="Y56" s="24" t="inlineStr">
        <is>
          <t>陆含</t>
        </is>
      </c>
      <c r="Z56" s="24" t="inlineStr">
        <is>
          <t>未复核</t>
        </is>
      </c>
      <c r="AA56" s="24" t="n"/>
    </row>
    <row r="57" ht="68" customHeight="1">
      <c r="A57" s="24" t="inlineStr">
        <is>
          <t>155</t>
        </is>
      </c>
      <c r="B57" s="24" t="inlineStr">
        <is>
          <t>1:64:1</t>
        </is>
      </c>
      <c r="C57" s="24" t="inlineStr">
        <is>
          <t>Did Martin Mark express disinterest in integrating insights from a study on feline communication into his pet preferences on Aug 03, 2035?</t>
        </is>
      </c>
      <c r="D57" s="24" t="inlineStr">
        <is>
          <t>omission</t>
        </is>
      </c>
      <c r="E57" s="24" t="inlineStr">
        <is>
          <t>omission</t>
        </is>
      </c>
      <c r="F57" s="24" t="inlineStr">
        <is>
          <t>False</t>
        </is>
      </c>
      <c r="G57" s="24" t="inlineStr">
        <is>
          <t>2</t>
        </is>
      </c>
      <c r="H57" s="24" t="inlineStr">
        <is>
          <t>User’s emerging preference for Golden Retrievers reflects his openness to new experiences and interactions, marking a shift from his previous focus on Labradors.</t>
        </is>
      </c>
      <c r="I57" s="24" t="inlineStr">
        <is>
          <t>slot_mismatch</t>
        </is>
      </c>
      <c r="J57" s="24" t="inlineStr">
        <is>
          <t>slot_value_near_miss</t>
        </is>
      </c>
      <c r="K57" s="24" t="inlineStr">
        <is>
          <t>Martin Mark</t>
        </is>
      </c>
      <c r="L57" s="24" t="inlineStr">
        <is>
          <t>preference_status</t>
        </is>
      </c>
      <c r="M57" s="24" t="inlineStr">
        <is>
          <t>integrating insights from a study</t>
        </is>
      </c>
      <c r="N57" s="24" t="inlineStr">
        <is>
          <t>on feline communication into his pet preferences on Aug 03; Aug 03, 2035</t>
        </is>
      </c>
      <c r="O57" s="24" t="inlineStr">
        <is>
          <t>premise_anchor:True:pass:shared anchor tokens: mark | slot_value_alignment:False:slot_mismatch:premise slot preference_status vs memory slot generic_yesno | temporal_compatibility:False:not_evaluated: | explicit_refutation:False:not_evaluated:</t>
        </is>
      </c>
      <c r="P57" s="24" t="inlineStr">
        <is>
          <t>slot_mapping_error</t>
        </is>
      </c>
      <c r="Q57" s="24" t="inlineStr">
        <is>
          <t>没有</t>
        </is>
      </c>
      <c r="R57" s="24" t="inlineStr">
        <is>
          <t>部分正确</t>
        </is>
      </c>
      <c r="S57" s="24" t="inlineStr">
        <is>
          <t>正确</t>
        </is>
      </c>
      <c r="T57" s="24" t="inlineStr">
        <is>
          <t>不是反证但有用</t>
        </is>
      </c>
      <c r="U57" s="24" t="inlineStr">
        <is>
          <t>不该触发</t>
        </is>
      </c>
      <c r="V57" s="24" t="inlineStr">
        <is>
          <t>合理</t>
        </is>
      </c>
      <c r="W57" s="24" t="n"/>
      <c r="X57" s="24" t="inlineStr">
        <is>
          <t>Golden Retriever preference is pet-related but not about feline communication insights.</t>
        </is>
      </c>
      <c r="Y57" s="24" t="inlineStr">
        <is>
          <t>陆含</t>
        </is>
      </c>
      <c r="Z57" s="24" t="inlineStr">
        <is>
          <t>未复核</t>
        </is>
      </c>
      <c r="AA57" s="24" t="n"/>
    </row>
    <row r="58" ht="68" customHeight="1">
      <c r="A58" s="24" t="inlineStr">
        <is>
          <t>155</t>
        </is>
      </c>
      <c r="B58" s="24" t="inlineStr">
        <is>
          <t>1:64:1</t>
        </is>
      </c>
      <c r="C58" s="24" t="inlineStr">
        <is>
          <t>Did Martin Mark express disinterest in integrating insights from a study on feline communication into his pet preferences on Aug 03, 2035?</t>
        </is>
      </c>
      <c r="D58" s="24" t="inlineStr">
        <is>
          <t>omission</t>
        </is>
      </c>
      <c r="E58" s="24" t="inlineStr">
        <is>
          <t>omission</t>
        </is>
      </c>
      <c r="F58" s="24" t="inlineStr">
        <is>
          <t>False</t>
        </is>
      </c>
      <c r="G58" s="24" t="inlineStr">
        <is>
          <t>3</t>
        </is>
      </c>
      <c r="H58" s="24" t="inlineStr">
        <is>
          <t>Martin finds that having pets, especially his Golden Retriever interactions, provides comfort and relaxation that supports his mental well‑being.</t>
        </is>
      </c>
      <c r="I58" s="24" t="inlineStr">
        <is>
          <t>slot_mismatch</t>
        </is>
      </c>
      <c r="J58" s="24" t="inlineStr">
        <is>
          <t>slot_value_near_miss</t>
        </is>
      </c>
      <c r="K58" s="24" t="inlineStr">
        <is>
          <t>Martin Mark</t>
        </is>
      </c>
      <c r="L58" s="24" t="inlineStr">
        <is>
          <t>preference_status</t>
        </is>
      </c>
      <c r="M58" s="24" t="inlineStr">
        <is>
          <t>integrating insights from a study</t>
        </is>
      </c>
      <c r="N58" s="24" t="inlineStr">
        <is>
          <t>on feline communication into his pet preferences on Aug 03; Aug 03, 2035</t>
        </is>
      </c>
      <c r="O58" s="24" t="inlineStr">
        <is>
          <t>premise_anchor:True:pass:shared anchor tokens: martin | slot_value_alignment:False:slot_mismatch:premise slot preference_status vs memory slot generic_yesno | temporal_compatibility:False:not_evaluated: | explicit_refutation:False:not_evaluated:</t>
        </is>
      </c>
      <c r="P58" s="24" t="inlineStr">
        <is>
          <t>slot_mapping_error</t>
        </is>
      </c>
      <c r="Q58" s="24" t="inlineStr">
        <is>
          <t>没有</t>
        </is>
      </c>
      <c r="R58" s="24" t="inlineStr">
        <is>
          <t>部分正确</t>
        </is>
      </c>
      <c r="S58" s="24" t="inlineStr">
        <is>
          <t>正确</t>
        </is>
      </c>
      <c r="T58" s="24" t="inlineStr">
        <is>
          <t>不是反证但有用</t>
        </is>
      </c>
      <c r="U58" s="24" t="inlineStr">
        <is>
          <t>不该触发</t>
        </is>
      </c>
      <c r="V58" s="24" t="inlineStr">
        <is>
          <t>合理</t>
        </is>
      </c>
      <c r="W58" s="24" t="n"/>
      <c r="X58" s="24" t="inlineStr">
        <is>
          <t>Golden Retriever comfort is pet-related but not about feline communication insights.</t>
        </is>
      </c>
      <c r="Y58" s="24" t="inlineStr">
        <is>
          <t>陆含</t>
        </is>
      </c>
      <c r="Z58" s="24" t="inlineStr">
        <is>
          <t>未复核</t>
        </is>
      </c>
      <c r="AA58" s="24" t="n"/>
    </row>
    <row r="59" ht="68" customHeight="1">
      <c r="A59" s="24" t="inlineStr">
        <is>
          <t>155</t>
        </is>
      </c>
      <c r="B59" s="24" t="inlineStr">
        <is>
          <t>1:64:1</t>
        </is>
      </c>
      <c r="C59" s="24" t="inlineStr">
        <is>
          <t>Did Martin Mark express disinterest in integrating insights from a study on feline communication into his pet preferences on Aug 03, 2035?</t>
        </is>
      </c>
      <c r="D59" s="24" t="inlineStr">
        <is>
          <t>omission</t>
        </is>
      </c>
      <c r="E59" s="24" t="inlineStr">
        <is>
          <t>omission</t>
        </is>
      </c>
      <c r="F59" s="24" t="inlineStr">
        <is>
          <t>False</t>
        </is>
      </c>
      <c r="G59" s="24" t="inlineStr">
        <is>
          <t>4</t>
        </is>
      </c>
      <c r="H59" s="24" t="inlineStr">
        <is>
          <t>The insights Martin has gained from his network have been an enlightening experience, helping him identify what matters most in his career.</t>
        </is>
      </c>
      <c r="I59" s="24" t="inlineStr">
        <is>
          <t>slot_mismatch</t>
        </is>
      </c>
      <c r="J59" s="24" t="inlineStr">
        <is>
          <t>slot_value_near_miss</t>
        </is>
      </c>
      <c r="K59" s="24" t="inlineStr">
        <is>
          <t>Martin Mark</t>
        </is>
      </c>
      <c r="L59" s="24" t="inlineStr">
        <is>
          <t>preference_status</t>
        </is>
      </c>
      <c r="M59" s="24" t="inlineStr">
        <is>
          <t>integrating insights from a study</t>
        </is>
      </c>
      <c r="N59" s="24" t="inlineStr">
        <is>
          <t>on feline communication into his pet preferences on Aug 03; Aug 03, 2035</t>
        </is>
      </c>
      <c r="O59" s="24" t="inlineStr">
        <is>
          <t>premise_anchor:True:pass:shared anchor tokens: insight, insights, martin | slot_value_alignment:False:slot_mismatch:premise slot preference_status vs memory slot possession_or_relation | temporal_compatibility:False:not_evaluated: | explicit_refutation:False:not_evaluated:</t>
        </is>
      </c>
      <c r="P59" s="24" t="inlineStr">
        <is>
          <t>slot_mapping_error</t>
        </is>
      </c>
      <c r="Q59" s="24" t="inlineStr">
        <is>
          <t>没有</t>
        </is>
      </c>
      <c r="R59" s="24" t="inlineStr">
        <is>
          <t>部分正确</t>
        </is>
      </c>
      <c r="S59" s="24" t="inlineStr">
        <is>
          <t>正确</t>
        </is>
      </c>
      <c r="T59" s="24" t="inlineStr">
        <is>
          <t>不是反证</t>
        </is>
      </c>
      <c r="U59" s="24" t="inlineStr">
        <is>
          <t>不该触发</t>
        </is>
      </c>
      <c r="V59" s="24" t="inlineStr">
        <is>
          <t>合理</t>
        </is>
      </c>
      <c r="W59" s="24" t="n"/>
      <c r="X59" s="24" t="inlineStr">
        <is>
          <t>Career-network insights do not address feline communication or pet preferences.</t>
        </is>
      </c>
      <c r="Y59" s="24" t="inlineStr">
        <is>
          <t>陆含</t>
        </is>
      </c>
      <c r="Z59" s="24" t="inlineStr">
        <is>
          <t>未复核</t>
        </is>
      </c>
      <c r="AA59" s="24" t="n"/>
    </row>
    <row r="60" ht="68" customHeight="1">
      <c r="A60" s="24" t="inlineStr">
        <is>
          <t>161</t>
        </is>
      </c>
      <c r="B60" s="24" t="inlineStr">
        <is>
          <t>1:65:2</t>
        </is>
      </c>
      <c r="C60" s="24" t="inlineStr">
        <is>
          <t>Did Martin launch his Global Health Initiative in May 2035?</t>
        </is>
      </c>
      <c r="D60" s="24" t="inlineStr">
        <is>
          <t>omission</t>
        </is>
      </c>
      <c r="E60" s="24" t="inlineStr">
        <is>
          <t>omission</t>
        </is>
      </c>
      <c r="F60" s="24" t="inlineStr">
        <is>
          <t>False</t>
        </is>
      </c>
      <c r="G60" s="24" t="inlineStr">
        <is>
          <t>1</t>
        </is>
      </c>
      <c r="H60" s="24" t="inlineStr">
        <is>
          <t>User aims to enhance his leadership skills and deepen his understanding of global health initiatives to better serve communities.</t>
        </is>
      </c>
      <c r="I60" s="24" t="inlineStr">
        <is>
          <t>not_refuting</t>
        </is>
      </c>
      <c r="J60" s="24" t="inlineStr">
        <is>
          <t>related_but_not_refuting</t>
        </is>
      </c>
      <c r="K60" s="24" t="inlineStr">
        <is>
          <t>Martin</t>
        </is>
      </c>
      <c r="L60" s="24" t="inlineStr">
        <is>
          <t>health_status</t>
        </is>
      </c>
      <c r="M60" s="24" t="inlineStr">
        <is>
          <t>health</t>
        </is>
      </c>
      <c r="N60" s="24" t="str"/>
      <c r="O60" s="24" t="inlineStr">
        <is>
          <t>premise_anchor:True:pass:same health/status domain | slot_value_alignment:True:pass:same health/status slot | temporal_compatibility:True:pass:health/status proposition has compatible trajectory semantics | explicit_refutation:False:not_refuting:health evidence does not contradict the premise</t>
        </is>
      </c>
      <c r="P60" s="24" t="inlineStr">
        <is>
          <t>premise_extraction_error</t>
        </is>
      </c>
      <c r="Q60" s="24" t="inlineStr">
        <is>
          <t>没有</t>
        </is>
      </c>
      <c r="R60" s="24" t="inlineStr">
        <is>
          <t>错误</t>
        </is>
      </c>
      <c r="S60" s="24" t="inlineStr">
        <is>
          <t>错误</t>
        </is>
      </c>
      <c r="T60" s="24" t="inlineStr">
        <is>
          <t>不是反证但有用</t>
        </is>
      </c>
      <c r="U60" s="24" t="inlineStr">
        <is>
          <t>不该触发</t>
        </is>
      </c>
      <c r="V60" s="24" t="inlineStr">
        <is>
          <t>合理</t>
        </is>
      </c>
      <c r="W60" s="24" t="n"/>
      <c r="X60" s="24" t="inlineStr">
        <is>
          <t>The memory concerns interest in global health initiatives, not launching the specific initiative.</t>
        </is>
      </c>
      <c r="Y60" s="24" t="inlineStr">
        <is>
          <t>陆含</t>
        </is>
      </c>
      <c r="Z60" s="24" t="inlineStr">
        <is>
          <t>未复核</t>
        </is>
      </c>
      <c r="AA60" s="24" t="n"/>
    </row>
    <row r="61" ht="68" customHeight="1">
      <c r="A61" s="24" t="inlineStr">
        <is>
          <t>161</t>
        </is>
      </c>
      <c r="B61" s="24" t="inlineStr">
        <is>
          <t>1:65:2</t>
        </is>
      </c>
      <c r="C61" s="24" t="inlineStr">
        <is>
          <t>Did Martin launch his Global Health Initiative in May 2035?</t>
        </is>
      </c>
      <c r="D61" s="24" t="inlineStr">
        <is>
          <t>omission</t>
        </is>
      </c>
      <c r="E61" s="24" t="inlineStr">
        <is>
          <t>omission</t>
        </is>
      </c>
      <c r="F61" s="24" t="inlineStr">
        <is>
          <t>False</t>
        </is>
      </c>
      <c r="G61" s="24" t="inlineStr">
        <is>
          <t>3</t>
        </is>
      </c>
      <c r="H61" s="24" t="inlineStr">
        <is>
          <t>User has considered partnering with local health initiatives that target underserved communities.</t>
        </is>
      </c>
      <c r="I61" s="24" t="inlineStr">
        <is>
          <t>not_refuting</t>
        </is>
      </c>
      <c r="J61" s="24" t="inlineStr">
        <is>
          <t>related_but_not_refuting</t>
        </is>
      </c>
      <c r="K61" s="24" t="inlineStr">
        <is>
          <t>Martin</t>
        </is>
      </c>
      <c r="L61" s="24" t="inlineStr">
        <is>
          <t>health_status</t>
        </is>
      </c>
      <c r="M61" s="24" t="inlineStr">
        <is>
          <t>health</t>
        </is>
      </c>
      <c r="N61" s="24" t="str"/>
      <c r="O61" s="24" t="inlineStr">
        <is>
          <t>premise_anchor:True:pass:same health/status domain | slot_value_alignment:True:pass:same health/status slot | temporal_compatibility:True:pass:health/status proposition has compatible trajectory semantics | explicit_refutation:False:not_refuting:health evidence does not contradict the premise</t>
        </is>
      </c>
      <c r="P61" s="24" t="inlineStr">
        <is>
          <t>premise_extraction_error</t>
        </is>
      </c>
      <c r="Q61" s="24" t="inlineStr">
        <is>
          <t>没有</t>
        </is>
      </c>
      <c r="R61" s="24" t="inlineStr">
        <is>
          <t>错误</t>
        </is>
      </c>
      <c r="S61" s="24" t="inlineStr">
        <is>
          <t>错误</t>
        </is>
      </c>
      <c r="T61" s="24" t="inlineStr">
        <is>
          <t>不是反证但有用</t>
        </is>
      </c>
      <c r="U61" s="24" t="inlineStr">
        <is>
          <t>不该触发</t>
        </is>
      </c>
      <c r="V61" s="24" t="inlineStr">
        <is>
          <t>合理</t>
        </is>
      </c>
      <c r="W61" s="24" t="n"/>
      <c r="X61" s="24" t="inlineStr">
        <is>
          <t>Considering local health initiatives is related but does not refute launching the specific initiative.</t>
        </is>
      </c>
      <c r="Y61" s="24" t="inlineStr">
        <is>
          <t>陆含</t>
        </is>
      </c>
      <c r="Z61" s="24" t="inlineStr">
        <is>
          <t>未复核</t>
        </is>
      </c>
      <c r="AA61" s="24" t="n"/>
    </row>
    <row r="62" ht="68" customHeight="1">
      <c r="A62" s="24" t="inlineStr">
        <is>
          <t>161</t>
        </is>
      </c>
      <c r="B62" s="24" t="inlineStr">
        <is>
          <t>1:65:2</t>
        </is>
      </c>
      <c r="C62" s="24" t="inlineStr">
        <is>
          <t>Did Martin launch his Global Health Initiative in May 2035?</t>
        </is>
      </c>
      <c r="D62" s="24" t="inlineStr">
        <is>
          <t>omission</t>
        </is>
      </c>
      <c r="E62" s="24" t="inlineStr">
        <is>
          <t>omission</t>
        </is>
      </c>
      <c r="F62" s="24" t="inlineStr">
        <is>
          <t>False</t>
        </is>
      </c>
      <c r="G62" s="24" t="inlineStr">
        <is>
          <t>6</t>
        </is>
      </c>
      <c r="H62" s="24" t="inlineStr">
        <is>
          <t>Despite a challenging journey, Martin feels hopeful and optimistic about finding a role that supports both his career ambitions and personal health.</t>
        </is>
      </c>
      <c r="I62" s="24" t="inlineStr">
        <is>
          <t>not_refuting</t>
        </is>
      </c>
      <c r="J62" s="24" t="inlineStr">
        <is>
          <t>related_but_not_refuting</t>
        </is>
      </c>
      <c r="K62" s="24" t="inlineStr">
        <is>
          <t>Martin</t>
        </is>
      </c>
      <c r="L62" s="24" t="inlineStr">
        <is>
          <t>health_status</t>
        </is>
      </c>
      <c r="M62" s="24" t="inlineStr">
        <is>
          <t>health</t>
        </is>
      </c>
      <c r="N62" s="24" t="str"/>
      <c r="O62" s="24" t="inlineStr">
        <is>
          <t>premise_anchor:True:pass:same health/status domain | slot_value_alignment:True:pass:same health/status slot | temporal_compatibility:True:pass:health/status proposition has compatible trajectory semantics | explicit_refutation:False:not_refuting:health evidence does not contradict the premise</t>
        </is>
      </c>
      <c r="P62" s="24" t="inlineStr">
        <is>
          <t>premise_extraction_error</t>
        </is>
      </c>
      <c r="Q62" s="24" t="inlineStr">
        <is>
          <t>没有</t>
        </is>
      </c>
      <c r="R62" s="24" t="inlineStr">
        <is>
          <t>错误</t>
        </is>
      </c>
      <c r="S62" s="24" t="inlineStr">
        <is>
          <t>错误</t>
        </is>
      </c>
      <c r="T62" s="24" t="inlineStr">
        <is>
          <t>不是反证</t>
        </is>
      </c>
      <c r="U62" s="24" t="inlineStr">
        <is>
          <t>不该触发</t>
        </is>
      </c>
      <c r="V62" s="24" t="inlineStr">
        <is>
          <t>合理</t>
        </is>
      </c>
      <c r="W62" s="24" t="n"/>
      <c r="X62" s="24" t="inlineStr">
        <is>
          <t>Career and personal health optimism does not address launching a global health initiative.</t>
        </is>
      </c>
      <c r="Y62" s="24" t="inlineStr">
        <is>
          <t>陆含</t>
        </is>
      </c>
      <c r="Z62" s="24" t="inlineStr">
        <is>
          <t>未复核</t>
        </is>
      </c>
      <c r="AA62" s="24" t="n"/>
    </row>
    <row r="63" ht="68" customHeight="1">
      <c r="A63" s="24" t="inlineStr">
        <is>
          <t>175</t>
        </is>
      </c>
      <c r="B63" s="24" t="inlineStr">
        <is>
          <t>2:6:3</t>
        </is>
      </c>
      <c r="C63" s="24" t="inlineStr">
        <is>
          <t>Did Johnson Joseph's fear of snakes increase after attending the seminar on Apr 09, 2026?</t>
        </is>
      </c>
      <c r="D63" s="24" t="inlineStr">
        <is>
          <t>omission</t>
        </is>
      </c>
      <c r="E63" s="24" t="inlineStr">
        <is>
          <t>omission</t>
        </is>
      </c>
      <c r="F63" s="24" t="inlineStr">
        <is>
          <t>False</t>
        </is>
      </c>
      <c r="G63" s="24" t="inlineStr">
        <is>
          <t>5</t>
        </is>
      </c>
      <c r="H63" s="24" t="inlineStr">
        <is>
          <t>User's name is Johnson Joseph, male, born on May 11, 1997, currently 28 years old, and resides in Albi.</t>
        </is>
      </c>
      <c r="I63" s="24" t="inlineStr">
        <is>
          <t>absence_not_refutation</t>
        </is>
      </c>
      <c r="J63" s="24" t="inlineStr">
        <is>
          <t>absence_not_refutation</t>
        </is>
      </c>
      <c r="K63" s="24" t="inlineStr">
        <is>
          <t>Johnson Joseph</t>
        </is>
      </c>
      <c r="L63" s="24" t="inlineStr">
        <is>
          <t>generic_yesno</t>
        </is>
      </c>
      <c r="M63" s="24" t="inlineStr">
        <is>
          <t>seminar apr 2026</t>
        </is>
      </c>
      <c r="N63" s="24" t="inlineStr">
        <is>
          <t>after attending the seminar on Apr 09; Apr 09, 2026</t>
        </is>
      </c>
      <c r="O63" s="24" t="inlineStr">
        <is>
          <t>premise_anchor:True:pass:shared anchor tokens: johnson, joseph | slot_value_alignment:True:pass:same slot | temporal_compatibility:True:pass:temporal condition is compatible | explicit_refutation:False:absence_not_refutation:memory does not mention the premise value</t>
        </is>
      </c>
      <c r="P63" s="24" t="inlineStr">
        <is>
          <t>no_counterevidence_in_raw_memories</t>
        </is>
      </c>
      <c r="Q63" s="24" t="inlineStr">
        <is>
          <t>没有</t>
        </is>
      </c>
      <c r="R63" s="24" t="inlineStr">
        <is>
          <t>错误</t>
        </is>
      </c>
      <c r="S63" s="24" t="inlineStr">
        <is>
          <t>过宽</t>
        </is>
      </c>
      <c r="T63" s="24" t="inlineStr">
        <is>
          <t>不是反证</t>
        </is>
      </c>
      <c r="U63" s="24" t="inlineStr">
        <is>
          <t>不该触发</t>
        </is>
      </c>
      <c r="V63" s="24" t="inlineStr">
        <is>
          <t>合理</t>
        </is>
      </c>
      <c r="W63" s="24" t="n"/>
      <c r="X63" s="24" t="inlineStr">
        <is>
          <t>Identity information does not address fear of snakes increasing.</t>
        </is>
      </c>
      <c r="Y63" s="24" t="inlineStr">
        <is>
          <t>陆含</t>
        </is>
      </c>
      <c r="Z63" s="24" t="inlineStr">
        <is>
          <t>未复核</t>
        </is>
      </c>
      <c r="AA63" s="24" t="n"/>
    </row>
    <row r="64" ht="68" customHeight="1">
      <c r="A64" s="24" t="inlineStr">
        <is>
          <t>176</t>
        </is>
      </c>
      <c r="B64" s="24" t="inlineStr">
        <is>
          <t>2:9:2</t>
        </is>
      </c>
      <c r="C64" s="24" t="inlineStr">
        <is>
          <t>Did Johnson Joseph's Albi B&amp;B host over 10,000 guests by Jun 21, 2026?</t>
        </is>
      </c>
      <c r="D64" s="24" t="inlineStr">
        <is>
          <t>omission</t>
        </is>
      </c>
      <c r="E64" s="24" t="inlineStr">
        <is>
          <t>omission</t>
        </is>
      </c>
      <c r="F64" s="24" t="inlineStr">
        <is>
          <t>False</t>
        </is>
      </c>
      <c r="G64" s="24" t="inlineStr">
        <is>
          <t>1</t>
        </is>
      </c>
      <c r="H64" s="24" t="inlineStr">
        <is>
          <t>User's name is Johnson Joseph, male, born on May 11, 1997, currently 28 years old, and resides in Albi.</t>
        </is>
      </c>
      <c r="I64" s="24" t="inlineStr">
        <is>
          <t>absence_not_refutation</t>
        </is>
      </c>
      <c r="J64" s="24" t="inlineStr">
        <is>
          <t>absence_not_refutation</t>
        </is>
      </c>
      <c r="K64" s="24" t="inlineStr">
        <is>
          <t>Johnson Joseph</t>
        </is>
      </c>
      <c r="L64" s="24" t="inlineStr">
        <is>
          <t>generic_yesno</t>
        </is>
      </c>
      <c r="M64" s="24" t="inlineStr">
        <is>
          <t>guest jun 2026</t>
        </is>
      </c>
      <c r="N64" s="24" t="inlineStr">
        <is>
          <t>Jun 21, 2026</t>
        </is>
      </c>
      <c r="O64" s="24" t="inlineStr">
        <is>
          <t>premise_anchor:True:pass:shared anchor tokens: johnson, joseph | slot_value_alignment:True:pass:same slot | temporal_compatibility:True:pass:temporal condition is compatible | explicit_refutation:False:absence_not_refutation:memory does not mention the premise value</t>
        </is>
      </c>
      <c r="P64" s="24" t="inlineStr">
        <is>
          <t>premise_extraction_error</t>
        </is>
      </c>
      <c r="Q64" s="24" t="inlineStr">
        <is>
          <t>没有</t>
        </is>
      </c>
      <c r="R64" s="24" t="inlineStr">
        <is>
          <t>部分正确</t>
        </is>
      </c>
      <c r="S64" s="24" t="inlineStr">
        <is>
          <t>过宽</t>
        </is>
      </c>
      <c r="T64" s="24" t="inlineStr">
        <is>
          <t>不是反证</t>
        </is>
      </c>
      <c r="U64" s="24" t="inlineStr">
        <is>
          <t>不该触发</t>
        </is>
      </c>
      <c r="V64" s="24" t="inlineStr">
        <is>
          <t>合理</t>
        </is>
      </c>
      <c r="W64" s="24" t="n"/>
      <c r="X64" s="24" t="inlineStr">
        <is>
          <t>Identity information does not address B&amp;B guest count.</t>
        </is>
      </c>
      <c r="Y64" s="24" t="inlineStr">
        <is>
          <t>陆含</t>
        </is>
      </c>
      <c r="Z64" s="24" t="inlineStr">
        <is>
          <t>未复核</t>
        </is>
      </c>
      <c r="AA64" s="24" t="n"/>
    </row>
    <row r="65" ht="68" customHeight="1">
      <c r="A65" s="24" t="inlineStr">
        <is>
          <t>176</t>
        </is>
      </c>
      <c r="B65" s="24" t="inlineStr">
        <is>
          <t>2:9:2</t>
        </is>
      </c>
      <c r="C65" s="24" t="inlineStr">
        <is>
          <t>Did Johnson Joseph's Albi B&amp;B host over 10,000 guests by Jun 21, 2026?</t>
        </is>
      </c>
      <c r="D65" s="24" t="inlineStr">
        <is>
          <t>omission</t>
        </is>
      </c>
      <c r="E65" s="24" t="inlineStr">
        <is>
          <t>omission</t>
        </is>
      </c>
      <c r="F65" s="24" t="inlineStr">
        <is>
          <t>False</t>
        </is>
      </c>
      <c r="G65" s="24" t="inlineStr">
        <is>
          <t>3</t>
        </is>
      </c>
      <c r="H65" s="24" t="inlineStr">
        <is>
          <t>User is self‑employed in the hospitality industry, owning Albi B&amp;B and managing all aspects of the business from guest relations to daily operations.</t>
        </is>
      </c>
      <c r="I65" s="24" t="inlineStr">
        <is>
          <t>temporal_mismatch</t>
        </is>
      </c>
      <c r="J65" s="24" t="inlineStr">
        <is>
          <t>temporal_near_miss</t>
        </is>
      </c>
      <c r="K65" s="24" t="inlineStr">
        <is>
          <t>Johnson Joseph</t>
        </is>
      </c>
      <c r="L65" s="24" t="inlineStr">
        <is>
          <t>generic_yesno</t>
        </is>
      </c>
      <c r="M65" s="24" t="inlineStr">
        <is>
          <t>guest jun 2026</t>
        </is>
      </c>
      <c r="N65" s="24" t="inlineStr">
        <is>
          <t>Jun 21, 2026</t>
        </is>
      </c>
      <c r="O65" s="24" t="inlineStr">
        <is>
          <t>premise_anchor:True:pass:shared anchor tokens: guest | slot_value_alignment:True:pass:same slot | temporal_compatibility:False:temporal_mismatch:premise has strong time condition but memory is undated | explicit_refutation:False:not_evaluated:</t>
        </is>
      </c>
      <c r="P65" s="24" t="inlineStr">
        <is>
          <t>premise_extraction_error</t>
        </is>
      </c>
      <c r="Q65" s="24" t="inlineStr">
        <is>
          <t>没有</t>
        </is>
      </c>
      <c r="R65" s="24" t="inlineStr">
        <is>
          <t>部分正确</t>
        </is>
      </c>
      <c r="S65" s="24" t="inlineStr">
        <is>
          <t>过宽</t>
        </is>
      </c>
      <c r="T65" s="24" t="inlineStr">
        <is>
          <t>不是反证但有用</t>
        </is>
      </c>
      <c r="U65" s="24" t="inlineStr">
        <is>
          <t>不该触发</t>
        </is>
      </c>
      <c r="V65" s="24" t="inlineStr">
        <is>
          <t>合理</t>
        </is>
      </c>
      <c r="W65" s="24" t="n"/>
      <c r="X65" s="24" t="inlineStr">
        <is>
          <t>Owning the B&amp;B is relevant but does not state hosting over 10,000 guests by the date.</t>
        </is>
      </c>
      <c r="Y65" s="24" t="inlineStr">
        <is>
          <t>陆含</t>
        </is>
      </c>
      <c r="Z65" s="24" t="inlineStr">
        <is>
          <t>未复核</t>
        </is>
      </c>
      <c r="AA65" s="24" t="n"/>
    </row>
    <row r="66" ht="68" customHeight="1">
      <c r="A66" s="24" t="inlineStr">
        <is>
          <t>176</t>
        </is>
      </c>
      <c r="B66" s="24" t="inlineStr">
        <is>
          <t>2:9:2</t>
        </is>
      </c>
      <c r="C66" s="24" t="inlineStr">
        <is>
          <t>Did Johnson Joseph's Albi B&amp;B host over 10,000 guests by Jun 21, 2026?</t>
        </is>
      </c>
      <c r="D66" s="24" t="inlineStr">
        <is>
          <t>omission</t>
        </is>
      </c>
      <c r="E66" s="24" t="inlineStr">
        <is>
          <t>omission</t>
        </is>
      </c>
      <c r="F66" s="24" t="inlineStr">
        <is>
          <t>False</t>
        </is>
      </c>
      <c r="G66" s="24" t="inlineStr">
        <is>
          <t>10</t>
        </is>
      </c>
      <c r="H66" s="24" t="inlineStr">
        <is>
          <t>User's primary life goal is to become a leading figure in the hospitality industry by transforming his bed and breakfast into a world‑renowned destination, hosting over 10,000 guests annually, earning international hospitality awards, and expanding the business to multiple locations.</t>
        </is>
      </c>
      <c r="I66" s="24" t="inlineStr">
        <is>
          <t>temporal_mismatch</t>
        </is>
      </c>
      <c r="J66" s="24" t="inlineStr">
        <is>
          <t>temporal_near_miss</t>
        </is>
      </c>
      <c r="K66" s="24" t="inlineStr">
        <is>
          <t>Johnson Joseph</t>
        </is>
      </c>
      <c r="L66" s="24" t="inlineStr">
        <is>
          <t>generic_yesno</t>
        </is>
      </c>
      <c r="M66" s="24" t="inlineStr">
        <is>
          <t>guest jun 2026</t>
        </is>
      </c>
      <c r="N66" s="24" t="inlineStr">
        <is>
          <t>Jun 21, 2026</t>
        </is>
      </c>
      <c r="O66" s="24" t="inlineStr">
        <is>
          <t>premise_anchor:True:pass:shared anchor tokens: guest | slot_value_alignment:True:pass:same slot | temporal_compatibility:False:temporal_mismatch:premise has strong time condition but memory is undated | explicit_refutation:False:not_evaluated:</t>
        </is>
      </c>
      <c r="P66" s="24" t="inlineStr">
        <is>
          <t>premise_extraction_error</t>
        </is>
      </c>
      <c r="Q66" s="24" t="inlineStr">
        <is>
          <t>没有</t>
        </is>
      </c>
      <c r="R66" s="24" t="inlineStr">
        <is>
          <t>部分正确</t>
        </is>
      </c>
      <c r="S66" s="24" t="inlineStr">
        <is>
          <t>过宽</t>
        </is>
      </c>
      <c r="T66" s="24" t="inlineStr">
        <is>
          <t>不是反证但有用</t>
        </is>
      </c>
      <c r="U66" s="24" t="inlineStr">
        <is>
          <t>不该触发</t>
        </is>
      </c>
      <c r="V66" s="24" t="inlineStr">
        <is>
          <t>合理</t>
        </is>
      </c>
      <c r="W66" s="24" t="n"/>
      <c r="X66" s="24" t="inlineStr">
        <is>
          <t>A goal to host over 10,000 guests annually is not evidence the B&amp;B had done so by the date.</t>
        </is>
      </c>
      <c r="Y66" s="24" t="inlineStr">
        <is>
          <t>陆含</t>
        </is>
      </c>
      <c r="Z66" s="24" t="inlineStr">
        <is>
          <t>未复核</t>
        </is>
      </c>
      <c r="AA66" s="24" t="n"/>
    </row>
    <row r="67" ht="68" customHeight="1">
      <c r="A67" s="24" t="inlineStr">
        <is>
          <t>187</t>
        </is>
      </c>
      <c r="B67" s="24" t="inlineStr">
        <is>
          <t>2:10:2</t>
        </is>
      </c>
      <c r="C67" s="24" t="inlineStr">
        <is>
          <t>Did Johnson Joseph continue to dislike golf after his outing on Oct 14, 2026?</t>
        </is>
      </c>
      <c r="D67" s="24" t="inlineStr">
        <is>
          <t>omission</t>
        </is>
      </c>
      <c r="E67" s="24" t="inlineStr">
        <is>
          <t>omission</t>
        </is>
      </c>
      <c r="F67" s="24" t="inlineStr">
        <is>
          <t>False</t>
        </is>
      </c>
      <c r="G67" s="24" t="inlineStr">
        <is>
          <t>5</t>
        </is>
      </c>
      <c r="H67" s="24" t="inlineStr">
        <is>
          <t>User enjoys cycling to explore the countryside around Albi and stay fit, likes hiking for mental clarity and natural beauty, and avoids golf because it is too slow‑paced and does not keep him moving.</t>
        </is>
      </c>
      <c r="I67" s="24" t="inlineStr">
        <is>
          <t>not_refuting</t>
        </is>
      </c>
      <c r="J67" s="24" t="inlineStr">
        <is>
          <t>related_but_not_refuting</t>
        </is>
      </c>
      <c r="K67" s="24" t="inlineStr">
        <is>
          <t>Johnson Joseph</t>
        </is>
      </c>
      <c r="L67" s="24" t="inlineStr">
        <is>
          <t>preference_status</t>
        </is>
      </c>
      <c r="M67" s="24" t="inlineStr">
        <is>
          <t>golf</t>
        </is>
      </c>
      <c r="N67" s="24" t="inlineStr">
        <is>
          <t>after his outing on Oct 14; Oct 14, 2026</t>
        </is>
      </c>
      <c r="O67" s="24" t="inlineStr">
        <is>
          <t>premise_anchor:True:pass:shared anchor tokens: golf | slot_value_alignment:True:pass:same preference value | temporal_compatibility:True:pass:stable opposite preference can refute dated preference utterance | explicit_refutation:False:not_refuting:memory is compatible with the premise or only supports it</t>
        </is>
      </c>
      <c r="P67" s="24" t="inlineStr">
        <is>
          <t>explicit_refutation_gate_too_strict</t>
        </is>
      </c>
      <c r="Q67" s="24" t="inlineStr">
        <is>
          <t>没有</t>
        </is>
      </c>
      <c r="R67" s="24" t="inlineStr">
        <is>
          <t>正确</t>
        </is>
      </c>
      <c r="S67" s="24" t="inlineStr">
        <is>
          <t>正确</t>
        </is>
      </c>
      <c r="T67" s="24" t="inlineStr">
        <is>
          <t>不是反证但有用</t>
        </is>
      </c>
      <c r="U67" s="24" t="inlineStr">
        <is>
          <t>不该触发</t>
        </is>
      </c>
      <c r="V67" s="24" t="inlineStr">
        <is>
          <t>合理</t>
        </is>
      </c>
      <c r="W67" s="24" t="n"/>
      <c r="X67" s="24" t="inlineStr">
        <is>
          <t>The memory supports disliking golf, so it is useful but not a refutation.</t>
        </is>
      </c>
      <c r="Y67" s="24" t="inlineStr">
        <is>
          <t>陆含</t>
        </is>
      </c>
      <c r="Z67" s="24" t="inlineStr">
        <is>
          <t>未复核</t>
        </is>
      </c>
      <c r="AA67" s="24" t="n"/>
    </row>
    <row r="68" ht="68" customHeight="1">
      <c r="A68" s="24" t="inlineStr">
        <is>
          <t>199</t>
        </is>
      </c>
      <c r="B68" s="24" t="inlineStr">
        <is>
          <t>2:17:1</t>
        </is>
      </c>
      <c r="C68" s="24" t="inlineStr">
        <is>
          <t>Did Johnson Joseph decide to avoid fantasy novels after attending the literary festival on 2028-04-28?</t>
        </is>
      </c>
      <c r="D68" s="24" t="inlineStr">
        <is>
          <t>omission</t>
        </is>
      </c>
      <c r="E68" s="24" t="inlineStr">
        <is>
          <t>omission</t>
        </is>
      </c>
      <c r="F68" s="24" t="inlineStr">
        <is>
          <t>False</t>
        </is>
      </c>
      <c r="G68" s="24" t="inlineStr">
        <is>
          <t>2</t>
        </is>
      </c>
      <c r="H68" s="24" t="inlineStr">
        <is>
          <t>User reads travel guides to discover new ideas for enhancing the B&amp;B experience, enjoys biographies for inspiration from successful individuals, and avoids fantasy novels because they feel disconnected from reality and less relatable.</t>
        </is>
      </c>
      <c r="I68" s="24" t="inlineStr">
        <is>
          <t>temporal_mismatch</t>
        </is>
      </c>
      <c r="J68" s="24" t="inlineStr">
        <is>
          <t>temporal_near_miss</t>
        </is>
      </c>
      <c r="K68" s="24" t="inlineStr">
        <is>
          <t>Johnson Joseph</t>
        </is>
      </c>
      <c r="L68" s="24" t="inlineStr">
        <is>
          <t>cessation</t>
        </is>
      </c>
      <c r="M68" s="24" t="inlineStr">
        <is>
          <t>fantasy novels</t>
        </is>
      </c>
      <c r="N68" s="24" t="inlineStr">
        <is>
          <t>decide to; after attending the literary festival on 2028-04-28; 2028-04-28</t>
        </is>
      </c>
      <c r="O68" s="24" t="inlineStr">
        <is>
          <t>premise_anchor:True:pass:shared anchor tokens: fantasy, novel, novels | slot_value_alignment:True:pass:same stopped/abandoned object value | temporal_compatibility:False:temporal_mismatch:decision/cessation premise needs update or current cue | explicit_refutation:False:not_evaluated:</t>
        </is>
      </c>
      <c r="P68" s="24" t="inlineStr">
        <is>
          <t>temporal_gate_too_strict</t>
        </is>
      </c>
      <c r="Q68" s="24" t="inlineStr">
        <is>
          <t>没有</t>
        </is>
      </c>
      <c r="R68" s="24" t="inlineStr">
        <is>
          <t>正确</t>
        </is>
      </c>
      <c r="S68" s="24" t="inlineStr">
        <is>
          <t>正确</t>
        </is>
      </c>
      <c r="T68" s="24" t="inlineStr">
        <is>
          <t>不是反证但有用</t>
        </is>
      </c>
      <c r="U68" s="24" t="inlineStr">
        <is>
          <t>不该触发</t>
        </is>
      </c>
      <c r="V68" s="24" t="inlineStr">
        <is>
          <t>合理</t>
        </is>
      </c>
      <c r="W68" s="24" t="n"/>
      <c r="X68" s="24" t="inlineStr">
        <is>
          <t>The memory supports avoiding fantasy novels, so it is useful but not a refutation.</t>
        </is>
      </c>
      <c r="Y68" s="24" t="inlineStr">
        <is>
          <t>陆含</t>
        </is>
      </c>
      <c r="Z68" s="24" t="inlineStr">
        <is>
          <t>未复核</t>
        </is>
      </c>
      <c r="AA68" s="24" t="n"/>
    </row>
    <row r="69" ht="68" customHeight="1">
      <c r="A69" s="24" t="inlineStr">
        <is>
          <t>10</t>
        </is>
      </c>
      <c r="B69" s="24" t="inlineStr">
        <is>
          <t>1:5:1</t>
        </is>
      </c>
      <c r="C69" s="24" t="inlineStr">
        <is>
          <t>Did Martin express a preference for Labradors over Golden Retrievers on Jan 06, 2026?</t>
        </is>
      </c>
      <c r="D69" s="24" t="inlineStr">
        <is>
          <t>hallucination</t>
        </is>
      </c>
      <c r="E69" s="24" t="inlineStr">
        <is>
          <t>hallucination</t>
        </is>
      </c>
      <c r="F69" s="24" t="inlineStr">
        <is>
          <t>False</t>
        </is>
      </c>
      <c r="G69" s="24" t="inlineStr">
        <is>
          <t>1</t>
        </is>
      </c>
      <c r="H69" s="24" t="inlineStr">
        <is>
          <t>User prefers dogs, especially Labradors, because they are friendly, loyal, and serve as great companions for outdoor activities like jogging, which helps him stay fit; he dislikes reptiles such as snakes due to their unsettling unpredictable movements and lack of social behavior; he likes cats for their independence, affection, and soothing purring after a long workday; he also likes parrots for their intelligence and ability to mimic speech, making interactions fun and engaging.</t>
        </is>
      </c>
      <c r="I69" s="24" t="inlineStr">
        <is>
          <t>not_refuting</t>
        </is>
      </c>
      <c r="J69" s="24" t="inlineStr">
        <is>
          <t>related_but_not_refuting</t>
        </is>
      </c>
      <c r="K69" s="24" t="inlineStr">
        <is>
          <t>Martin</t>
        </is>
      </c>
      <c r="L69" s="24" t="inlineStr">
        <is>
          <t>preference_status</t>
        </is>
      </c>
      <c r="M69" s="24" t="inlineStr">
        <is>
          <t>Labradors over Golden Retrievers</t>
        </is>
      </c>
      <c r="N69" s="24" t="inlineStr">
        <is>
          <t>on Jan 06; Jan 06, 2026</t>
        </is>
      </c>
      <c r="O69" s="24" t="inlineStr">
        <is>
          <t>premise_anchor:True:pass:shared anchor tokens: labrador, labradors | slot_value_alignment:True:pass:same preference value | temporal_compatibility:True:pass:stable opposite preference can refute dated preference utterance | explicit_refutation:False:not_refuting:preference-over evidence lacks exact opposing object</t>
        </is>
      </c>
      <c r="P69" s="24" t="inlineStr">
        <is>
          <t>explicit_refutation_gate_too_strict</t>
        </is>
      </c>
      <c r="Q69" s="24" t="inlineStr">
        <is>
          <t>没有</t>
        </is>
      </c>
      <c r="R69" s="24" t="inlineStr">
        <is>
          <t>正确</t>
        </is>
      </c>
      <c r="S69" s="24" t="inlineStr">
        <is>
          <t>正确</t>
        </is>
      </c>
      <c r="T69" s="24" t="inlineStr">
        <is>
          <t>不是反证但有用</t>
        </is>
      </c>
      <c r="U69" s="24" t="inlineStr">
        <is>
          <t>不该触发</t>
        </is>
      </c>
      <c r="V69" s="24" t="inlineStr">
        <is>
          <t>合理</t>
        </is>
      </c>
      <c r="W69" s="24" t="n"/>
      <c r="X69" s="24" t="inlineStr">
        <is>
          <t>The memory supports liking Labradors but does not refute the Labradors-over-Golden-Retrievers premise.</t>
        </is>
      </c>
      <c r="Y69" s="24" t="inlineStr">
        <is>
          <t>陆含</t>
        </is>
      </c>
      <c r="Z69" s="24" t="inlineStr">
        <is>
          <t>未复核</t>
        </is>
      </c>
      <c r="AA69" s="24" t="n"/>
    </row>
    <row r="70" ht="68" customHeight="1">
      <c r="A70" s="24" t="inlineStr">
        <is>
          <t>66</t>
        </is>
      </c>
      <c r="B70" s="24" t="inlineStr">
        <is>
          <t>1:26:2</t>
        </is>
      </c>
      <c r="C70" s="24" t="inlineStr">
        <is>
          <t>Did Martin express a dislike for horror films on February 13, 2029?</t>
        </is>
      </c>
      <c r="D70" s="24" t="inlineStr">
        <is>
          <t>hallucination</t>
        </is>
      </c>
      <c r="E70" s="24" t="inlineStr">
        <is>
          <t>hallucination</t>
        </is>
      </c>
      <c r="F70" s="24" t="inlineStr">
        <is>
          <t>False</t>
        </is>
      </c>
      <c r="G70" s="24" t="inlineStr">
        <is>
          <t>1</t>
        </is>
      </c>
      <c r="H70" s="24" t="inlineStr">
        <is>
          <t>User likes documentaries because they are informative and provide real‑world insights that complement his thirst for knowledge; he avoids horror films as they can be disturbing and undermine the positive mindset he strives to maintain; he also dislikes slasher films due to excessive violence, preferring movies with meaningful narratives.</t>
        </is>
      </c>
      <c r="I70" s="24" t="inlineStr">
        <is>
          <t>not_refuting</t>
        </is>
      </c>
      <c r="J70" s="24" t="inlineStr">
        <is>
          <t>related_but_not_refuting</t>
        </is>
      </c>
      <c r="K70" s="24" t="inlineStr">
        <is>
          <t>Martin</t>
        </is>
      </c>
      <c r="L70" s="24" t="inlineStr">
        <is>
          <t>preference_status</t>
        </is>
      </c>
      <c r="M70" s="24" t="inlineStr">
        <is>
          <t>horror films</t>
        </is>
      </c>
      <c r="N70" s="24" t="inlineStr">
        <is>
          <t>on February 13; February 13, 2029</t>
        </is>
      </c>
      <c r="O70" s="24" t="inlineStr">
        <is>
          <t>premise_anchor:True:pass:shared anchor tokens: horror | slot_value_alignment:True:pass:same preference value | temporal_compatibility:True:pass:stable opposite preference can refute dated preference utterance | explicit_refutation:False:not_refuting:memory is compatible with the premise or only supports it</t>
        </is>
      </c>
      <c r="P70" s="24" t="inlineStr">
        <is>
          <t>slot_mapping_error</t>
        </is>
      </c>
      <c r="Q70" s="24" t="inlineStr">
        <is>
          <t>没有</t>
        </is>
      </c>
      <c r="R70" s="24" t="inlineStr">
        <is>
          <t>正确</t>
        </is>
      </c>
      <c r="S70" s="24" t="inlineStr">
        <is>
          <t>正确</t>
        </is>
      </c>
      <c r="T70" s="24" t="inlineStr">
        <is>
          <t>不是反证但有用</t>
        </is>
      </c>
      <c r="U70" s="24" t="inlineStr">
        <is>
          <t>不该触发</t>
        </is>
      </c>
      <c r="V70" s="24" t="inlineStr">
        <is>
          <t>合理</t>
        </is>
      </c>
      <c r="W70" s="24" t="n"/>
      <c r="X70" s="24" t="inlineStr">
        <is>
          <t>The memory supports disliking horror films, so it is useful but not a refutation.</t>
        </is>
      </c>
      <c r="Y70" s="24" t="inlineStr">
        <is>
          <t>陆含</t>
        </is>
      </c>
      <c r="Z70" s="24" t="inlineStr">
        <is>
          <t>未复核</t>
        </is>
      </c>
      <c r="AA70" s="24" t="n"/>
    </row>
    <row r="71" ht="68" customHeight="1">
      <c r="A71" s="24" t="inlineStr">
        <is>
          <t>76</t>
        </is>
      </c>
      <c r="B71" s="24" t="inlineStr">
        <is>
          <t>1:30:6</t>
        </is>
      </c>
      <c r="C71" s="24" t="inlineStr">
        <is>
          <t>Did Martin Mark express optimism about his future role as Senior Director before June 2029?</t>
        </is>
      </c>
      <c r="D71" s="24" t="inlineStr">
        <is>
          <t>hallucination</t>
        </is>
      </c>
      <c r="E71" s="24" t="inlineStr">
        <is>
          <t>hallucination</t>
        </is>
      </c>
      <c r="F71" s="24" t="inlineStr">
        <is>
          <t>False</t>
        </is>
      </c>
      <c r="G71" s="24" t="inlineStr">
        <is>
          <t>20</t>
        </is>
      </c>
      <c r="H71" s="24" t="inlineStr">
        <is>
          <t>User is employed as a director at Huaxin Consulting in the healthcare industry, earning a monthly income of 15,700 USD and holding 43,700 USD in savings as of September 5, 2025</t>
        </is>
      </c>
      <c r="I71" s="24" t="inlineStr">
        <is>
          <t>not_refuting</t>
        </is>
      </c>
      <c r="J71" s="24" t="inlineStr">
        <is>
          <t>related_but_not_refuting</t>
        </is>
      </c>
      <c r="K71" s="24" t="inlineStr">
        <is>
          <t>Martin Mark</t>
        </is>
      </c>
      <c r="L71" s="24" t="inlineStr">
        <is>
          <t>employment_status</t>
        </is>
      </c>
      <c r="M71" s="24" t="inlineStr">
        <is>
          <t>Senior Director</t>
        </is>
      </c>
      <c r="N71" s="24" t="inlineStr">
        <is>
          <t>before June 2029</t>
        </is>
      </c>
      <c r="O71" s="24" t="inlineStr">
        <is>
          <t>premise_anchor:True:pass:shared anchor tokens: director | slot_value_alignment:True:pass:same slot | temporal_compatibility:True:pass:temporal condition is compatible | explicit_refutation:False:not_refuting:employment evidence does not contradict the premise</t>
        </is>
      </c>
      <c r="P71" s="24" t="inlineStr">
        <is>
          <t>slot_mapping_error</t>
        </is>
      </c>
      <c r="Q71" s="24" t="inlineStr">
        <is>
          <t>没有</t>
        </is>
      </c>
      <c r="R71" s="24" t="inlineStr">
        <is>
          <t>错误</t>
        </is>
      </c>
      <c r="S71" s="24" t="inlineStr">
        <is>
          <t>错误</t>
        </is>
      </c>
      <c r="T71" s="24" t="inlineStr">
        <is>
          <t>不是反证但有用</t>
        </is>
      </c>
      <c r="U71" s="24" t="inlineStr">
        <is>
          <t>不该触发</t>
        </is>
      </c>
      <c r="V71" s="24" t="inlineStr">
        <is>
          <t>合理</t>
        </is>
      </c>
      <c r="W71" s="24" t="n"/>
      <c r="X71" s="24" t="inlineStr">
        <is>
          <t>Employment status is related to Senior Director but does not address optimism about the future role.</t>
        </is>
      </c>
      <c r="Y71" s="24" t="inlineStr">
        <is>
          <t>陆含</t>
        </is>
      </c>
      <c r="Z71" s="24" t="inlineStr">
        <is>
          <t>未复核</t>
        </is>
      </c>
      <c r="AA71" s="24" t="n"/>
    </row>
    <row r="72" ht="68" customHeight="1">
      <c r="A72" s="24" t="inlineStr">
        <is>
          <t>116</t>
        </is>
      </c>
      <c r="B72" s="24" t="inlineStr">
        <is>
          <t>1:44:4</t>
        </is>
      </c>
      <c r="C72" s="24" t="inlineStr">
        <is>
          <t>Did Martin's lifestyle changes after his salary increase lead to decreased job satisfaction by December 1, 2031?</t>
        </is>
      </c>
      <c r="D72" s="24" t="inlineStr">
        <is>
          <t>hallucination</t>
        </is>
      </c>
      <c r="E72" s="24" t="inlineStr">
        <is>
          <t>hallucination</t>
        </is>
      </c>
      <c r="F72" s="24" t="inlineStr">
        <is>
          <t>False</t>
        </is>
      </c>
      <c r="G72" s="24" t="inlineStr">
        <is>
          <t>10</t>
        </is>
      </c>
      <c r="H72"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72" s="24" t="inlineStr">
        <is>
          <t>absence_not_refutation</t>
        </is>
      </c>
      <c r="J72" s="24" t="inlineStr">
        <is>
          <t>absence_not_refutation</t>
        </is>
      </c>
      <c r="K72" s="24" t="inlineStr">
        <is>
          <t>Martin</t>
        </is>
      </c>
      <c r="L72" s="24" t="inlineStr">
        <is>
          <t>generic_yesno</t>
        </is>
      </c>
      <c r="M72" s="24" t="inlineStr">
        <is>
          <t>satisfaction december 2031</t>
        </is>
      </c>
      <c r="N72" s="24" t="inlineStr">
        <is>
          <t>after his salary increase lead to decreased job satisfaction by December 1; December 1, 2031</t>
        </is>
      </c>
      <c r="O72" s="24" t="inlineStr">
        <is>
          <t>premise_anchor:True:pass:shared anchor tokens: martin | slot_value_alignment:True:pass:same slot | temporal_compatibility:True:pass:temporal condition is compatible | explicit_refutation:False:absence_not_refutation:memory does not mention the premise value</t>
        </is>
      </c>
      <c r="P72" s="24" t="inlineStr">
        <is>
          <t>premise_extraction_error</t>
        </is>
      </c>
      <c r="Q72" s="24" t="inlineStr">
        <is>
          <t>没有</t>
        </is>
      </c>
      <c r="R72" s="24" t="inlineStr">
        <is>
          <t>部分正确</t>
        </is>
      </c>
      <c r="S72" s="24" t="inlineStr">
        <is>
          <t>过宽</t>
        </is>
      </c>
      <c r="T72" s="24" t="inlineStr">
        <is>
          <t>不是反证</t>
        </is>
      </c>
      <c r="U72" s="24" t="inlineStr">
        <is>
          <t>不该触发</t>
        </is>
      </c>
      <c r="V72" s="24" t="inlineStr">
        <is>
          <t>合理</t>
        </is>
      </c>
      <c r="W72" s="24" t="n"/>
      <c r="X72" s="24" t="inlineStr">
        <is>
          <t>Family background does not address job satisfaction after salary-related lifestyle changes.</t>
        </is>
      </c>
      <c r="Y72" s="24" t="inlineStr">
        <is>
          <t>陆含</t>
        </is>
      </c>
      <c r="Z72" s="24" t="inlineStr">
        <is>
          <t>未复核</t>
        </is>
      </c>
      <c r="AA72" s="24" t="n"/>
    </row>
    <row r="73" ht="68" customHeight="1">
      <c r="A73" s="24" t="inlineStr">
        <is>
          <t>116</t>
        </is>
      </c>
      <c r="B73" s="24" t="inlineStr">
        <is>
          <t>1:44:4</t>
        </is>
      </c>
      <c r="C73" s="24" t="inlineStr">
        <is>
          <t>Did Martin's lifestyle changes after his salary increase lead to decreased job satisfaction by December 1, 2031?</t>
        </is>
      </c>
      <c r="D73" s="24" t="inlineStr">
        <is>
          <t>hallucination</t>
        </is>
      </c>
      <c r="E73" s="24" t="inlineStr">
        <is>
          <t>hallucination</t>
        </is>
      </c>
      <c r="F73" s="24" t="inlineStr">
        <is>
          <t>False</t>
        </is>
      </c>
      <c r="G73" s="24" t="inlineStr">
        <is>
          <t>11</t>
        </is>
      </c>
      <c r="H73" s="24" t="inlineStr">
        <is>
          <t>Martin transitioned to a new role, reporting huge relief and a much healthier balance between work and personal life, marking a significant improvement over his previous position.</t>
        </is>
      </c>
      <c r="I73" s="24" t="inlineStr">
        <is>
          <t>absence_not_refutation</t>
        </is>
      </c>
      <c r="J73" s="24" t="inlineStr">
        <is>
          <t>absence_not_refutation</t>
        </is>
      </c>
      <c r="K73" s="24" t="inlineStr">
        <is>
          <t>Martin</t>
        </is>
      </c>
      <c r="L73" s="24" t="inlineStr">
        <is>
          <t>generic_yesno</t>
        </is>
      </c>
      <c r="M73" s="24" t="inlineStr">
        <is>
          <t>satisfaction december 2031</t>
        </is>
      </c>
      <c r="N73" s="24" t="inlineStr">
        <is>
          <t>after his salary increase lead to decreased job satisfaction by December 1; December 1, 2031</t>
        </is>
      </c>
      <c r="O73" s="24" t="inlineStr">
        <is>
          <t>premise_anchor:True:pass:shared anchor tokens: martin | slot_value_alignment:True:pass:same slot | temporal_compatibility:True:pass:temporal condition is compatible | explicit_refutation:False:absence_not_refutation:memory does not mention the premise value</t>
        </is>
      </c>
      <c r="P73" s="24" t="inlineStr">
        <is>
          <t>premise_extraction_error</t>
        </is>
      </c>
      <c r="Q73" s="24" t="inlineStr">
        <is>
          <t>不确定</t>
        </is>
      </c>
      <c r="R73" s="24" t="inlineStr">
        <is>
          <t>部分正确</t>
        </is>
      </c>
      <c r="S73" s="24" t="inlineStr">
        <is>
          <t>过宽</t>
        </is>
      </c>
      <c r="T73" s="24" t="inlineStr">
        <is>
          <t>模糊反证</t>
        </is>
      </c>
      <c r="U73" s="24" t="inlineStr">
        <is>
          <t>不确定</t>
        </is>
      </c>
      <c r="V73" s="24" t="inlineStr">
        <is>
          <t>部分合理</t>
        </is>
      </c>
      <c r="W73" s="24" t="inlineStr">
        <is>
          <t>人工无法判断</t>
        </is>
      </c>
      <c r="X73" s="24" t="inlineStr">
        <is>
          <t>New-role improvement may oppose decreased job satisfaction, but it does not directly address the salary/lifestyle cause.</t>
        </is>
      </c>
      <c r="Y73" s="24" t="inlineStr">
        <is>
          <t>陆含</t>
        </is>
      </c>
      <c r="Z73" s="24" t="inlineStr">
        <is>
          <t>未复核</t>
        </is>
      </c>
      <c r="AA73" s="24" t="n"/>
    </row>
    <row r="74" ht="68" customHeight="1">
      <c r="A74" s="24" t="inlineStr">
        <is>
          <t>116</t>
        </is>
      </c>
      <c r="B74" s="24" t="inlineStr">
        <is>
          <t>1:44:4</t>
        </is>
      </c>
      <c r="C74" s="24" t="inlineStr">
        <is>
          <t>Did Martin's lifestyle changes after his salary increase lead to decreased job satisfaction by December 1, 2031?</t>
        </is>
      </c>
      <c r="D74" s="24" t="inlineStr">
        <is>
          <t>hallucination</t>
        </is>
      </c>
      <c r="E74" s="24" t="inlineStr">
        <is>
          <t>hallucination</t>
        </is>
      </c>
      <c r="F74" s="24" t="inlineStr">
        <is>
          <t>False</t>
        </is>
      </c>
      <c r="G74" s="24" t="inlineStr">
        <is>
          <t>15</t>
        </is>
      </c>
      <c r="H74" s="24" t="inlineStr">
        <is>
          <t>Yoga remains a staple in Martin’s routine, complementing the more intense activities and supporting his mental clarity.</t>
        </is>
      </c>
      <c r="I74" s="24" t="inlineStr">
        <is>
          <t>absence_not_refutation</t>
        </is>
      </c>
      <c r="J74" s="24" t="inlineStr">
        <is>
          <t>absence_not_refutation</t>
        </is>
      </c>
      <c r="K74" s="24" t="inlineStr">
        <is>
          <t>Martin</t>
        </is>
      </c>
      <c r="L74" s="24" t="inlineStr">
        <is>
          <t>generic_yesno</t>
        </is>
      </c>
      <c r="M74" s="24" t="inlineStr">
        <is>
          <t>satisfaction december 2031</t>
        </is>
      </c>
      <c r="N74" s="24" t="inlineStr">
        <is>
          <t>after his salary increase lead to decreased job satisfaction by December 1; December 1, 2031</t>
        </is>
      </c>
      <c r="O74" s="24" t="inlineStr">
        <is>
          <t>premise_anchor:True:pass:shared anchor tokens: martin | slot_value_alignment:True:pass:same slot | temporal_compatibility:True:pass:temporal condition is compatible | explicit_refutation:False:absence_not_refutation:memory does not mention the premise value</t>
        </is>
      </c>
      <c r="P74" s="24" t="inlineStr">
        <is>
          <t>premise_extraction_error</t>
        </is>
      </c>
      <c r="Q74" s="24" t="inlineStr">
        <is>
          <t>没有</t>
        </is>
      </c>
      <c r="R74" s="24" t="inlineStr">
        <is>
          <t>部分正确</t>
        </is>
      </c>
      <c r="S74" s="24" t="inlineStr">
        <is>
          <t>过宽</t>
        </is>
      </c>
      <c r="T74" s="24" t="inlineStr">
        <is>
          <t>不是反证</t>
        </is>
      </c>
      <c r="U74" s="24" t="inlineStr">
        <is>
          <t>不该触发</t>
        </is>
      </c>
      <c r="V74" s="24" t="inlineStr">
        <is>
          <t>合理</t>
        </is>
      </c>
      <c r="W74" s="24" t="n"/>
      <c r="X74" s="24" t="inlineStr">
        <is>
          <t>Yoga routine does not address job satisfaction after salary-related lifestyle changes.</t>
        </is>
      </c>
      <c r="Y74" s="24" t="inlineStr">
        <is>
          <t>陆含</t>
        </is>
      </c>
      <c r="Z74" s="24" t="inlineStr">
        <is>
          <t>未复核</t>
        </is>
      </c>
      <c r="AA74" s="24" t="n"/>
    </row>
    <row r="75" ht="68" customHeight="1">
      <c r="A75" s="24" t="inlineStr">
        <is>
          <t>174</t>
        </is>
      </c>
      <c r="B75" s="24" t="inlineStr">
        <is>
          <t>2:9:1</t>
        </is>
      </c>
      <c r="C75" s="24" t="inlineStr">
        <is>
          <t>Did Johnson Joseph's monthly income increase from 3500 yuan to 4500 yuan after his promotion on Dec 21, 2025?</t>
        </is>
      </c>
      <c r="D75" s="24" t="inlineStr">
        <is>
          <t>hallucination</t>
        </is>
      </c>
      <c r="E75" s="24" t="inlineStr">
        <is>
          <t>hallucination</t>
        </is>
      </c>
      <c r="F75" s="24" t="inlineStr">
        <is>
          <t>False</t>
        </is>
      </c>
      <c r="G75" s="24" t="inlineStr">
        <is>
          <t>2</t>
        </is>
      </c>
      <c r="H75" s="24" t="inlineStr">
        <is>
          <t>User's name is Johnson Joseph, male, born on May 11, 1997, currently 28 years old, and resides in Albi.</t>
        </is>
      </c>
      <c r="I75" s="24" t="inlineStr">
        <is>
          <t>absence_not_refutation</t>
        </is>
      </c>
      <c r="J75" s="24" t="inlineStr">
        <is>
          <t>absence_not_refutation</t>
        </is>
      </c>
      <c r="K75" s="24" t="inlineStr">
        <is>
          <t>Johnson Joseph</t>
        </is>
      </c>
      <c r="L75" s="24" t="inlineStr">
        <is>
          <t>generic_yesno</t>
        </is>
      </c>
      <c r="M75" s="24" t="inlineStr">
        <is>
          <t>promotion dec 2025</t>
        </is>
      </c>
      <c r="N75" s="24" t="inlineStr">
        <is>
          <t>after his promotion on Dec 21; Dec 21, 2025</t>
        </is>
      </c>
      <c r="O75" s="24" t="inlineStr">
        <is>
          <t>premise_anchor:True:pass:shared anchor tokens: johnson, joseph | slot_value_alignment:True:pass:same slot | temporal_compatibility:True:pass:temporal condition is compatible | explicit_refutation:False:absence_not_refutation:memory does not mention the premise value</t>
        </is>
      </c>
      <c r="P75" s="24" t="inlineStr">
        <is>
          <t>no_counterevidence_in_raw_memories</t>
        </is>
      </c>
      <c r="Q75" s="24" t="inlineStr">
        <is>
          <t>没有</t>
        </is>
      </c>
      <c r="R75" s="24" t="inlineStr">
        <is>
          <t>错误</t>
        </is>
      </c>
      <c r="S75" s="24" t="inlineStr">
        <is>
          <t>过宽</t>
        </is>
      </c>
      <c r="T75" s="24" t="inlineStr">
        <is>
          <t>不是反证</t>
        </is>
      </c>
      <c r="U75" s="24" t="inlineStr">
        <is>
          <t>不该触发</t>
        </is>
      </c>
      <c r="V75" s="24" t="inlineStr">
        <is>
          <t>合理</t>
        </is>
      </c>
      <c r="W75" s="24" t="n"/>
      <c r="X75" s="24" t="inlineStr">
        <is>
          <t>Identity information does not address income increase after promotion.</t>
        </is>
      </c>
      <c r="Y75" s="24" t="inlineStr">
        <is>
          <t>陆含</t>
        </is>
      </c>
      <c r="Z75" s="24" t="inlineStr">
        <is>
          <t>未复核</t>
        </is>
      </c>
      <c r="AA75" s="24" t="n"/>
    </row>
    <row r="76" ht="68" customHeight="1">
      <c r="A76" s="24" t="inlineStr">
        <is>
          <t>188</t>
        </is>
      </c>
      <c r="B76" s="24" t="inlineStr">
        <is>
          <t>2:15:1</t>
        </is>
      </c>
      <c r="C76" s="24" t="inlineStr">
        <is>
          <t>Did Johnson Joseph lose interest in strategy-based games after his layoff in August 2027?</t>
        </is>
      </c>
      <c r="D76" s="24" t="inlineStr">
        <is>
          <t>hallucination</t>
        </is>
      </c>
      <c r="E76" s="24" t="inlineStr">
        <is>
          <t>hallucination</t>
        </is>
      </c>
      <c r="F76" s="24" t="inlineStr">
        <is>
          <t>False</t>
        </is>
      </c>
      <c r="G76" s="24" t="inlineStr">
        <is>
          <t>1</t>
        </is>
      </c>
      <c r="H76" s="24" t="inlineStr">
        <is>
          <t>User likes puzzle games for mental challenge and relaxation during downtime at the B&amp;B, enjoys board games to interact with guests and create a friendly atmosphere, and avoids first‑person shooters because they are too intense and lack strategic calmness.</t>
        </is>
      </c>
      <c r="I76" s="24" t="inlineStr">
        <is>
          <t>premise_anchor_mismatch</t>
        </is>
      </c>
      <c r="J76" s="24" t="inlineStr">
        <is>
          <t>no_candidate_overlap</t>
        </is>
      </c>
      <c r="K76" s="24" t="inlineStr">
        <is>
          <t>Johnson Joseph</t>
        </is>
      </c>
      <c r="L76" s="24" t="inlineStr">
        <is>
          <t>preference_status</t>
        </is>
      </c>
      <c r="M76" s="24" t="inlineStr">
        <is>
          <t>strategy-based games</t>
        </is>
      </c>
      <c r="N76" s="24" t="inlineStr">
        <is>
          <t>after his layoff in August 2027</t>
        </is>
      </c>
      <c r="O76" s="24" t="inlineStr">
        <is>
          <t>premise_anchor:False:premise_anchor_mismatch:no shared core entity/object/activity | slot_value_alignment:False:not_evaluated: | temporal_compatibility:False:not_evaluated: | explicit_refutation:False:not_evaluated:</t>
        </is>
      </c>
      <c r="P76" s="24" t="inlineStr">
        <is>
          <t>no_counterevidence_in_raw_memories</t>
        </is>
      </c>
      <c r="Q76" s="24" t="inlineStr">
        <is>
          <t>不确定</t>
        </is>
      </c>
      <c r="R76" s="24" t="inlineStr">
        <is>
          <t>正确</t>
        </is>
      </c>
      <c r="S76" s="24" t="inlineStr">
        <is>
          <t>正确</t>
        </is>
      </c>
      <c r="T76" s="24" t="inlineStr">
        <is>
          <t>模糊反证</t>
        </is>
      </c>
      <c r="U76" s="24" t="inlineStr">
        <is>
          <t>不确定</t>
        </is>
      </c>
      <c r="V76" s="24" t="inlineStr">
        <is>
          <t>部分合理</t>
        </is>
      </c>
      <c r="W76" s="24" t="inlineStr">
        <is>
          <t>人工无法判断</t>
        </is>
      </c>
      <c r="X76" s="24" t="inlineStr">
        <is>
          <t>Puzzle and board game interest may overlap with strategy-based games, but strategy-based games are not explicit.</t>
        </is>
      </c>
      <c r="Y76" s="24" t="inlineStr">
        <is>
          <t>陆含</t>
        </is>
      </c>
      <c r="Z76" s="24" t="inlineStr">
        <is>
          <t>未复核</t>
        </is>
      </c>
      <c r="AA76" s="24" t="n"/>
    </row>
    <row r="77" ht="68" customHeight="1">
      <c r="A77" s="24" t="inlineStr">
        <is>
          <t>188</t>
        </is>
      </c>
      <c r="B77" s="24" t="inlineStr">
        <is>
          <t>2:15:1</t>
        </is>
      </c>
      <c r="C77" s="24" t="inlineStr">
        <is>
          <t>Did Johnson Joseph lose interest in strategy-based games after his layoff in August 2027?</t>
        </is>
      </c>
      <c r="D77" s="24" t="inlineStr">
        <is>
          <t>hallucination</t>
        </is>
      </c>
      <c r="E77" s="24" t="inlineStr">
        <is>
          <t>hallucination</t>
        </is>
      </c>
      <c r="F77" s="24" t="inlineStr">
        <is>
          <t>False</t>
        </is>
      </c>
      <c r="G77" s="24" t="inlineStr">
        <is>
          <t>2</t>
        </is>
      </c>
      <c r="H77" s="24" t="inlineStr">
        <is>
          <t>User's partner was born on May 11, 1995, shares a passion for travel and tourism, and supports Johnson's business endeavors.</t>
        </is>
      </c>
      <c r="I77" s="24" t="inlineStr">
        <is>
          <t>premise_anchor_mismatch</t>
        </is>
      </c>
      <c r="J77" s="24" t="inlineStr">
        <is>
          <t>no_candidate_overlap</t>
        </is>
      </c>
      <c r="K77" s="24" t="inlineStr">
        <is>
          <t>Johnson Joseph</t>
        </is>
      </c>
      <c r="L77" s="24" t="inlineStr">
        <is>
          <t>preference_status</t>
        </is>
      </c>
      <c r="M77" s="24" t="inlineStr">
        <is>
          <t>strategy-based games</t>
        </is>
      </c>
      <c r="N77" s="24" t="inlineStr">
        <is>
          <t>after his layoff in August 2027</t>
        </is>
      </c>
      <c r="O77" s="24" t="inlineStr">
        <is>
          <t>premise_anchor:False:premise_anchor_mismatch:no shared core entity/object/activity | slot_value_alignment:False:not_evaluated: | temporal_compatibility:False:not_evaluated: | explicit_refutation:False:not_evaluated:</t>
        </is>
      </c>
      <c r="P77" s="24" t="inlineStr">
        <is>
          <t>no_counterevidence_in_raw_memories</t>
        </is>
      </c>
      <c r="Q77" s="24" t="inlineStr">
        <is>
          <t>没有</t>
        </is>
      </c>
      <c r="R77" s="24" t="inlineStr">
        <is>
          <t>正确</t>
        </is>
      </c>
      <c r="S77" s="24" t="inlineStr">
        <is>
          <t>正确</t>
        </is>
      </c>
      <c r="T77" s="24" t="inlineStr">
        <is>
          <t>不是反证</t>
        </is>
      </c>
      <c r="U77" s="24" t="inlineStr">
        <is>
          <t>不该触发</t>
        </is>
      </c>
      <c r="V77" s="24" t="inlineStr">
        <is>
          <t>合理</t>
        </is>
      </c>
      <c r="W77" s="24" t="n"/>
      <c r="X77" s="24" t="inlineStr">
        <is>
          <t>Partner information does not address interest in strategy-based games.</t>
        </is>
      </c>
      <c r="Y77" s="24" t="inlineStr">
        <is>
          <t>陆含</t>
        </is>
      </c>
      <c r="Z77" s="24" t="inlineStr">
        <is>
          <t>未复核</t>
        </is>
      </c>
      <c r="AA77" s="24" t="n"/>
    </row>
    <row r="78" ht="68" customHeight="1">
      <c r="A78" s="24" t="inlineStr">
        <is>
          <t>188</t>
        </is>
      </c>
      <c r="B78" s="24" t="inlineStr">
        <is>
          <t>2:15:1</t>
        </is>
      </c>
      <c r="C78" s="24" t="inlineStr">
        <is>
          <t>Did Johnson Joseph lose interest in strategy-based games after his layoff in August 2027?</t>
        </is>
      </c>
      <c r="D78" s="24" t="inlineStr">
        <is>
          <t>hallucination</t>
        </is>
      </c>
      <c r="E78" s="24" t="inlineStr">
        <is>
          <t>hallucination</t>
        </is>
      </c>
      <c r="F78" s="24" t="inlineStr">
        <is>
          <t>False</t>
        </is>
      </c>
      <c r="G78" s="24" t="inlineStr">
        <is>
          <t>4</t>
        </is>
      </c>
      <c r="H78" s="24" t="inlineStr">
        <is>
          <t>User's name is Johnson Joseph, male, born on May 11, 1997, currently 28 years old, and resides in Albi.</t>
        </is>
      </c>
      <c r="I78" s="24" t="inlineStr">
        <is>
          <t>slot_mismatch</t>
        </is>
      </c>
      <c r="J78" s="24" t="inlineStr">
        <is>
          <t>slot_value_near_miss</t>
        </is>
      </c>
      <c r="K78" s="24" t="inlineStr">
        <is>
          <t>Johnson Joseph</t>
        </is>
      </c>
      <c r="L78" s="24" t="inlineStr">
        <is>
          <t>preference_status</t>
        </is>
      </c>
      <c r="M78" s="24" t="inlineStr">
        <is>
          <t>strategy-based games</t>
        </is>
      </c>
      <c r="N78" s="24" t="inlineStr">
        <is>
          <t>after his layoff in August 2027</t>
        </is>
      </c>
      <c r="O78" s="24" t="inlineStr">
        <is>
          <t>premise_anchor:True:pass:shared anchor tokens: johnson, joseph | slot_value_alignment:False:slot_mismatch:premise slot preference_status vs memory slot generic_yesno | temporal_compatibility:False:not_evaluated: | explicit_refutation:False:not_evaluated:</t>
        </is>
      </c>
      <c r="P78" s="24" t="inlineStr">
        <is>
          <t>no_counterevidence_in_raw_memories</t>
        </is>
      </c>
      <c r="Q78" s="24" t="inlineStr">
        <is>
          <t>没有</t>
        </is>
      </c>
      <c r="R78" s="24" t="inlineStr">
        <is>
          <t>正确</t>
        </is>
      </c>
      <c r="S78" s="24" t="inlineStr">
        <is>
          <t>正确</t>
        </is>
      </c>
      <c r="T78" s="24" t="inlineStr">
        <is>
          <t>不是反证</t>
        </is>
      </c>
      <c r="U78" s="24" t="inlineStr">
        <is>
          <t>不该触发</t>
        </is>
      </c>
      <c r="V78" s="24" t="inlineStr">
        <is>
          <t>合理</t>
        </is>
      </c>
      <c r="W78" s="24" t="n"/>
      <c r="X78" s="24" t="inlineStr">
        <is>
          <t>Identity information does not address interest in strategy-based games.</t>
        </is>
      </c>
      <c r="Y78" s="24" t="inlineStr">
        <is>
          <t>陆含</t>
        </is>
      </c>
      <c r="Z78" s="24" t="inlineStr">
        <is>
          <t>未复核</t>
        </is>
      </c>
      <c r="AA78" s="24" t="n"/>
    </row>
    <row r="79" ht="68" customHeight="1">
      <c r="A79" s="24" t="inlineStr">
        <is>
          <t>0</t>
        </is>
      </c>
      <c r="B79" s="24" t="inlineStr">
        <is>
          <t>1:1:3</t>
        </is>
      </c>
      <c r="C79" s="24" t="inlineStr">
        <is>
          <t>Did Martin Mark establish a global health initiative with his partner in 2025?</t>
        </is>
      </c>
      <c r="D79" s="24" t="inlineStr">
        <is>
          <t>correct</t>
        </is>
      </c>
      <c r="E79" s="24" t="inlineStr">
        <is>
          <t>correct</t>
        </is>
      </c>
      <c r="F79" s="24" t="inlineStr">
        <is>
          <t>False</t>
        </is>
      </c>
      <c r="G79" s="24" t="inlineStr">
        <is>
          <t>8</t>
        </is>
      </c>
      <c r="H79" s="24" t="inlineStr">
        <is>
          <t>User holds a Bachelor’s degree with a major in Public Health.</t>
        </is>
      </c>
      <c r="I79" s="24" t="inlineStr">
        <is>
          <t>not_refuting</t>
        </is>
      </c>
      <c r="J79" s="24" t="inlineStr">
        <is>
          <t>related_but_not_refuting</t>
        </is>
      </c>
      <c r="K79" s="24" t="inlineStr">
        <is>
          <t>Martin Mark</t>
        </is>
      </c>
      <c r="L79" s="24" t="inlineStr">
        <is>
          <t>health_status</t>
        </is>
      </c>
      <c r="M79" s="24" t="inlineStr">
        <is>
          <t>health</t>
        </is>
      </c>
      <c r="N79" s="24" t="str"/>
      <c r="O79" s="24" t="inlineStr">
        <is>
          <t>premise_anchor:True:pass:same health/status domain | slot_value_alignment:True:pass:same health/status slot | temporal_compatibility:True:pass:health/status proposition has compatible trajectory semantics | explicit_refutation:False:not_refuting:health evidence does not contradict the premise</t>
        </is>
      </c>
      <c r="P79" s="24" t="inlineStr">
        <is>
          <t>premise_extraction_error</t>
        </is>
      </c>
      <c r="Q79" s="24" t="inlineStr">
        <is>
          <t>没有</t>
        </is>
      </c>
      <c r="R79" s="24" t="inlineStr">
        <is>
          <t>错误</t>
        </is>
      </c>
      <c r="S79" s="24" t="inlineStr">
        <is>
          <t>错误</t>
        </is>
      </c>
      <c r="T79" s="24" t="inlineStr">
        <is>
          <t>不是反证但有用</t>
        </is>
      </c>
      <c r="U79" s="24" t="inlineStr">
        <is>
          <t>不该触发</t>
        </is>
      </c>
      <c r="V79" s="24" t="inlineStr">
        <is>
          <t>合理</t>
        </is>
      </c>
      <c r="W79" s="24" t="n"/>
      <c r="X79" s="24" t="inlineStr">
        <is>
          <t>Public Health education is related but does not address establishing the initiative with a partner.</t>
        </is>
      </c>
      <c r="Y79" s="24" t="inlineStr">
        <is>
          <t>陆含</t>
        </is>
      </c>
      <c r="Z79" s="24" t="inlineStr">
        <is>
          <t>未复核</t>
        </is>
      </c>
      <c r="AA79" s="24" t="n"/>
    </row>
    <row r="80" ht="68" customHeight="1">
      <c r="A80" s="24" t="inlineStr">
        <is>
          <t>0</t>
        </is>
      </c>
      <c r="B80" s="24" t="inlineStr">
        <is>
          <t>1:1:3</t>
        </is>
      </c>
      <c r="C80" s="24" t="inlineStr">
        <is>
          <t>Did Martin Mark establish a global health initiative with his partner in 2025?</t>
        </is>
      </c>
      <c r="D80" s="24" t="inlineStr">
        <is>
          <t>correct</t>
        </is>
      </c>
      <c r="E80" s="24" t="inlineStr">
        <is>
          <t>correct</t>
        </is>
      </c>
      <c r="F80" s="24" t="inlineStr">
        <is>
          <t>False</t>
        </is>
      </c>
      <c r="G80" s="24" t="inlineStr">
        <is>
          <t>12</t>
        </is>
      </c>
      <c r="H80" s="24" t="inlineStr">
        <is>
          <t>User likes wellness retreats for relaxation and activities that promote physical and mental health, aligning with his lifestyle; he avoids crowded tourist spots because they can be overwhelming and stressful; he enjoys nature hikes to connect with the environment and experience tranquility as an escape from his busy work life; he likes cultural tours for insights into different lifestyles and traditions, and spa vacations for unwinding and rejuvenation to maintain life balance.</t>
        </is>
      </c>
      <c r="I80" s="24" t="inlineStr">
        <is>
          <t>not_refuting</t>
        </is>
      </c>
      <c r="J80" s="24" t="inlineStr">
        <is>
          <t>related_but_not_refuting</t>
        </is>
      </c>
      <c r="K80" s="24" t="inlineStr">
        <is>
          <t>Martin Mark</t>
        </is>
      </c>
      <c r="L80" s="24" t="inlineStr">
        <is>
          <t>health_status</t>
        </is>
      </c>
      <c r="M80" s="24" t="inlineStr">
        <is>
          <t>health</t>
        </is>
      </c>
      <c r="N80" s="24" t="str"/>
      <c r="O80" s="24" t="inlineStr">
        <is>
          <t>premise_anchor:True:pass:same health/status domain | slot_value_alignment:True:pass:same health/status slot | temporal_compatibility:True:pass:health/status proposition has compatible trajectory semantics | explicit_refutation:False:not_refuting:health evidence does not contradict the premise</t>
        </is>
      </c>
      <c r="P80" s="24" t="inlineStr">
        <is>
          <t>premise_extraction_error</t>
        </is>
      </c>
      <c r="Q80" s="24" t="inlineStr">
        <is>
          <t>没有</t>
        </is>
      </c>
      <c r="R80" s="24" t="inlineStr">
        <is>
          <t>错误</t>
        </is>
      </c>
      <c r="S80" s="24" t="inlineStr">
        <is>
          <t>错误</t>
        </is>
      </c>
      <c r="T80" s="24" t="inlineStr">
        <is>
          <t>不是反证但有用</t>
        </is>
      </c>
      <c r="U80" s="24" t="inlineStr">
        <is>
          <t>不该触发</t>
        </is>
      </c>
      <c r="V80" s="24" t="inlineStr">
        <is>
          <t>合理</t>
        </is>
      </c>
      <c r="W80" s="24" t="n"/>
      <c r="X80" s="24" t="inlineStr">
        <is>
          <t>Wellness travel preferences are health-related but do not address establishing the initiative.</t>
        </is>
      </c>
      <c r="Y80" s="24" t="inlineStr">
        <is>
          <t>陆含</t>
        </is>
      </c>
      <c r="Z80" s="24" t="inlineStr">
        <is>
          <t>未复核</t>
        </is>
      </c>
      <c r="AA80" s="24" t="n"/>
    </row>
    <row r="81" ht="68" customHeight="1">
      <c r="A81" s="24" t="inlineStr">
        <is>
          <t>0</t>
        </is>
      </c>
      <c r="B81" s="24" t="inlineStr">
        <is>
          <t>1:1:3</t>
        </is>
      </c>
      <c r="C81" s="24" t="inlineStr">
        <is>
          <t>Did Martin Mark establish a global health initiative with his partner in 2025?</t>
        </is>
      </c>
      <c r="D81" s="24" t="inlineStr">
        <is>
          <t>correct</t>
        </is>
      </c>
      <c r="E81" s="24" t="inlineStr">
        <is>
          <t>correct</t>
        </is>
      </c>
      <c r="F81" s="24" t="inlineStr">
        <is>
          <t>False</t>
        </is>
      </c>
      <c r="G81" s="24" t="inlineStr">
        <is>
          <t>13</t>
        </is>
      </c>
      <c r="H81" s="24" t="inlineStr">
        <is>
          <t>User dislikes violent video games because they promote aggression, which opposes his values of peace and well‑being; he likes puzzle games as they challenge his mind and improve problem‑solving skills crucial to his profession; he also avoids gambling games due to their potential for addiction and financial stress, which are detrimental to mental health.</t>
        </is>
      </c>
      <c r="I81" s="24" t="inlineStr">
        <is>
          <t>not_refuting</t>
        </is>
      </c>
      <c r="J81" s="24" t="inlineStr">
        <is>
          <t>related_but_not_refuting</t>
        </is>
      </c>
      <c r="K81" s="24" t="inlineStr">
        <is>
          <t>Martin Mark</t>
        </is>
      </c>
      <c r="L81" s="24" t="inlineStr">
        <is>
          <t>health_status</t>
        </is>
      </c>
      <c r="M81" s="24" t="inlineStr">
        <is>
          <t>health</t>
        </is>
      </c>
      <c r="N81" s="24" t="str"/>
      <c r="O81" s="24" t="inlineStr">
        <is>
          <t>premise_anchor:True:pass:same health/status domain | slot_value_alignment:True:pass:same health/status slot | temporal_compatibility:True:pass:health/status proposition has compatible trajectory semantics | explicit_refutation:False:not_refuting:health evidence does not contradict the premise</t>
        </is>
      </c>
      <c r="P81" s="24" t="inlineStr">
        <is>
          <t>premise_extraction_error</t>
        </is>
      </c>
      <c r="Q81" s="24" t="inlineStr">
        <is>
          <t>没有</t>
        </is>
      </c>
      <c r="R81" s="24" t="inlineStr">
        <is>
          <t>错误</t>
        </is>
      </c>
      <c r="S81" s="24" t="inlineStr">
        <is>
          <t>错误</t>
        </is>
      </c>
      <c r="T81" s="24" t="inlineStr">
        <is>
          <t>不是反证</t>
        </is>
      </c>
      <c r="U81" s="24" t="inlineStr">
        <is>
          <t>不该触发</t>
        </is>
      </c>
      <c r="V81" s="24" t="inlineStr">
        <is>
          <t>合理</t>
        </is>
      </c>
      <c r="W81" s="24" t="n"/>
      <c r="X81" s="24" t="inlineStr">
        <is>
          <t>Video-game preferences do not address establishing a global health initiative.</t>
        </is>
      </c>
      <c r="Y81" s="24" t="inlineStr">
        <is>
          <t>陆含</t>
        </is>
      </c>
      <c r="Z81" s="24" t="inlineStr">
        <is>
          <t>未复核</t>
        </is>
      </c>
      <c r="AA81" s="24" t="n"/>
    </row>
    <row r="82" ht="68" customHeight="1">
      <c r="A82" s="24" t="inlineStr">
        <is>
          <t>1</t>
        </is>
      </c>
      <c r="B82" s="24" t="inlineStr">
        <is>
          <t>1:2:1</t>
        </is>
      </c>
      <c r="C82" s="24" t="inlineStr">
        <is>
          <t>Did Martin Mark work as a nurse at Huaxin Consulting on Sep 06, 2025?</t>
        </is>
      </c>
      <c r="D82" s="24" t="inlineStr">
        <is>
          <t>correct</t>
        </is>
      </c>
      <c r="E82" s="24" t="inlineStr">
        <is>
          <t>correct</t>
        </is>
      </c>
      <c r="F82" s="24" t="inlineStr">
        <is>
          <t>False</t>
        </is>
      </c>
      <c r="G82" s="24" t="inlineStr">
        <is>
          <t>2</t>
        </is>
      </c>
      <c r="H82" s="24" t="inlineStr">
        <is>
          <t>User's name is Martin Mark, male, born on August 2, 1996, currently 29 years old, and resides in Columbus.</t>
        </is>
      </c>
      <c r="I82" s="24" t="inlineStr">
        <is>
          <t>absence_not_refutation</t>
        </is>
      </c>
      <c r="J82" s="24" t="inlineStr">
        <is>
          <t>absence_not_refutation</t>
        </is>
      </c>
      <c r="K82" s="24" t="inlineStr">
        <is>
          <t>Martin Mark</t>
        </is>
      </c>
      <c r="L82" s="24" t="inlineStr">
        <is>
          <t>generic_yesno</t>
        </is>
      </c>
      <c r="M82" s="24" t="inlineStr">
        <is>
          <t>consult sep 2025</t>
        </is>
      </c>
      <c r="N82" s="24" t="inlineStr">
        <is>
          <t>on Sep 06; Sep 06, 2025</t>
        </is>
      </c>
      <c r="O82" s="24" t="inlineStr">
        <is>
          <t>premise_anchor:True:pass:shared anchor tokens: mark, martin | slot_value_alignment:True:pass:same slot | temporal_compatibility:True:pass:temporal condition is compatible | explicit_refutation:False:absence_not_refutation:memory does not mention the premise value</t>
        </is>
      </c>
      <c r="P82" s="24" t="inlineStr">
        <is>
          <t>temporal_gate_too_strict</t>
        </is>
      </c>
      <c r="Q82" s="24" t="inlineStr">
        <is>
          <t>没有</t>
        </is>
      </c>
      <c r="R82" s="24" t="inlineStr">
        <is>
          <t>部分正确</t>
        </is>
      </c>
      <c r="S82" s="24" t="inlineStr">
        <is>
          <t>过宽</t>
        </is>
      </c>
      <c r="T82" s="24" t="inlineStr">
        <is>
          <t>不是反证</t>
        </is>
      </c>
      <c r="U82" s="24" t="inlineStr">
        <is>
          <t>不该触发</t>
        </is>
      </c>
      <c r="V82" s="24" t="inlineStr">
        <is>
          <t>合理</t>
        </is>
      </c>
      <c r="W82" s="24" t="n"/>
      <c r="X82" s="24" t="inlineStr">
        <is>
          <t>Identity information does not address working as a nurse at Huaxin Consulting.</t>
        </is>
      </c>
      <c r="Y82" s="24" t="inlineStr">
        <is>
          <t>陆含</t>
        </is>
      </c>
      <c r="Z82" s="24" t="inlineStr">
        <is>
          <t>未复核</t>
        </is>
      </c>
      <c r="AA82" s="24" t="n"/>
    </row>
    <row r="83" ht="68" customHeight="1">
      <c r="A83" s="24" t="inlineStr">
        <is>
          <t>1</t>
        </is>
      </c>
      <c r="B83" s="24" t="inlineStr">
        <is>
          <t>1:2:1</t>
        </is>
      </c>
      <c r="C83" s="24" t="inlineStr">
        <is>
          <t>Did Martin Mark work as a nurse at Huaxin Consulting on Sep 06, 2025?</t>
        </is>
      </c>
      <c r="D83" s="24" t="inlineStr">
        <is>
          <t>correct</t>
        </is>
      </c>
      <c r="E83" s="24" t="inlineStr">
        <is>
          <t>correct</t>
        </is>
      </c>
      <c r="F83" s="24" t="inlineStr">
        <is>
          <t>False</t>
        </is>
      </c>
      <c r="G83" s="24" t="inlineStr">
        <is>
          <t>3</t>
        </is>
      </c>
      <c r="H83"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83" s="24" t="inlineStr">
        <is>
          <t>absence_not_refutation</t>
        </is>
      </c>
      <c r="J83" s="24" t="inlineStr">
        <is>
          <t>absence_not_refutation</t>
        </is>
      </c>
      <c r="K83" s="24" t="inlineStr">
        <is>
          <t>Martin Mark</t>
        </is>
      </c>
      <c r="L83" s="24" t="inlineStr">
        <is>
          <t>generic_yesno</t>
        </is>
      </c>
      <c r="M83" s="24" t="inlineStr">
        <is>
          <t>consult sep 2025</t>
        </is>
      </c>
      <c r="N83" s="24" t="inlineStr">
        <is>
          <t>on Sep 06; Sep 06, 2025</t>
        </is>
      </c>
      <c r="O83" s="24" t="inlineStr">
        <is>
          <t>premise_anchor:True:pass:shared anchor tokens: martin | slot_value_alignment:True:pass:same slot | temporal_compatibility:True:pass:temporal condition is compatible | explicit_refutation:False:absence_not_refutation:memory does not mention the premise value</t>
        </is>
      </c>
      <c r="P83" s="24" t="inlineStr">
        <is>
          <t>temporal_gate_too_strict</t>
        </is>
      </c>
      <c r="Q83" s="24" t="inlineStr">
        <is>
          <t>没有</t>
        </is>
      </c>
      <c r="R83" s="24" t="inlineStr">
        <is>
          <t>部分正确</t>
        </is>
      </c>
      <c r="S83" s="24" t="inlineStr">
        <is>
          <t>过宽</t>
        </is>
      </c>
      <c r="T83" s="24" t="inlineStr">
        <is>
          <t>不是反证</t>
        </is>
      </c>
      <c r="U83" s="24" t="inlineStr">
        <is>
          <t>不该触发</t>
        </is>
      </c>
      <c r="V83" s="24" t="inlineStr">
        <is>
          <t>合理</t>
        </is>
      </c>
      <c r="W83" s="24" t="n"/>
      <c r="X83" s="24" t="inlineStr">
        <is>
          <t>The nurse is Martin's mother, not Martin, so the memory does not refute the premise.</t>
        </is>
      </c>
      <c r="Y83" s="24" t="inlineStr">
        <is>
          <t>陆含</t>
        </is>
      </c>
      <c r="Z83" s="24" t="inlineStr">
        <is>
          <t>未复核</t>
        </is>
      </c>
      <c r="AA83" s="24" t="n"/>
    </row>
    <row r="84" ht="68" customHeight="1">
      <c r="A84" s="24" t="inlineStr">
        <is>
          <t>1</t>
        </is>
      </c>
      <c r="B84" s="24" t="inlineStr">
        <is>
          <t>1:2:1</t>
        </is>
      </c>
      <c r="C84" s="24" t="inlineStr">
        <is>
          <t>Did Martin Mark work as a nurse at Huaxin Consulting on Sep 06, 2025?</t>
        </is>
      </c>
      <c r="D84" s="24" t="inlineStr">
        <is>
          <t>correct</t>
        </is>
      </c>
      <c r="E84" s="24" t="inlineStr">
        <is>
          <t>correct</t>
        </is>
      </c>
      <c r="F84" s="24" t="inlineStr">
        <is>
          <t>False</t>
        </is>
      </c>
      <c r="G84" s="24" t="inlineStr">
        <is>
          <t>4</t>
        </is>
      </c>
      <c r="H84" s="24" t="inlineStr">
        <is>
          <t>User works with a colleague named Daniel Martinez, whose expertise in healthcare consulting challenges him to push boundaries and innovate, significantly impacting his career growth</t>
        </is>
      </c>
      <c r="I84" s="24" t="inlineStr">
        <is>
          <t>temporal_mismatch</t>
        </is>
      </c>
      <c r="J84" s="24" t="inlineStr">
        <is>
          <t>temporal_near_miss</t>
        </is>
      </c>
      <c r="K84" s="24" t="inlineStr">
        <is>
          <t>Martin Mark</t>
        </is>
      </c>
      <c r="L84" s="24" t="inlineStr">
        <is>
          <t>generic_yesno</t>
        </is>
      </c>
      <c r="M84" s="24" t="inlineStr">
        <is>
          <t>consult sep 2025</t>
        </is>
      </c>
      <c r="N84" s="24" t="inlineStr">
        <is>
          <t>on Sep 06; Sep 06, 2025</t>
        </is>
      </c>
      <c r="O84" s="24" t="inlineStr">
        <is>
          <t>premise_anchor:True:pass:shared anchor tokens: consult | slot_value_alignment:True:pass:same slot | temporal_compatibility:False:temporal_mismatch:premise has strong time condition but memory is undated | explicit_refutation:False:not_evaluated:</t>
        </is>
      </c>
      <c r="P84" s="24" t="inlineStr">
        <is>
          <t>temporal_gate_too_strict</t>
        </is>
      </c>
      <c r="Q84" s="24" t="inlineStr">
        <is>
          <t>没有</t>
        </is>
      </c>
      <c r="R84" s="24" t="inlineStr">
        <is>
          <t>部分正确</t>
        </is>
      </c>
      <c r="S84" s="24" t="inlineStr">
        <is>
          <t>过宽</t>
        </is>
      </c>
      <c r="T84" s="24" t="inlineStr">
        <is>
          <t>不是反证但有用</t>
        </is>
      </c>
      <c r="U84" s="24" t="inlineStr">
        <is>
          <t>不该触发</t>
        </is>
      </c>
      <c r="V84" s="24" t="inlineStr">
        <is>
          <t>合理</t>
        </is>
      </c>
      <c r="W84" s="24" t="n"/>
      <c r="X84" s="24" t="inlineStr">
        <is>
          <t>Healthcare consulting is related but does not state Martin worked as a nurse.</t>
        </is>
      </c>
      <c r="Y84" s="24" t="inlineStr">
        <is>
          <t>陆含</t>
        </is>
      </c>
      <c r="Z84" s="24" t="inlineStr">
        <is>
          <t>未复核</t>
        </is>
      </c>
      <c r="AA84" s="24" t="n"/>
    </row>
    <row r="85" ht="68" customHeight="1">
      <c r="A85" s="24" t="inlineStr">
        <is>
          <t>5</t>
        </is>
      </c>
      <c r="B85" s="24" t="inlineStr">
        <is>
          <t>1:2:2</t>
        </is>
      </c>
      <c r="C85" s="24" t="inlineStr">
        <is>
          <t>Is Martin Mark unemployed and struggling financially as of Sep 06, 2025?</t>
        </is>
      </c>
      <c r="D85" s="24" t="inlineStr">
        <is>
          <t>correct</t>
        </is>
      </c>
      <c r="E85" s="24" t="inlineStr">
        <is>
          <t>correct</t>
        </is>
      </c>
      <c r="F85" s="24" t="inlineStr">
        <is>
          <t>False</t>
        </is>
      </c>
      <c r="G85" s="24" t="inlineStr">
        <is>
          <t>1</t>
        </is>
      </c>
      <c r="H85" s="24" t="inlineStr">
        <is>
          <t>User's name is Martin Mark, male, born on August 2, 1996, currently 29 years old, and resides in Columbus.</t>
        </is>
      </c>
      <c r="I85" s="24" t="inlineStr">
        <is>
          <t>absence_not_refutation</t>
        </is>
      </c>
      <c r="J85" s="24" t="inlineStr">
        <is>
          <t>absence_not_refutation</t>
        </is>
      </c>
      <c r="K85" s="24" t="inlineStr">
        <is>
          <t>Martin Mark</t>
        </is>
      </c>
      <c r="L85" s="24" t="inlineStr">
        <is>
          <t>generic_yesno</t>
        </is>
      </c>
      <c r="M85" s="24" t="inlineStr">
        <is>
          <t>financially sep 2025</t>
        </is>
      </c>
      <c r="N85" s="24" t="inlineStr">
        <is>
          <t>Sep 06, 2025</t>
        </is>
      </c>
      <c r="O85" s="24" t="inlineStr">
        <is>
          <t>premise_anchor:True:pass:shared anchor tokens: mark, martin | slot_value_alignment:True:pass:same slot | temporal_compatibility:True:pass:temporal condition is compatible | explicit_refutation:False:absence_not_refutation:memory does not mention the premise value</t>
        </is>
      </c>
      <c r="P85" s="24" t="inlineStr">
        <is>
          <t>no_counterevidence_in_raw_memories</t>
        </is>
      </c>
      <c r="Q85" s="24" t="inlineStr">
        <is>
          <t>没有</t>
        </is>
      </c>
      <c r="R85" s="24" t="inlineStr">
        <is>
          <t>错误</t>
        </is>
      </c>
      <c r="S85" s="24" t="inlineStr">
        <is>
          <t>过宽</t>
        </is>
      </c>
      <c r="T85" s="24" t="inlineStr">
        <is>
          <t>不是反证</t>
        </is>
      </c>
      <c r="U85" s="24" t="inlineStr">
        <is>
          <t>不该触发</t>
        </is>
      </c>
      <c r="V85" s="24" t="inlineStr">
        <is>
          <t>合理</t>
        </is>
      </c>
      <c r="W85" s="24" t="n"/>
      <c r="X85" s="24" t="inlineStr">
        <is>
          <t>Identity information does not address unemployment or financial struggle.</t>
        </is>
      </c>
      <c r="Y85" s="24" t="inlineStr">
        <is>
          <t>陆含</t>
        </is>
      </c>
      <c r="Z85" s="24" t="inlineStr">
        <is>
          <t>未复核</t>
        </is>
      </c>
      <c r="AA85" s="24" t="n"/>
    </row>
    <row r="86" ht="68" customHeight="1">
      <c r="A86" s="24" t="inlineStr">
        <is>
          <t>5</t>
        </is>
      </c>
      <c r="B86" s="24" t="inlineStr">
        <is>
          <t>1:2:2</t>
        </is>
      </c>
      <c r="C86" s="24" t="inlineStr">
        <is>
          <t>Is Martin Mark unemployed and struggling financially as of Sep 06, 2025?</t>
        </is>
      </c>
      <c r="D86" s="24" t="inlineStr">
        <is>
          <t>correct</t>
        </is>
      </c>
      <c r="E86" s="24" t="inlineStr">
        <is>
          <t>correct</t>
        </is>
      </c>
      <c r="F86" s="24" t="inlineStr">
        <is>
          <t>False</t>
        </is>
      </c>
      <c r="G86" s="24" t="inlineStr">
        <is>
          <t>2</t>
        </is>
      </c>
      <c r="H86"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86" s="24" t="inlineStr">
        <is>
          <t>absence_not_refutation</t>
        </is>
      </c>
      <c r="J86" s="24" t="inlineStr">
        <is>
          <t>absence_not_refutation</t>
        </is>
      </c>
      <c r="K86" s="24" t="inlineStr">
        <is>
          <t>Martin Mark</t>
        </is>
      </c>
      <c r="L86" s="24" t="inlineStr">
        <is>
          <t>generic_yesno</t>
        </is>
      </c>
      <c r="M86" s="24" t="inlineStr">
        <is>
          <t>financially sep 2025</t>
        </is>
      </c>
      <c r="N86" s="24" t="inlineStr">
        <is>
          <t>Sep 06, 2025</t>
        </is>
      </c>
      <c r="O86" s="24" t="inlineStr">
        <is>
          <t>premise_anchor:True:pass:shared anchor tokens: martin | slot_value_alignment:True:pass:same slot | temporal_compatibility:True:pass:temporal condition is compatible | explicit_refutation:False:absence_not_refutation:memory does not mention the premise value</t>
        </is>
      </c>
      <c r="P86" s="24" t="inlineStr">
        <is>
          <t>no_counterevidence_in_raw_memories</t>
        </is>
      </c>
      <c r="Q86" s="24" t="inlineStr">
        <is>
          <t>没有</t>
        </is>
      </c>
      <c r="R86" s="24" t="inlineStr">
        <is>
          <t>错误</t>
        </is>
      </c>
      <c r="S86" s="24" t="inlineStr">
        <is>
          <t>过宽</t>
        </is>
      </c>
      <c r="T86" s="24" t="inlineStr">
        <is>
          <t>不是反证</t>
        </is>
      </c>
      <c r="U86" s="24" t="inlineStr">
        <is>
          <t>不该触发</t>
        </is>
      </c>
      <c r="V86" s="24" t="inlineStr">
        <is>
          <t>合理</t>
        </is>
      </c>
      <c r="W86" s="24" t="n"/>
      <c r="X86" s="24" t="inlineStr">
        <is>
          <t>Family background does not address unemployment or financial struggle.</t>
        </is>
      </c>
      <c r="Y86" s="24" t="inlineStr">
        <is>
          <t>陆含</t>
        </is>
      </c>
      <c r="Z86" s="24" t="inlineStr">
        <is>
          <t>未复核</t>
        </is>
      </c>
      <c r="AA86" s="24" t="n"/>
    </row>
    <row r="87" ht="68" customHeight="1">
      <c r="A87" s="24" t="inlineStr">
        <is>
          <t>11</t>
        </is>
      </c>
      <c r="B87" s="24" t="inlineStr">
        <is>
          <t>1:3:2</t>
        </is>
      </c>
      <c r="C87" s="24" t="inlineStr">
        <is>
          <t>Did Martin Mark mention a preference for reptiles as pets on Sep 07, 2025?</t>
        </is>
      </c>
      <c r="D87" s="24" t="inlineStr">
        <is>
          <t>correct</t>
        </is>
      </c>
      <c r="E87" s="24" t="inlineStr">
        <is>
          <t>correct</t>
        </is>
      </c>
      <c r="F87" s="24" t="inlineStr">
        <is>
          <t>False</t>
        </is>
      </c>
      <c r="G87" s="24" t="inlineStr">
        <is>
          <t>1</t>
        </is>
      </c>
      <c r="H87" s="24" t="inlineStr">
        <is>
          <t>User's name is Martin Mark, male, born on August 2, 1996, currently 29 years old, and resides in Columbus.</t>
        </is>
      </c>
      <c r="I87" s="24" t="inlineStr">
        <is>
          <t>absence_not_refutation</t>
        </is>
      </c>
      <c r="J87" s="24" t="inlineStr">
        <is>
          <t>absence_not_refutation</t>
        </is>
      </c>
      <c r="K87" s="24" t="inlineStr">
        <is>
          <t>Martin Mark</t>
        </is>
      </c>
      <c r="L87" s="24" t="inlineStr">
        <is>
          <t>generic_yesno</t>
        </is>
      </c>
      <c r="M87" s="24" t="inlineStr">
        <is>
          <t>pet sep 2025</t>
        </is>
      </c>
      <c r="N87" s="24" t="inlineStr">
        <is>
          <t>on Sep 07; Sep 07, 2025</t>
        </is>
      </c>
      <c r="O87" s="24" t="inlineStr">
        <is>
          <t>premise_anchor:True:pass:shared anchor tokens: mark, martin | slot_value_alignment:True:pass:same slot | temporal_compatibility:True:pass:temporal condition is compatible | explicit_refutation:False:absence_not_refutation:memory does not mention the premise value</t>
        </is>
      </c>
      <c r="P87" s="24" t="inlineStr">
        <is>
          <t>premise_extraction_error</t>
        </is>
      </c>
      <c r="Q87" s="24" t="inlineStr">
        <is>
          <t>没有</t>
        </is>
      </c>
      <c r="R87" s="24" t="inlineStr">
        <is>
          <t>部分正确</t>
        </is>
      </c>
      <c r="S87" s="24" t="inlineStr">
        <is>
          <t>过宽</t>
        </is>
      </c>
      <c r="T87" s="24" t="inlineStr">
        <is>
          <t>不是反证</t>
        </is>
      </c>
      <c r="U87" s="24" t="inlineStr">
        <is>
          <t>不该触发</t>
        </is>
      </c>
      <c r="V87" s="24" t="inlineStr">
        <is>
          <t>合理</t>
        </is>
      </c>
      <c r="W87" s="24" t="n"/>
      <c r="X87" s="24" t="inlineStr">
        <is>
          <t>Identity information does not address reptile pet preference.</t>
        </is>
      </c>
      <c r="Y87" s="24" t="inlineStr">
        <is>
          <t>陆含</t>
        </is>
      </c>
      <c r="Z87" s="24" t="inlineStr">
        <is>
          <t>未复核</t>
        </is>
      </c>
      <c r="AA87" s="24" t="n"/>
    </row>
    <row r="88" ht="68" customHeight="1">
      <c r="A88" s="24" t="inlineStr">
        <is>
          <t>11</t>
        </is>
      </c>
      <c r="B88" s="24" t="inlineStr">
        <is>
          <t>1:3:2</t>
        </is>
      </c>
      <c r="C88" s="24" t="inlineStr">
        <is>
          <t>Did Martin Mark mention a preference for reptiles as pets on Sep 07, 2025?</t>
        </is>
      </c>
      <c r="D88" s="24" t="inlineStr">
        <is>
          <t>correct</t>
        </is>
      </c>
      <c r="E88" s="24" t="inlineStr">
        <is>
          <t>correct</t>
        </is>
      </c>
      <c r="F88" s="24" t="inlineStr">
        <is>
          <t>False</t>
        </is>
      </c>
      <c r="G88" s="24" t="inlineStr">
        <is>
          <t>2</t>
        </is>
      </c>
      <c r="H88"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88" s="24" t="inlineStr">
        <is>
          <t>absence_not_refutation</t>
        </is>
      </c>
      <c r="J88" s="24" t="inlineStr">
        <is>
          <t>absence_not_refutation</t>
        </is>
      </c>
      <c r="K88" s="24" t="inlineStr">
        <is>
          <t>Martin Mark</t>
        </is>
      </c>
      <c r="L88" s="24" t="inlineStr">
        <is>
          <t>generic_yesno</t>
        </is>
      </c>
      <c r="M88" s="24" t="inlineStr">
        <is>
          <t>pet sep 2025</t>
        </is>
      </c>
      <c r="N88" s="24" t="inlineStr">
        <is>
          <t>on Sep 07; Sep 07, 2025</t>
        </is>
      </c>
      <c r="O88" s="24" t="inlineStr">
        <is>
          <t>premise_anchor:True:pass:shared anchor tokens: martin | slot_value_alignment:True:pass:same slot | temporal_compatibility:True:pass:temporal condition is compatible | explicit_refutation:False:absence_not_refutation:memory does not mention the premise value</t>
        </is>
      </c>
      <c r="P88" s="24" t="inlineStr">
        <is>
          <t>premise_extraction_error</t>
        </is>
      </c>
      <c r="Q88" s="24" t="inlineStr">
        <is>
          <t>没有</t>
        </is>
      </c>
      <c r="R88" s="24" t="inlineStr">
        <is>
          <t>部分正确</t>
        </is>
      </c>
      <c r="S88" s="24" t="inlineStr">
        <is>
          <t>过宽</t>
        </is>
      </c>
      <c r="T88" s="24" t="inlineStr">
        <is>
          <t>不是反证</t>
        </is>
      </c>
      <c r="U88" s="24" t="inlineStr">
        <is>
          <t>不该触发</t>
        </is>
      </c>
      <c r="V88" s="24" t="inlineStr">
        <is>
          <t>合理</t>
        </is>
      </c>
      <c r="W88" s="24" t="n"/>
      <c r="X88" s="24" t="inlineStr">
        <is>
          <t>Family background does not address reptile pet preference.</t>
        </is>
      </c>
      <c r="Y88" s="24" t="inlineStr">
        <is>
          <t>陆含</t>
        </is>
      </c>
      <c r="Z88" s="24" t="inlineStr">
        <is>
          <t>未复核</t>
        </is>
      </c>
      <c r="AA88" s="24" t="n"/>
    </row>
    <row r="89" ht="68" customHeight="1">
      <c r="A89" s="24" t="inlineStr">
        <is>
          <t>42</t>
        </is>
      </c>
      <c r="B89" s="24" t="inlineStr">
        <is>
          <t>1:18:2</t>
        </is>
      </c>
      <c r="C89" s="24" t="inlineStr">
        <is>
          <t>Did Martin express a newfound interest in snakes after his visit to the reptile sanctuary on Feb 01, 2028?</t>
        </is>
      </c>
      <c r="D89" s="24" t="inlineStr">
        <is>
          <t>correct</t>
        </is>
      </c>
      <c r="E89" s="24" t="inlineStr">
        <is>
          <t>correct</t>
        </is>
      </c>
      <c r="F89" s="24" t="inlineStr">
        <is>
          <t>False</t>
        </is>
      </c>
      <c r="G89" s="24" t="inlineStr">
        <is>
          <t>1</t>
        </is>
      </c>
      <c r="H89"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89" s="24" t="inlineStr">
        <is>
          <t>absence_not_refutation</t>
        </is>
      </c>
      <c r="J89" s="24" t="inlineStr">
        <is>
          <t>absence_not_refutation</t>
        </is>
      </c>
      <c r="K89" s="24" t="inlineStr">
        <is>
          <t>Martin</t>
        </is>
      </c>
      <c r="L89" s="24" t="inlineStr">
        <is>
          <t>generic_yesno</t>
        </is>
      </c>
      <c r="M89" s="24" t="inlineStr">
        <is>
          <t>sanctuary feb 2028</t>
        </is>
      </c>
      <c r="N89" s="24" t="inlineStr">
        <is>
          <t>after his visit to the reptile sanctuary on Feb 01; Feb 01, 2028</t>
        </is>
      </c>
      <c r="O89" s="24" t="inlineStr">
        <is>
          <t>premise_anchor:True:pass:shared anchor tokens: martin | slot_value_alignment:True:pass:same slot | temporal_compatibility:True:pass:temporal condition is compatible | explicit_refutation:False:absence_not_refutation:memory does not mention the premise value</t>
        </is>
      </c>
      <c r="P89" s="24" t="inlineStr">
        <is>
          <t>no_counterevidence_in_raw_memories</t>
        </is>
      </c>
      <c r="Q89" s="24" t="inlineStr">
        <is>
          <t>没有</t>
        </is>
      </c>
      <c r="R89" s="24" t="inlineStr">
        <is>
          <t>错误</t>
        </is>
      </c>
      <c r="S89" s="24" t="inlineStr">
        <is>
          <t>过宽</t>
        </is>
      </c>
      <c r="T89" s="24" t="inlineStr">
        <is>
          <t>不是反证</t>
        </is>
      </c>
      <c r="U89" s="24" t="inlineStr">
        <is>
          <t>不该触发</t>
        </is>
      </c>
      <c r="V89" s="24" t="inlineStr">
        <is>
          <t>合理</t>
        </is>
      </c>
      <c r="W89" s="24" t="n"/>
      <c r="X89" s="24" t="inlineStr">
        <is>
          <t>Family background does not address newfound interest in snakes.</t>
        </is>
      </c>
      <c r="Y89" s="24" t="inlineStr">
        <is>
          <t>陆含</t>
        </is>
      </c>
      <c r="Z89" s="24" t="inlineStr">
        <is>
          <t>未复核</t>
        </is>
      </c>
      <c r="AA89" s="24" t="n"/>
    </row>
    <row r="90" ht="68" customHeight="1">
      <c r="A90" s="24" t="inlineStr">
        <is>
          <t>42</t>
        </is>
      </c>
      <c r="B90" s="24" t="inlineStr">
        <is>
          <t>1:18:2</t>
        </is>
      </c>
      <c r="C90" s="24" t="inlineStr">
        <is>
          <t>Did Martin express a newfound interest in snakes after his visit to the reptile sanctuary on Feb 01, 2028?</t>
        </is>
      </c>
      <c r="D90" s="24" t="inlineStr">
        <is>
          <t>correct</t>
        </is>
      </c>
      <c r="E90" s="24" t="inlineStr">
        <is>
          <t>correct</t>
        </is>
      </c>
      <c r="F90" s="24" t="inlineStr">
        <is>
          <t>False</t>
        </is>
      </c>
      <c r="G90" s="24" t="inlineStr">
        <is>
          <t>8</t>
        </is>
      </c>
      <c r="H90" s="24" t="inlineStr">
        <is>
          <t>User's name is Martin Mark, male, born on August 2, 1996, currently 29 years old, and resides in Columbus.</t>
        </is>
      </c>
      <c r="I90" s="24" t="inlineStr">
        <is>
          <t>absence_not_refutation</t>
        </is>
      </c>
      <c r="J90" s="24" t="inlineStr">
        <is>
          <t>absence_not_refutation</t>
        </is>
      </c>
      <c r="K90" s="24" t="inlineStr">
        <is>
          <t>Martin</t>
        </is>
      </c>
      <c r="L90" s="24" t="inlineStr">
        <is>
          <t>generic_yesno</t>
        </is>
      </c>
      <c r="M90" s="24" t="inlineStr">
        <is>
          <t>sanctuary feb 2028</t>
        </is>
      </c>
      <c r="N90" s="24" t="inlineStr">
        <is>
          <t>after his visit to the reptile sanctuary on Feb 01; Feb 01, 2028</t>
        </is>
      </c>
      <c r="O90" s="24" t="inlineStr">
        <is>
          <t>premise_anchor:True:pass:shared anchor tokens: martin | slot_value_alignment:True:pass:same slot | temporal_compatibility:True:pass:temporal condition is compatible | explicit_refutation:False:absence_not_refutation:memory does not mention the premise value</t>
        </is>
      </c>
      <c r="P90" s="24" t="inlineStr">
        <is>
          <t>no_counterevidence_in_raw_memories</t>
        </is>
      </c>
      <c r="Q90" s="24" t="inlineStr">
        <is>
          <t>没有</t>
        </is>
      </c>
      <c r="R90" s="24" t="inlineStr">
        <is>
          <t>错误</t>
        </is>
      </c>
      <c r="S90" s="24" t="inlineStr">
        <is>
          <t>过宽</t>
        </is>
      </c>
      <c r="T90" s="24" t="inlineStr">
        <is>
          <t>不是反证</t>
        </is>
      </c>
      <c r="U90" s="24" t="inlineStr">
        <is>
          <t>不该触发</t>
        </is>
      </c>
      <c r="V90" s="24" t="inlineStr">
        <is>
          <t>合理</t>
        </is>
      </c>
      <c r="W90" s="24" t="n"/>
      <c r="X90" s="24" t="inlineStr">
        <is>
          <t>Identity information does not address newfound interest in snakes.</t>
        </is>
      </c>
      <c r="Y90" s="24" t="inlineStr">
        <is>
          <t>陆含</t>
        </is>
      </c>
      <c r="Z90" s="24" t="inlineStr">
        <is>
          <t>未复核</t>
        </is>
      </c>
      <c r="AA90" s="24" t="n"/>
    </row>
    <row r="91" ht="68" customHeight="1">
      <c r="A91" s="24" t="inlineStr">
        <is>
          <t>46</t>
        </is>
      </c>
      <c r="B91" s="24" t="inlineStr">
        <is>
          <t>1:22:1</t>
        </is>
      </c>
      <c r="C91" s="24" t="inlineStr">
        <is>
          <t>Did Martin retire early from Huaxin Consulting on March 10, 2028?</t>
        </is>
      </c>
      <c r="D91" s="24" t="inlineStr">
        <is>
          <t>correct</t>
        </is>
      </c>
      <c r="E91" s="24" t="inlineStr">
        <is>
          <t>correct</t>
        </is>
      </c>
      <c r="F91" s="24" t="inlineStr">
        <is>
          <t>False</t>
        </is>
      </c>
      <c r="G91" s="24" t="inlineStr">
        <is>
          <t>6</t>
        </is>
      </c>
      <c r="H91"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91" s="24" t="inlineStr">
        <is>
          <t>absence_not_refutation</t>
        </is>
      </c>
      <c r="J91" s="24" t="inlineStr">
        <is>
          <t>absence_not_refutation</t>
        </is>
      </c>
      <c r="K91" s="24" t="inlineStr">
        <is>
          <t>Martin</t>
        </is>
      </c>
      <c r="L91" s="24" t="inlineStr">
        <is>
          <t>generic_yesno</t>
        </is>
      </c>
      <c r="M91" s="24" t="inlineStr">
        <is>
          <t>consult march 2028</t>
        </is>
      </c>
      <c r="N91" s="24" t="inlineStr">
        <is>
          <t>on March 10; March 10, 2028</t>
        </is>
      </c>
      <c r="O91" s="24" t="inlineStr">
        <is>
          <t>premise_anchor:True:pass:shared anchor tokens: martin | slot_value_alignment:True:pass:same slot | temporal_compatibility:True:pass:temporal condition is compatible | explicit_refutation:False:absence_not_refutation:memory does not mention the premise value</t>
        </is>
      </c>
      <c r="P91" s="24" t="inlineStr">
        <is>
          <t>premise_extraction_error</t>
        </is>
      </c>
      <c r="Q91" s="24" t="inlineStr">
        <is>
          <t>没有</t>
        </is>
      </c>
      <c r="R91" s="24" t="inlineStr">
        <is>
          <t>部分正确</t>
        </is>
      </c>
      <c r="S91" s="24" t="inlineStr">
        <is>
          <t>过宽</t>
        </is>
      </c>
      <c r="T91" s="24" t="inlineStr">
        <is>
          <t>不是反证</t>
        </is>
      </c>
      <c r="U91" s="24" t="inlineStr">
        <is>
          <t>不该触发</t>
        </is>
      </c>
      <c r="V91" s="24" t="inlineStr">
        <is>
          <t>合理</t>
        </is>
      </c>
      <c r="W91" s="24" t="n"/>
      <c r="X91" s="24" t="inlineStr">
        <is>
          <t>Family background does not address retiring early from Huaxin Consulting.</t>
        </is>
      </c>
      <c r="Y91" s="24" t="inlineStr">
        <is>
          <t>陆含</t>
        </is>
      </c>
      <c r="Z91" s="24" t="inlineStr">
        <is>
          <t>未复核</t>
        </is>
      </c>
      <c r="AA91" s="24" t="n"/>
    </row>
    <row r="92" ht="68" customHeight="1">
      <c r="A92" s="24" t="inlineStr">
        <is>
          <t>46</t>
        </is>
      </c>
      <c r="B92" s="24" t="inlineStr">
        <is>
          <t>1:22:1</t>
        </is>
      </c>
      <c r="C92" s="24" t="inlineStr">
        <is>
          <t>Did Martin retire early from Huaxin Consulting on March 10, 2028?</t>
        </is>
      </c>
      <c r="D92" s="24" t="inlineStr">
        <is>
          <t>correct</t>
        </is>
      </c>
      <c r="E92" s="24" t="inlineStr">
        <is>
          <t>correct</t>
        </is>
      </c>
      <c r="F92" s="24" t="inlineStr">
        <is>
          <t>False</t>
        </is>
      </c>
      <c r="G92" s="24" t="inlineStr">
        <is>
          <t>7</t>
        </is>
      </c>
      <c r="H92" s="24" t="inlineStr">
        <is>
          <t>User's name is Martin Mark, male, born on August 2, 1996, currently 29 years old, and resides in Columbus.</t>
        </is>
      </c>
      <c r="I92" s="24" t="inlineStr">
        <is>
          <t>absence_not_refutation</t>
        </is>
      </c>
      <c r="J92" s="24" t="inlineStr">
        <is>
          <t>absence_not_refutation</t>
        </is>
      </c>
      <c r="K92" s="24" t="inlineStr">
        <is>
          <t>Martin</t>
        </is>
      </c>
      <c r="L92" s="24" t="inlineStr">
        <is>
          <t>generic_yesno</t>
        </is>
      </c>
      <c r="M92" s="24" t="inlineStr">
        <is>
          <t>consult march 2028</t>
        </is>
      </c>
      <c r="N92" s="24" t="inlineStr">
        <is>
          <t>on March 10; March 10, 2028</t>
        </is>
      </c>
      <c r="O92" s="24" t="inlineStr">
        <is>
          <t>premise_anchor:True:pass:shared anchor tokens: martin | slot_value_alignment:True:pass:same slot | temporal_compatibility:True:pass:temporal condition is compatible | explicit_refutation:False:absence_not_refutation:memory does not mention the premise value</t>
        </is>
      </c>
      <c r="P92" s="24" t="inlineStr">
        <is>
          <t>premise_extraction_error</t>
        </is>
      </c>
      <c r="Q92" s="24" t="inlineStr">
        <is>
          <t>没有</t>
        </is>
      </c>
      <c r="R92" s="24" t="inlineStr">
        <is>
          <t>部分正确</t>
        </is>
      </c>
      <c r="S92" s="24" t="inlineStr">
        <is>
          <t>过宽</t>
        </is>
      </c>
      <c r="T92" s="24" t="inlineStr">
        <is>
          <t>不是反证</t>
        </is>
      </c>
      <c r="U92" s="24" t="inlineStr">
        <is>
          <t>不该触发</t>
        </is>
      </c>
      <c r="V92" s="24" t="inlineStr">
        <is>
          <t>合理</t>
        </is>
      </c>
      <c r="W92" s="24" t="n"/>
      <c r="X92" s="24" t="inlineStr">
        <is>
          <t>Identity information does not address retiring early from Huaxin Consulting.</t>
        </is>
      </c>
      <c r="Y92" s="24" t="inlineStr">
        <is>
          <t>陆含</t>
        </is>
      </c>
      <c r="Z92" s="24" t="inlineStr">
        <is>
          <t>未复核</t>
        </is>
      </c>
      <c r="AA92" s="24" t="n"/>
    </row>
    <row r="93" ht="68" customHeight="1">
      <c r="A93" s="24" t="inlineStr">
        <is>
          <t>46</t>
        </is>
      </c>
      <c r="B93" s="24" t="inlineStr">
        <is>
          <t>1:22:1</t>
        </is>
      </c>
      <c r="C93" s="24" t="inlineStr">
        <is>
          <t>Did Martin retire early from Huaxin Consulting on March 10, 2028?</t>
        </is>
      </c>
      <c r="D93" s="24" t="inlineStr">
        <is>
          <t>correct</t>
        </is>
      </c>
      <c r="E93" s="24" t="inlineStr">
        <is>
          <t>correct</t>
        </is>
      </c>
      <c r="F93" s="24" t="inlineStr">
        <is>
          <t>False</t>
        </is>
      </c>
      <c r="G93" s="24" t="inlineStr">
        <is>
          <t>11</t>
        </is>
      </c>
      <c r="H93" s="24" t="inlineStr">
        <is>
          <t>Martin transitioned to a new role, reporting huge relief and a much healthier balance between work and personal life, marking a significant improvement over his previous position.</t>
        </is>
      </c>
      <c r="I93" s="24" t="inlineStr">
        <is>
          <t>absence_not_refutation</t>
        </is>
      </c>
      <c r="J93" s="24" t="inlineStr">
        <is>
          <t>absence_not_refutation</t>
        </is>
      </c>
      <c r="K93" s="24" t="inlineStr">
        <is>
          <t>Martin</t>
        </is>
      </c>
      <c r="L93" s="24" t="inlineStr">
        <is>
          <t>generic_yesno</t>
        </is>
      </c>
      <c r="M93" s="24" t="inlineStr">
        <is>
          <t>consult march 2028</t>
        </is>
      </c>
      <c r="N93" s="24" t="inlineStr">
        <is>
          <t>on March 10; March 10, 2028</t>
        </is>
      </c>
      <c r="O93" s="24" t="inlineStr">
        <is>
          <t>premise_anchor:True:pass:shared anchor tokens: martin | slot_value_alignment:True:pass:same slot | temporal_compatibility:True:pass:temporal condition is compatible | explicit_refutation:False:absence_not_refutation:memory does not mention the premise value</t>
        </is>
      </c>
      <c r="P93" s="24" t="inlineStr">
        <is>
          <t>premise_extraction_error</t>
        </is>
      </c>
      <c r="Q93" s="24" t="inlineStr">
        <is>
          <t>明确有</t>
        </is>
      </c>
      <c r="R93" s="24" t="inlineStr">
        <is>
          <t>部分正确</t>
        </is>
      </c>
      <c r="S93" s="24" t="inlineStr">
        <is>
          <t>过宽</t>
        </is>
      </c>
      <c r="T93" s="24" t="inlineStr">
        <is>
          <t>真反证</t>
        </is>
      </c>
      <c r="U93" s="24" t="inlineStr">
        <is>
          <t>应该触发</t>
        </is>
      </c>
      <c r="V93" s="24" t="inlineStr">
        <is>
          <t>不合理</t>
        </is>
      </c>
      <c r="W93" s="24" t="inlineStr">
        <is>
          <t>问题前提抽取错误</t>
        </is>
      </c>
      <c r="X93" s="24" t="inlineStr">
        <is>
          <t>Transitioning to a new role contradicts retiring early; the extraction missed the retirement premise.</t>
        </is>
      </c>
      <c r="Y93" s="24" t="inlineStr">
        <is>
          <t>陆含</t>
        </is>
      </c>
      <c r="Z93" s="24" t="inlineStr">
        <is>
          <t>未复核</t>
        </is>
      </c>
      <c r="AA93" s="24" t="n"/>
    </row>
    <row r="94" ht="68" customHeight="1">
      <c r="A94" s="24" t="inlineStr">
        <is>
          <t>48</t>
        </is>
      </c>
      <c r="B94" s="24" t="inlineStr">
        <is>
          <t>1:22:3</t>
        </is>
      </c>
      <c r="C94" s="24" t="inlineStr">
        <is>
          <t>Did Martin officially begin his retirement on June 1, 2028?</t>
        </is>
      </c>
      <c r="D94" s="24" t="inlineStr">
        <is>
          <t>correct</t>
        </is>
      </c>
      <c r="E94" s="24" t="inlineStr">
        <is>
          <t>correct</t>
        </is>
      </c>
      <c r="F94" s="24" t="inlineStr">
        <is>
          <t>False</t>
        </is>
      </c>
      <c r="G94" s="24" t="inlineStr">
        <is>
          <t>1</t>
        </is>
      </c>
      <c r="H94" s="24" t="inlineStr">
        <is>
          <t>User's name is Martin Mark, male, born on August 2, 1996, currently 29 years old, and resides in Columbus.</t>
        </is>
      </c>
      <c r="I94" s="24" t="inlineStr">
        <is>
          <t>absence_not_refutation</t>
        </is>
      </c>
      <c r="J94" s="24" t="inlineStr">
        <is>
          <t>absence_not_refutation</t>
        </is>
      </c>
      <c r="K94" s="24" t="inlineStr">
        <is>
          <t>Martin</t>
        </is>
      </c>
      <c r="L94" s="24" t="inlineStr">
        <is>
          <t>generic_yesno</t>
        </is>
      </c>
      <c r="M94" s="24" t="inlineStr">
        <is>
          <t>retirement june 2028</t>
        </is>
      </c>
      <c r="N94" s="24" t="inlineStr">
        <is>
          <t>on June 1; June 1, 2028</t>
        </is>
      </c>
      <c r="O94" s="24" t="inlineStr">
        <is>
          <t>premise_anchor:True:pass:shared anchor tokens: martin | slot_value_alignment:True:pass:same slot | temporal_compatibility:True:pass:temporal condition is compatible | explicit_refutation:False:absence_not_refutation:memory does not mention the premise value</t>
        </is>
      </c>
      <c r="P94" s="24" t="inlineStr">
        <is>
          <t>premise_extraction_error</t>
        </is>
      </c>
      <c r="Q94" s="24" t="inlineStr">
        <is>
          <t>没有</t>
        </is>
      </c>
      <c r="R94" s="24" t="inlineStr">
        <is>
          <t>部分正确</t>
        </is>
      </c>
      <c r="S94" s="24" t="inlineStr">
        <is>
          <t>过宽</t>
        </is>
      </c>
      <c r="T94" s="24" t="inlineStr">
        <is>
          <t>不是反证</t>
        </is>
      </c>
      <c r="U94" s="24" t="inlineStr">
        <is>
          <t>不该触发</t>
        </is>
      </c>
      <c r="V94" s="24" t="inlineStr">
        <is>
          <t>合理</t>
        </is>
      </c>
      <c r="W94" s="24" t="n"/>
      <c r="X94" s="24" t="inlineStr">
        <is>
          <t>Identity information does not address beginning retirement.</t>
        </is>
      </c>
      <c r="Y94" s="24" t="inlineStr">
        <is>
          <t>陆含</t>
        </is>
      </c>
      <c r="Z94" s="24" t="inlineStr">
        <is>
          <t>未复核</t>
        </is>
      </c>
      <c r="AA94" s="24" t="n"/>
    </row>
    <row r="95" ht="68" customHeight="1">
      <c r="A95" s="24" t="inlineStr">
        <is>
          <t>48</t>
        </is>
      </c>
      <c r="B95" s="24" t="inlineStr">
        <is>
          <t>1:22:3</t>
        </is>
      </c>
      <c r="C95" s="24" t="inlineStr">
        <is>
          <t>Did Martin officially begin his retirement on June 1, 2028?</t>
        </is>
      </c>
      <c r="D95" s="24" t="inlineStr">
        <is>
          <t>correct</t>
        </is>
      </c>
      <c r="E95" s="24" t="inlineStr">
        <is>
          <t>correct</t>
        </is>
      </c>
      <c r="F95" s="24" t="inlineStr">
        <is>
          <t>False</t>
        </is>
      </c>
      <c r="G95" s="24" t="inlineStr">
        <is>
          <t>2</t>
        </is>
      </c>
      <c r="H95"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95" s="24" t="inlineStr">
        <is>
          <t>absence_not_refutation</t>
        </is>
      </c>
      <c r="J95" s="24" t="inlineStr">
        <is>
          <t>absence_not_refutation</t>
        </is>
      </c>
      <c r="K95" s="24" t="inlineStr">
        <is>
          <t>Martin</t>
        </is>
      </c>
      <c r="L95" s="24" t="inlineStr">
        <is>
          <t>generic_yesno</t>
        </is>
      </c>
      <c r="M95" s="24" t="inlineStr">
        <is>
          <t>retirement june 2028</t>
        </is>
      </c>
      <c r="N95" s="24" t="inlineStr">
        <is>
          <t>on June 1; June 1, 2028</t>
        </is>
      </c>
      <c r="O95" s="24" t="inlineStr">
        <is>
          <t>premise_anchor:True:pass:shared anchor tokens: martin | slot_value_alignment:True:pass:same slot | temporal_compatibility:True:pass:temporal condition is compatible | explicit_refutation:False:absence_not_refutation:memory does not mention the premise value</t>
        </is>
      </c>
      <c r="P95" s="24" t="inlineStr">
        <is>
          <t>premise_extraction_error</t>
        </is>
      </c>
      <c r="Q95" s="24" t="inlineStr">
        <is>
          <t>没有</t>
        </is>
      </c>
      <c r="R95" s="24" t="inlineStr">
        <is>
          <t>部分正确</t>
        </is>
      </c>
      <c r="S95" s="24" t="inlineStr">
        <is>
          <t>过宽</t>
        </is>
      </c>
      <c r="T95" s="24" t="inlineStr">
        <is>
          <t>不是反证</t>
        </is>
      </c>
      <c r="U95" s="24" t="inlineStr">
        <is>
          <t>不该触发</t>
        </is>
      </c>
      <c r="V95" s="24" t="inlineStr">
        <is>
          <t>合理</t>
        </is>
      </c>
      <c r="W95" s="24" t="n"/>
      <c r="X95" s="24" t="inlineStr">
        <is>
          <t>Family background does not address beginning retirement.</t>
        </is>
      </c>
      <c r="Y95" s="24" t="inlineStr">
        <is>
          <t>陆含</t>
        </is>
      </c>
      <c r="Z95" s="24" t="inlineStr">
        <is>
          <t>未复核</t>
        </is>
      </c>
      <c r="AA95" s="24" t="n"/>
    </row>
    <row r="96" ht="68" customHeight="1">
      <c r="A96" s="24" t="inlineStr">
        <is>
          <t>48</t>
        </is>
      </c>
      <c r="B96" s="24" t="inlineStr">
        <is>
          <t>1:22:3</t>
        </is>
      </c>
      <c r="C96" s="24" t="inlineStr">
        <is>
          <t>Did Martin officially begin his retirement on June 1, 2028?</t>
        </is>
      </c>
      <c r="D96" s="24" t="inlineStr">
        <is>
          <t>correct</t>
        </is>
      </c>
      <c r="E96" s="24" t="inlineStr">
        <is>
          <t>correct</t>
        </is>
      </c>
      <c r="F96" s="24" t="inlineStr">
        <is>
          <t>False</t>
        </is>
      </c>
      <c r="G96" s="24" t="inlineStr">
        <is>
          <t>6</t>
        </is>
      </c>
      <c r="H96" s="24" t="inlineStr">
        <is>
          <t>Martin transitioned to a new role, reporting huge relief and a much healthier balance between work and personal life, marking a significant improvement over his previous position.</t>
        </is>
      </c>
      <c r="I96" s="24" t="inlineStr">
        <is>
          <t>absence_not_refutation</t>
        </is>
      </c>
      <c r="J96" s="24" t="inlineStr">
        <is>
          <t>absence_not_refutation</t>
        </is>
      </c>
      <c r="K96" s="24" t="inlineStr">
        <is>
          <t>Martin</t>
        </is>
      </c>
      <c r="L96" s="24" t="inlineStr">
        <is>
          <t>generic_yesno</t>
        </is>
      </c>
      <c r="M96" s="24" t="inlineStr">
        <is>
          <t>retirement june 2028</t>
        </is>
      </c>
      <c r="N96" s="24" t="inlineStr">
        <is>
          <t>on June 1; June 1, 2028</t>
        </is>
      </c>
      <c r="O96" s="24" t="inlineStr">
        <is>
          <t>premise_anchor:True:pass:shared anchor tokens: martin | slot_value_alignment:True:pass:same slot | temporal_compatibility:True:pass:temporal condition is compatible | explicit_refutation:False:absence_not_refutation:memory does not mention the premise value</t>
        </is>
      </c>
      <c r="P96" s="24" t="inlineStr">
        <is>
          <t>premise_extraction_error</t>
        </is>
      </c>
      <c r="Q96" s="24" t="inlineStr">
        <is>
          <t>明确有</t>
        </is>
      </c>
      <c r="R96" s="24" t="inlineStr">
        <is>
          <t>部分正确</t>
        </is>
      </c>
      <c r="S96" s="24" t="inlineStr">
        <is>
          <t>过宽</t>
        </is>
      </c>
      <c r="T96" s="24" t="inlineStr">
        <is>
          <t>真反证</t>
        </is>
      </c>
      <c r="U96" s="24" t="inlineStr">
        <is>
          <t>应该触发</t>
        </is>
      </c>
      <c r="V96" s="24" t="inlineStr">
        <is>
          <t>不合理</t>
        </is>
      </c>
      <c r="W96" s="24" t="inlineStr">
        <is>
          <t>明确反驳判断过严</t>
        </is>
      </c>
      <c r="X96" s="24" t="inlineStr">
        <is>
          <t>Transitioning to a new role contradicts officially beginning retirement.</t>
        </is>
      </c>
      <c r="Y96" s="24" t="inlineStr">
        <is>
          <t>陆含</t>
        </is>
      </c>
      <c r="Z96" s="24" t="inlineStr">
        <is>
          <t>未复核</t>
        </is>
      </c>
      <c r="AA96" s="24" t="n"/>
    </row>
    <row r="97" ht="68" customHeight="1">
      <c r="A97" s="24" t="inlineStr">
        <is>
          <t>122</t>
        </is>
      </c>
      <c r="B97" s="24" t="inlineStr">
        <is>
          <t>1:48:1</t>
        </is>
      </c>
      <c r="C97" s="24" t="inlineStr">
        <is>
          <t>Did Martin decide to exclude cultural tours from his travel preferences as of 2032-12-31?</t>
        </is>
      </c>
      <c r="D97" s="24" t="inlineStr">
        <is>
          <t>correct</t>
        </is>
      </c>
      <c r="E97" s="24" t="inlineStr">
        <is>
          <t>correct</t>
        </is>
      </c>
      <c r="F97" s="24" t="inlineStr">
        <is>
          <t>False</t>
        </is>
      </c>
      <c r="G97" s="24" t="inlineStr">
        <is>
          <t>7</t>
        </is>
      </c>
      <c r="H97" s="24" t="inlineStr">
        <is>
          <t>Martin tried simulated skydiving during a team‑building event on April 10, 2026 and found the experience quite thrilling.</t>
        </is>
      </c>
      <c r="I97" s="24" t="inlineStr">
        <is>
          <t>absence_not_refutation</t>
        </is>
      </c>
      <c r="J97" s="24" t="inlineStr">
        <is>
          <t>absence_not_refutation</t>
        </is>
      </c>
      <c r="K97" s="24" t="inlineStr">
        <is>
          <t>Martin</t>
        </is>
      </c>
      <c r="L97" s="24" t="inlineStr">
        <is>
          <t>generic_yesno</t>
        </is>
      </c>
      <c r="M97" s="24" t="inlineStr">
        <is>
          <t>preferences preferenc 2032</t>
        </is>
      </c>
      <c r="N97" s="24" t="inlineStr">
        <is>
          <t>decide to; 2032-12-31</t>
        </is>
      </c>
      <c r="O97" s="24" t="inlineStr">
        <is>
          <t>premise_anchor:True:pass:shared anchor tokens: martin | slot_value_alignment:True:pass:same slot | temporal_compatibility:True:pass:temporal condition is compatible | explicit_refutation:False:absence_not_refutation:memory does not mention the premise value</t>
        </is>
      </c>
      <c r="P97" s="24" t="inlineStr">
        <is>
          <t>premise_extraction_error</t>
        </is>
      </c>
      <c r="Q97" s="24" t="inlineStr">
        <is>
          <t>没有</t>
        </is>
      </c>
      <c r="R97" s="24" t="inlineStr">
        <is>
          <t>错误</t>
        </is>
      </c>
      <c r="S97" s="24" t="inlineStr">
        <is>
          <t>过宽</t>
        </is>
      </c>
      <c r="T97" s="24" t="inlineStr">
        <is>
          <t>不是反证</t>
        </is>
      </c>
      <c r="U97" s="24" t="inlineStr">
        <is>
          <t>不该触发</t>
        </is>
      </c>
      <c r="V97" s="24" t="inlineStr">
        <is>
          <t>合理</t>
        </is>
      </c>
      <c r="W97" s="24" t="n"/>
      <c r="X97" s="24" t="inlineStr">
        <is>
          <t>Simulated skydiving does not address excluding cultural tours.</t>
        </is>
      </c>
      <c r="Y97" s="24" t="inlineStr">
        <is>
          <t>陆含</t>
        </is>
      </c>
      <c r="Z97" s="24" t="inlineStr">
        <is>
          <t>未复核</t>
        </is>
      </c>
      <c r="AA97" s="24" t="n"/>
    </row>
    <row r="98" ht="68" customHeight="1">
      <c r="A98" s="24" t="inlineStr">
        <is>
          <t>122</t>
        </is>
      </c>
      <c r="B98" s="24" t="inlineStr">
        <is>
          <t>1:48:1</t>
        </is>
      </c>
      <c r="C98" s="24" t="inlineStr">
        <is>
          <t>Did Martin decide to exclude cultural tours from his travel preferences as of 2032-12-31?</t>
        </is>
      </c>
      <c r="D98" s="24" t="inlineStr">
        <is>
          <t>correct</t>
        </is>
      </c>
      <c r="E98" s="24" t="inlineStr">
        <is>
          <t>correct</t>
        </is>
      </c>
      <c r="F98" s="24" t="inlineStr">
        <is>
          <t>False</t>
        </is>
      </c>
      <c r="G98" s="24" t="inlineStr">
        <is>
          <t>9</t>
        </is>
      </c>
      <c r="H98"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98" s="24" t="inlineStr">
        <is>
          <t>absence_not_refutation</t>
        </is>
      </c>
      <c r="J98" s="24" t="inlineStr">
        <is>
          <t>absence_not_refutation</t>
        </is>
      </c>
      <c r="K98" s="24" t="inlineStr">
        <is>
          <t>Martin</t>
        </is>
      </c>
      <c r="L98" s="24" t="inlineStr">
        <is>
          <t>generic_yesno</t>
        </is>
      </c>
      <c r="M98" s="24" t="inlineStr">
        <is>
          <t>preferences preferenc 2032</t>
        </is>
      </c>
      <c r="N98" s="24" t="inlineStr">
        <is>
          <t>decide to; 2032-12-31</t>
        </is>
      </c>
      <c r="O98" s="24" t="inlineStr">
        <is>
          <t>premise_anchor:True:pass:shared anchor tokens: martin | slot_value_alignment:True:pass:same slot | temporal_compatibility:True:pass:temporal condition is compatible | explicit_refutation:False:absence_not_refutation:memory does not mention the premise value</t>
        </is>
      </c>
      <c r="P98" s="24" t="inlineStr">
        <is>
          <t>premise_extraction_error</t>
        </is>
      </c>
      <c r="Q98" s="24" t="inlineStr">
        <is>
          <t>没有</t>
        </is>
      </c>
      <c r="R98" s="24" t="inlineStr">
        <is>
          <t>错误</t>
        </is>
      </c>
      <c r="S98" s="24" t="inlineStr">
        <is>
          <t>过宽</t>
        </is>
      </c>
      <c r="T98" s="24" t="inlineStr">
        <is>
          <t>不是反证</t>
        </is>
      </c>
      <c r="U98" s="24" t="inlineStr">
        <is>
          <t>不该触发</t>
        </is>
      </c>
      <c r="V98" s="24" t="inlineStr">
        <is>
          <t>合理</t>
        </is>
      </c>
      <c r="W98" s="24" t="n"/>
      <c r="X98" s="24" t="inlineStr">
        <is>
          <t>Family background does not address excluding cultural tours.</t>
        </is>
      </c>
      <c r="Y98" s="24" t="inlineStr">
        <is>
          <t>陆含</t>
        </is>
      </c>
      <c r="Z98" s="24" t="inlineStr">
        <is>
          <t>未复核</t>
        </is>
      </c>
      <c r="AA98" s="24" t="n"/>
    </row>
    <row r="99" ht="68" customHeight="1">
      <c r="A99" s="24" t="inlineStr">
        <is>
          <t>122</t>
        </is>
      </c>
      <c r="B99" s="24" t="inlineStr">
        <is>
          <t>1:48:1</t>
        </is>
      </c>
      <c r="C99" s="24" t="inlineStr">
        <is>
          <t>Did Martin decide to exclude cultural tours from his travel preferences as of 2032-12-31?</t>
        </is>
      </c>
      <c r="D99" s="24" t="inlineStr">
        <is>
          <t>correct</t>
        </is>
      </c>
      <c r="E99" s="24" t="inlineStr">
        <is>
          <t>correct</t>
        </is>
      </c>
      <c r="F99" s="24" t="inlineStr">
        <is>
          <t>False</t>
        </is>
      </c>
      <c r="G99" s="24" t="inlineStr">
        <is>
          <t>13</t>
        </is>
      </c>
      <c r="H99" s="24" t="inlineStr">
        <is>
          <t>Yoga remains a staple in Martin’s routine, complementing the more intense activities and supporting his mental clarity.</t>
        </is>
      </c>
      <c r="I99" s="24" t="inlineStr">
        <is>
          <t>absence_not_refutation</t>
        </is>
      </c>
      <c r="J99" s="24" t="inlineStr">
        <is>
          <t>absence_not_refutation</t>
        </is>
      </c>
      <c r="K99" s="24" t="inlineStr">
        <is>
          <t>Martin</t>
        </is>
      </c>
      <c r="L99" s="24" t="inlineStr">
        <is>
          <t>generic_yesno</t>
        </is>
      </c>
      <c r="M99" s="24" t="inlineStr">
        <is>
          <t>preferences preferenc 2032</t>
        </is>
      </c>
      <c r="N99" s="24" t="inlineStr">
        <is>
          <t>decide to; 2032-12-31</t>
        </is>
      </c>
      <c r="O99" s="24" t="inlineStr">
        <is>
          <t>premise_anchor:True:pass:shared anchor tokens: martin | slot_value_alignment:True:pass:same slot | temporal_compatibility:True:pass:temporal condition is compatible | explicit_refutation:False:absence_not_refutation:memory does not mention the premise value</t>
        </is>
      </c>
      <c r="P99" s="24" t="inlineStr">
        <is>
          <t>premise_extraction_error</t>
        </is>
      </c>
      <c r="Q99" s="24" t="inlineStr">
        <is>
          <t>没有</t>
        </is>
      </c>
      <c r="R99" s="24" t="inlineStr">
        <is>
          <t>错误</t>
        </is>
      </c>
      <c r="S99" s="24" t="inlineStr">
        <is>
          <t>过宽</t>
        </is>
      </c>
      <c r="T99" s="24" t="inlineStr">
        <is>
          <t>不是反证</t>
        </is>
      </c>
      <c r="U99" s="24" t="inlineStr">
        <is>
          <t>不该触发</t>
        </is>
      </c>
      <c r="V99" s="24" t="inlineStr">
        <is>
          <t>合理</t>
        </is>
      </c>
      <c r="W99" s="24" t="n"/>
      <c r="X99" s="24" t="inlineStr">
        <is>
          <t>Yoga routine does not address excluding cultural tours.</t>
        </is>
      </c>
      <c r="Y99" s="24" t="inlineStr">
        <is>
          <t>陆含</t>
        </is>
      </c>
      <c r="Z99" s="24" t="inlineStr">
        <is>
          <t>未复核</t>
        </is>
      </c>
      <c r="AA99" s="24" t="n"/>
    </row>
    <row r="100" ht="68" customHeight="1">
      <c r="A100" s="24" t="inlineStr">
        <is>
          <t>140</t>
        </is>
      </c>
      <c r="B100" s="24" t="inlineStr">
        <is>
          <t>1:56:3</t>
        </is>
      </c>
      <c r="C100" s="24" t="inlineStr">
        <is>
          <t>Did Martin Mark express skepticism about the impact of sustainable clothing on his lifestyle and the environment on January 13, 2034?</t>
        </is>
      </c>
      <c r="D100" s="24" t="inlineStr">
        <is>
          <t>correct</t>
        </is>
      </c>
      <c r="E100" s="24" t="inlineStr">
        <is>
          <t>correct</t>
        </is>
      </c>
      <c r="F100" s="24" t="inlineStr">
        <is>
          <t>False</t>
        </is>
      </c>
      <c r="G100" s="24" t="inlineStr">
        <is>
          <t>6</t>
        </is>
      </c>
      <c r="H100" s="24" t="inlineStr">
        <is>
          <t>User's name is Martin Mark, male, born on August 2, 1996, currently 29 years old, and resides in Columbus.</t>
        </is>
      </c>
      <c r="I100" s="24" t="inlineStr">
        <is>
          <t>absence_not_refutation</t>
        </is>
      </c>
      <c r="J100" s="24" t="inlineStr">
        <is>
          <t>absence_not_refutation</t>
        </is>
      </c>
      <c r="K100" s="24" t="inlineStr">
        <is>
          <t>Martin Mark</t>
        </is>
      </c>
      <c r="L100" s="24" t="inlineStr">
        <is>
          <t>generic_yesno</t>
        </is>
      </c>
      <c r="M100" s="24" t="inlineStr">
        <is>
          <t>environment january 2034</t>
        </is>
      </c>
      <c r="N100" s="24" t="inlineStr">
        <is>
          <t>on his lifestyle and the environment on January 13; January 13, 2034</t>
        </is>
      </c>
      <c r="O100" s="24" t="inlineStr">
        <is>
          <t>premise_anchor:True:pass:shared anchor tokens: mark, martin | slot_value_alignment:True:pass:same slot | temporal_compatibility:True:pass:temporal condition is compatible | explicit_refutation:False:absence_not_refutation:memory does not mention the premise value</t>
        </is>
      </c>
      <c r="P100" s="24" t="inlineStr">
        <is>
          <t>temporal_gate_too_strict</t>
        </is>
      </c>
      <c r="Q100" s="24" t="inlineStr">
        <is>
          <t>没有</t>
        </is>
      </c>
      <c r="R100" s="24" t="inlineStr">
        <is>
          <t>错误</t>
        </is>
      </c>
      <c r="S100" s="24" t="inlineStr">
        <is>
          <t>过宽</t>
        </is>
      </c>
      <c r="T100" s="24" t="inlineStr">
        <is>
          <t>不是反证</t>
        </is>
      </c>
      <c r="U100" s="24" t="inlineStr">
        <is>
          <t>不该触发</t>
        </is>
      </c>
      <c r="V100" s="24" t="inlineStr">
        <is>
          <t>合理</t>
        </is>
      </c>
      <c r="W100" s="24" t="n"/>
      <c r="X100" s="24" t="inlineStr">
        <is>
          <t>Identity information does not address skepticism about sustainable clothing.</t>
        </is>
      </c>
      <c r="Y100" s="24" t="inlineStr">
        <is>
          <t>陆含</t>
        </is>
      </c>
      <c r="Z100" s="24" t="inlineStr">
        <is>
          <t>未复核</t>
        </is>
      </c>
      <c r="AA100" s="24" t="n"/>
    </row>
    <row r="101" ht="68" customHeight="1">
      <c r="A101" s="24" t="inlineStr">
        <is>
          <t>140</t>
        </is>
      </c>
      <c r="B101" s="24" t="inlineStr">
        <is>
          <t>1:56:3</t>
        </is>
      </c>
      <c r="C101" s="24" t="inlineStr">
        <is>
          <t>Did Martin Mark express skepticism about the impact of sustainable clothing on his lifestyle and the environment on January 13, 2034?</t>
        </is>
      </c>
      <c r="D101" s="24" t="inlineStr">
        <is>
          <t>correct</t>
        </is>
      </c>
      <c r="E101" s="24" t="inlineStr">
        <is>
          <t>correct</t>
        </is>
      </c>
      <c r="F101" s="24" t="inlineStr">
        <is>
          <t>False</t>
        </is>
      </c>
      <c r="G101" s="24" t="inlineStr">
        <is>
          <t>17</t>
        </is>
      </c>
      <c r="H101" s="24" t="inlineStr">
        <is>
          <t>Martin tried simulated skydiving during a team‑building event on April 10, 2026 and found the experience quite thrilling.</t>
        </is>
      </c>
      <c r="I101" s="24" t="inlineStr">
        <is>
          <t>absence_not_refutation</t>
        </is>
      </c>
      <c r="J101" s="24" t="inlineStr">
        <is>
          <t>absence_not_refutation</t>
        </is>
      </c>
      <c r="K101" s="24" t="inlineStr">
        <is>
          <t>Martin Mark</t>
        </is>
      </c>
      <c r="L101" s="24" t="inlineStr">
        <is>
          <t>generic_yesno</t>
        </is>
      </c>
      <c r="M101" s="24" t="inlineStr">
        <is>
          <t>environment january 2034</t>
        </is>
      </c>
      <c r="N101" s="24" t="inlineStr">
        <is>
          <t>on his lifestyle and the environment on January 13; January 13, 2034</t>
        </is>
      </c>
      <c r="O101" s="24" t="inlineStr">
        <is>
          <t>premise_anchor:True:pass:shared anchor tokens: martin | slot_value_alignment:True:pass:same slot | temporal_compatibility:True:pass:temporal condition is compatible | explicit_refutation:False:absence_not_refutation:memory does not mention the premise value</t>
        </is>
      </c>
      <c r="P101" s="24" t="inlineStr">
        <is>
          <t>temporal_gate_too_strict</t>
        </is>
      </c>
      <c r="Q101" s="24" t="inlineStr">
        <is>
          <t>没有</t>
        </is>
      </c>
      <c r="R101" s="24" t="inlineStr">
        <is>
          <t>错误</t>
        </is>
      </c>
      <c r="S101" s="24" t="inlineStr">
        <is>
          <t>过宽</t>
        </is>
      </c>
      <c r="T101" s="24" t="inlineStr">
        <is>
          <t>不是反证</t>
        </is>
      </c>
      <c r="U101" s="24" t="inlineStr">
        <is>
          <t>不该触发</t>
        </is>
      </c>
      <c r="V101" s="24" t="inlineStr">
        <is>
          <t>合理</t>
        </is>
      </c>
      <c r="W101" s="24" t="n"/>
      <c r="X101" s="24" t="inlineStr">
        <is>
          <t>Simulated skydiving does not address skepticism about sustainable clothing.</t>
        </is>
      </c>
      <c r="Y101" s="24" t="inlineStr">
        <is>
          <t>陆含</t>
        </is>
      </c>
      <c r="Z101" s="24" t="inlineStr">
        <is>
          <t>未复核</t>
        </is>
      </c>
      <c r="AA101" s="24" t="n"/>
    </row>
    <row r="102" ht="68" customHeight="1">
      <c r="A102" s="24" t="inlineStr">
        <is>
          <t>140</t>
        </is>
      </c>
      <c r="B102" s="24" t="inlineStr">
        <is>
          <t>1:56:3</t>
        </is>
      </c>
      <c r="C102" s="24" t="inlineStr">
        <is>
          <t>Did Martin Mark express skepticism about the impact of sustainable clothing on his lifestyle and the environment on January 13, 2034?</t>
        </is>
      </c>
      <c r="D102" s="24" t="inlineStr">
        <is>
          <t>correct</t>
        </is>
      </c>
      <c r="E102" s="24" t="inlineStr">
        <is>
          <t>correct</t>
        </is>
      </c>
      <c r="F102" s="24" t="inlineStr">
        <is>
          <t>False</t>
        </is>
      </c>
      <c r="G102" s="24" t="inlineStr">
        <is>
          <t>18</t>
        </is>
      </c>
      <c r="H102" s="24"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I102" s="24" t="inlineStr">
        <is>
          <t>absence_not_refutation</t>
        </is>
      </c>
      <c r="J102" s="24" t="inlineStr">
        <is>
          <t>absence_not_refutation</t>
        </is>
      </c>
      <c r="K102" s="24" t="inlineStr">
        <is>
          <t>Martin Mark</t>
        </is>
      </c>
      <c r="L102" s="24" t="inlineStr">
        <is>
          <t>generic_yesno</t>
        </is>
      </c>
      <c r="M102" s="24" t="inlineStr">
        <is>
          <t>environment january 2034</t>
        </is>
      </c>
      <c r="N102" s="24" t="inlineStr">
        <is>
          <t>on his lifestyle and the environment on January 13; January 13, 2034</t>
        </is>
      </c>
      <c r="O102" s="24" t="inlineStr">
        <is>
          <t>premise_anchor:True:pass:shared anchor tokens: martin | slot_value_alignment:True:pass:same slot | temporal_compatibility:True:pass:temporal condition is compatible | explicit_refutation:False:absence_not_refutation:memory does not mention the premise value</t>
        </is>
      </c>
      <c r="P102" s="24" t="inlineStr">
        <is>
          <t>temporal_gate_too_strict</t>
        </is>
      </c>
      <c r="Q102" s="24" t="inlineStr">
        <is>
          <t>没有</t>
        </is>
      </c>
      <c r="R102" s="24" t="inlineStr">
        <is>
          <t>错误</t>
        </is>
      </c>
      <c r="S102" s="24" t="inlineStr">
        <is>
          <t>过宽</t>
        </is>
      </c>
      <c r="T102" s="24" t="inlineStr">
        <is>
          <t>不是反证</t>
        </is>
      </c>
      <c r="U102" s="24" t="inlineStr">
        <is>
          <t>不该触发</t>
        </is>
      </c>
      <c r="V102" s="24" t="inlineStr">
        <is>
          <t>合理</t>
        </is>
      </c>
      <c r="W102" s="24" t="n"/>
      <c r="X102" s="24" t="inlineStr">
        <is>
          <t>Family background does not address skepticism about sustainable clothing.</t>
        </is>
      </c>
      <c r="Y102" s="24" t="inlineStr">
        <is>
          <t>陆含</t>
        </is>
      </c>
      <c r="Z102" s="24" t="inlineStr">
        <is>
          <t>未复核</t>
        </is>
      </c>
      <c r="AA102" s="24" t="n"/>
    </row>
    <row r="103" ht="68" customHeight="1">
      <c r="A103" s="24" t="inlineStr">
        <is>
          <t>168</t>
        </is>
      </c>
      <c r="B103" s="24" t="inlineStr">
        <is>
          <t>2:2:1</t>
        </is>
      </c>
      <c r="C103" s="24" t="inlineStr">
        <is>
          <t>Is Johnson Joseph employed by a large hotel chain as a manager?</t>
        </is>
      </c>
      <c r="D103" s="24" t="inlineStr">
        <is>
          <t>correct</t>
        </is>
      </c>
      <c r="E103" s="24" t="inlineStr">
        <is>
          <t>correct</t>
        </is>
      </c>
      <c r="F103" s="24" t="inlineStr">
        <is>
          <t>False</t>
        </is>
      </c>
      <c r="G103" s="24" t="inlineStr">
        <is>
          <t>1</t>
        </is>
      </c>
      <c r="H103" s="24" t="inlineStr">
        <is>
          <t>User's name is Johnson Joseph, male, born on May 11, 1997, currently 28 years old, and resides in Albi.</t>
        </is>
      </c>
      <c r="I103" s="24" t="inlineStr">
        <is>
          <t>absence_not_refutation</t>
        </is>
      </c>
      <c r="J103" s="24" t="inlineStr">
        <is>
          <t>absence_not_refutation</t>
        </is>
      </c>
      <c r="K103" s="24" t="inlineStr">
        <is>
          <t>Johnson Joseph</t>
        </is>
      </c>
      <c r="L103" s="24" t="inlineStr">
        <is>
          <t>generic_yesno</t>
        </is>
      </c>
      <c r="M103" s="24" t="inlineStr">
        <is>
          <t>hotel chain manager</t>
        </is>
      </c>
      <c r="N103" s="24" t="str"/>
      <c r="O103" s="24" t="inlineStr">
        <is>
          <t>premise_anchor:True:pass:shared anchor tokens: johnson, joseph | slot_value_alignment:True:pass:same slot | temporal_compatibility:True:pass:temporal condition is compatible | explicit_refutation:False:absence_not_refutation:memory does not mention the premise value</t>
        </is>
      </c>
      <c r="P103" s="24" t="inlineStr">
        <is>
          <t>no_counterevidence_in_raw_memories</t>
        </is>
      </c>
      <c r="Q103" s="24" t="inlineStr">
        <is>
          <t>没有</t>
        </is>
      </c>
      <c r="R103" s="24" t="inlineStr">
        <is>
          <t>正确</t>
        </is>
      </c>
      <c r="S103" s="24" t="inlineStr">
        <is>
          <t>过宽</t>
        </is>
      </c>
      <c r="T103" s="24" t="inlineStr">
        <is>
          <t>不是反证</t>
        </is>
      </c>
      <c r="U103" s="24" t="inlineStr">
        <is>
          <t>不该触发</t>
        </is>
      </c>
      <c r="V103" s="24" t="inlineStr">
        <is>
          <t>合理</t>
        </is>
      </c>
      <c r="W103" s="24" t="n"/>
      <c r="X103" s="24" t="inlineStr">
        <is>
          <t>Identity information does not address employment by a large hotel chain as manager.</t>
        </is>
      </c>
      <c r="Y103" s="24" t="inlineStr">
        <is>
          <t>陆含</t>
        </is>
      </c>
      <c r="Z103" s="24" t="inlineStr">
        <is>
          <t>未复核</t>
        </is>
      </c>
      <c r="AA103" s="24" t="n"/>
    </row>
    <row r="104" ht="68" customHeight="1">
      <c r="A104" s="24" t="inlineStr">
        <is>
          <t>30</t>
        </is>
      </c>
      <c r="B104" s="24" t="inlineStr">
        <is>
          <t>1:10:3</t>
        </is>
      </c>
      <c r="C104" s="24" t="inlineStr">
        <is>
          <t>Did Martin express interest in violent video games on July 14, 2026?</t>
        </is>
      </c>
      <c r="D104" s="24" t="inlineStr">
        <is>
          <t>correct</t>
        </is>
      </c>
      <c r="E104" s="24" t="inlineStr">
        <is>
          <t>correct</t>
        </is>
      </c>
      <c r="F104" s="24" t="inlineStr">
        <is>
          <t>True</t>
        </is>
      </c>
      <c r="G104" s="24" t="inlineStr">
        <is>
          <t>1</t>
        </is>
      </c>
      <c r="H104" s="24" t="inlineStr">
        <is>
          <t>User dislikes violent video games because they promote aggression, which opposes his values of peace and well‑being; he likes puzzle games as they challenge his mind and improve problem‑solving skills crucial to his profession; he also avoids gambling games due to their potential for addiction and financial stress, which are detrimental to mental health.</t>
        </is>
      </c>
      <c r="I104" s="24" t="inlineStr">
        <is>
          <t>selected</t>
        </is>
      </c>
      <c r="J104" s="24" t="inlineStr">
        <is>
          <t>triggered_by_r3a</t>
        </is>
      </c>
      <c r="K104" s="24" t="inlineStr">
        <is>
          <t>Martin</t>
        </is>
      </c>
      <c r="L104" s="24" t="inlineStr">
        <is>
          <t>preference_status</t>
        </is>
      </c>
      <c r="M104" s="24" t="inlineStr">
        <is>
          <t>violent video games</t>
        </is>
      </c>
      <c r="N104" s="24" t="inlineStr">
        <is>
          <t>on July 14; July 14, 2026</t>
        </is>
      </c>
      <c r="O104" s="24" t="str"/>
      <c r="P104" s="24" t="inlineStr">
        <is>
          <t>already_triggered</t>
        </is>
      </c>
      <c r="Q104" s="24" t="inlineStr">
        <is>
          <t>明确有</t>
        </is>
      </c>
      <c r="R104" s="24" t="inlineStr">
        <is>
          <t>正确</t>
        </is>
      </c>
      <c r="S104" s="24" t="inlineStr">
        <is>
          <t>正确</t>
        </is>
      </c>
      <c r="T104" s="24" t="inlineStr">
        <is>
          <t>真反证</t>
        </is>
      </c>
      <c r="U104" s="24" t="inlineStr">
        <is>
          <t>应该触发</t>
        </is>
      </c>
      <c r="V104" s="24" t="inlineStr">
        <is>
          <t>合理</t>
        </is>
      </c>
      <c r="W104" s="24" t="n"/>
      <c r="X104" s="24" t="inlineStr">
        <is>
          <t>Disliking violent video games contradicts expressing interest in them; R3a correctly triggered.</t>
        </is>
      </c>
      <c r="Y104" s="24" t="inlineStr">
        <is>
          <t>陆含</t>
        </is>
      </c>
      <c r="Z104" s="24" t="inlineStr">
        <is>
          <t>未复核</t>
        </is>
      </c>
      <c r="AA104" s="24" t="n"/>
    </row>
    <row r="105" ht="68" customHeight="1">
      <c r="A105" s="24" t="inlineStr">
        <is>
          <t>177</t>
        </is>
      </c>
      <c r="B105" s="24" t="inlineStr">
        <is>
          <t>2:3:3</t>
        </is>
      </c>
      <c r="C105" s="24" t="inlineStr">
        <is>
          <t>Did Johnson Joseph express a dislike for documentaries on Sep 06, 2025?</t>
        </is>
      </c>
      <c r="D105" s="24" t="inlineStr">
        <is>
          <t>correct</t>
        </is>
      </c>
      <c r="E105" s="24" t="inlineStr">
        <is>
          <t>correct</t>
        </is>
      </c>
      <c r="F105" s="24" t="inlineStr">
        <is>
          <t>True</t>
        </is>
      </c>
      <c r="G105" s="24" t="inlineStr">
        <is>
          <t>2</t>
        </is>
      </c>
      <c r="H105" s="24" t="inlineStr">
        <is>
          <t>User prefers documentaries for cultural and historical insight, comedies to unwind after managing the B&amp;B, and romantic dramas for inspiring, emotional stories, while disliking horror films that cause anxiety and science‑fiction movies that feel too far‑fetched.</t>
        </is>
      </c>
      <c r="I105" s="24" t="inlineStr">
        <is>
          <t>selected</t>
        </is>
      </c>
      <c r="J105" s="24" t="inlineStr">
        <is>
          <t>triggered_by_r3a</t>
        </is>
      </c>
      <c r="K105" s="24" t="inlineStr">
        <is>
          <t>Johnson Joseph</t>
        </is>
      </c>
      <c r="L105" s="24" t="inlineStr">
        <is>
          <t>preference_status</t>
        </is>
      </c>
      <c r="M105" s="24" t="inlineStr">
        <is>
          <t>documentaries</t>
        </is>
      </c>
      <c r="N105" s="24" t="inlineStr">
        <is>
          <t>on Sep 06; Sep 06, 2025</t>
        </is>
      </c>
      <c r="O105" s="24" t="str"/>
      <c r="P105" s="24" t="inlineStr">
        <is>
          <t>already_triggered</t>
        </is>
      </c>
      <c r="Q105" s="24" t="inlineStr">
        <is>
          <t>明确有</t>
        </is>
      </c>
      <c r="R105" s="24" t="inlineStr">
        <is>
          <t>正确</t>
        </is>
      </c>
      <c r="S105" s="24" t="inlineStr">
        <is>
          <t>正确</t>
        </is>
      </c>
      <c r="T105" s="24" t="inlineStr">
        <is>
          <t>真反证</t>
        </is>
      </c>
      <c r="U105" s="24" t="inlineStr">
        <is>
          <t>应该触发</t>
        </is>
      </c>
      <c r="V105" s="24" t="inlineStr">
        <is>
          <t>合理</t>
        </is>
      </c>
      <c r="W105" s="24" t="n"/>
      <c r="X105" s="24" t="inlineStr">
        <is>
          <t>Preferring documentaries contradicts disliking documentaries; R3a correctly triggered.</t>
        </is>
      </c>
      <c r="Y105" s="24" t="inlineStr">
        <is>
          <t>陆含</t>
        </is>
      </c>
      <c r="Z105" s="24" t="inlineStr">
        <is>
          <t>未复核</t>
        </is>
      </c>
      <c r="AA105" s="24" t="n"/>
    </row>
  </sheetData>
  <mergeCells count="2">
    <mergeCell ref="A1:AA1"/>
    <mergeCell ref="A2:AA2"/>
  </mergeCells>
  <conditionalFormatting sqref="U4:U105">
    <cfRule type="cellIs" priority="1" dxfId="0">
      <formula>"应该触发"</formula>
    </cfRule>
  </conditionalFormatting>
  <conditionalFormatting sqref="T4:T105">
    <cfRule type="cellIs" priority="2" dxfId="1">
      <formula>"真反证"</formula>
    </cfRule>
  </conditionalFormatting>
  <dataValidations count="8">
    <dataValidation sqref="Q4:Q105" showDropDown="0" showInputMessage="0" showErrorMessage="0" allowBlank="0" type="list">
      <formula1>取值字典!$A$2:$A$4</formula1>
    </dataValidation>
    <dataValidation sqref="R4:R105" showDropDown="0" showInputMessage="0" showErrorMessage="0" allowBlank="0" type="list">
      <formula1>取值字典!$B$2:$B$5</formula1>
    </dataValidation>
    <dataValidation sqref="S4:S105" showDropDown="0" showInputMessage="0" showErrorMessage="0" allowBlank="0" type="list">
      <formula1>取值字典!$C$2:$C$6</formula1>
    </dataValidation>
    <dataValidation sqref="T4:T105" showDropDown="0" showInputMessage="0" showErrorMessage="0" allowBlank="0" type="list">
      <formula1>取值字典!$D$2:$D$6</formula1>
    </dataValidation>
    <dataValidation sqref="U4:U105" showDropDown="0" showInputMessage="0" showErrorMessage="0" allowBlank="0" type="list">
      <formula1>取值字典!$E$2:$E$4</formula1>
    </dataValidation>
    <dataValidation sqref="V4:V105" showDropDown="0" showInputMessage="0" showErrorMessage="0" allowBlank="0" type="list">
      <formula1>取值字典!$F$2:$F$5</formula1>
    </dataValidation>
    <dataValidation sqref="W4:W105" showDropDown="0" showInputMessage="0" showErrorMessage="0" allowBlank="0" type="list">
      <formula1>取值字典!$G$2:$G$11</formula1>
    </dataValidation>
    <dataValidation sqref="Z4:Z105" showDropDown="0" showInputMessage="0" showErrorMessage="0" allowBlank="0" type="list">
      <formula1>取值字典!$H$2:$H$5</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29" t="inlineStr">
        <is>
          <t>人工_是否有已检索反证</t>
        </is>
      </c>
      <c r="B1" s="29" t="inlineStr">
        <is>
          <t>人工_问题前提抽取是否正确</t>
        </is>
      </c>
      <c r="C1" s="29" t="inlineStr">
        <is>
          <t>人工_槽位归类是否正确</t>
        </is>
      </c>
      <c r="D1" s="29" t="inlineStr">
        <is>
          <t>人工_这条记忆是否反驳问题前提</t>
        </is>
      </c>
      <c r="E1" s="29" t="inlineStr">
        <is>
          <t>人工_是否本该触发R3a</t>
        </is>
      </c>
      <c r="F1" s="29" t="inlineStr">
        <is>
          <t>人工_自动拒绝是否合理</t>
        </is>
      </c>
      <c r="G1" s="29" t="inlineStr">
        <is>
          <t>人工_失败来源</t>
        </is>
      </c>
      <c r="H1" s="29" t="inlineStr">
        <is>
          <t>复核状态</t>
        </is>
      </c>
    </row>
    <row r="2">
      <c r="A2" s="22" t="inlineStr">
        <is>
          <t>明确有</t>
        </is>
      </c>
      <c r="B2" s="22" t="inlineStr">
        <is>
          <t>正确</t>
        </is>
      </c>
      <c r="C2" s="22" t="inlineStr">
        <is>
          <t>正确</t>
        </is>
      </c>
      <c r="D2" s="22" t="inlineStr">
        <is>
          <t>真反证</t>
        </is>
      </c>
      <c r="E2" s="22" t="inlineStr">
        <is>
          <t>应该触发</t>
        </is>
      </c>
      <c r="F2" s="22" t="inlineStr">
        <is>
          <t>合理</t>
        </is>
      </c>
      <c r="G2" s="22" t="inlineStr">
        <is>
          <t>检索记忆中没有反证</t>
        </is>
      </c>
      <c r="H2" s="22" t="inlineStr">
        <is>
          <t>未复核</t>
        </is>
      </c>
    </row>
    <row r="3">
      <c r="A3" s="22" t="inlineStr">
        <is>
          <t>没有</t>
        </is>
      </c>
      <c r="B3" s="22" t="inlineStr">
        <is>
          <t>部分正确</t>
        </is>
      </c>
      <c r="C3" s="22" t="inlineStr">
        <is>
          <t>过宽</t>
        </is>
      </c>
      <c r="D3" s="22" t="inlineStr">
        <is>
          <t>模糊反证</t>
        </is>
      </c>
      <c r="E3" s="22" t="inlineStr">
        <is>
          <t>不该触发</t>
        </is>
      </c>
      <c r="F3" s="22" t="inlineStr">
        <is>
          <t>不合理</t>
        </is>
      </c>
      <c r="G3" s="22" t="inlineStr">
        <is>
          <t>问题前提抽取错误</t>
        </is>
      </c>
      <c r="H3" s="22" t="inlineStr">
        <is>
          <t>已复核</t>
        </is>
      </c>
    </row>
    <row r="4">
      <c r="A4" s="22" t="inlineStr">
        <is>
          <t>不确定</t>
        </is>
      </c>
      <c r="B4" s="22" t="inlineStr">
        <is>
          <t>错误</t>
        </is>
      </c>
      <c r="C4" s="22" t="inlineStr">
        <is>
          <t>过窄</t>
        </is>
      </c>
      <c r="D4" s="22" t="inlineStr">
        <is>
          <t>不是反证但有用</t>
        </is>
      </c>
      <c r="E4" s="22" t="inlineStr">
        <is>
          <t>不确定</t>
        </is>
      </c>
      <c r="F4" s="22" t="inlineStr">
        <is>
          <t>部分合理</t>
        </is>
      </c>
      <c r="G4" s="22" t="inlineStr">
        <is>
          <t>槽位归类错误</t>
        </is>
      </c>
      <c r="H4" s="22" t="inlineStr">
        <is>
          <t>有分歧</t>
        </is>
      </c>
    </row>
    <row r="5">
      <c r="A5" s="22" t="str"/>
      <c r="B5" s="22" t="inlineStr">
        <is>
          <t>不确定</t>
        </is>
      </c>
      <c r="C5" s="22" t="inlineStr">
        <is>
          <t>错误</t>
        </is>
      </c>
      <c r="D5" s="22" t="inlineStr">
        <is>
          <t>不是反证</t>
        </is>
      </c>
      <c r="E5" s="22" t="str"/>
      <c r="F5" s="22" t="inlineStr">
        <is>
          <t>不确定</t>
        </is>
      </c>
      <c r="G5" s="22" t="inlineStr">
        <is>
          <t>时间判断过严</t>
        </is>
      </c>
      <c r="H5" s="22" t="inlineStr">
        <is>
          <t>已裁决</t>
        </is>
      </c>
    </row>
    <row r="6">
      <c r="A6" s="22" t="str"/>
      <c r="B6" s="22" t="str"/>
      <c r="C6" s="22" t="inlineStr">
        <is>
          <t>不确定</t>
        </is>
      </c>
      <c r="D6" s="22" t="inlineStr">
        <is>
          <t>不确定</t>
        </is>
      </c>
      <c r="E6" s="22" t="str"/>
      <c r="F6" s="22" t="str"/>
      <c r="G6" s="22" t="inlineStr">
        <is>
          <t>明确反驳判断过严</t>
        </is>
      </c>
      <c r="H6" s="22" t="str"/>
    </row>
    <row r="7">
      <c r="A7" s="22" t="str"/>
      <c r="B7" s="22" t="str"/>
      <c r="C7" s="22" t="str"/>
      <c r="D7" s="22" t="str"/>
      <c r="E7" s="22" t="str"/>
      <c r="F7" s="22" t="str"/>
      <c r="G7" s="22" t="inlineStr">
        <is>
          <t>实际不属于R3a</t>
        </is>
      </c>
      <c r="H7" s="22" t="str"/>
    </row>
    <row r="8">
      <c r="A8" s="22" t="str"/>
      <c r="B8" s="22" t="str"/>
      <c r="C8" s="22" t="str"/>
      <c r="D8" s="22" t="str"/>
      <c r="E8" s="22" t="str"/>
      <c r="F8" s="22" t="str"/>
      <c r="G8" s="22" t="inlineStr">
        <is>
          <t>候选记忆只是相关但不反证</t>
        </is>
      </c>
      <c r="H8" s="22" t="str"/>
    </row>
    <row r="9">
      <c r="A9" s="22" t="str"/>
      <c r="B9" s="22" t="str"/>
      <c r="C9" s="22" t="str"/>
      <c r="D9" s="22" t="str"/>
      <c r="E9" s="22" t="str"/>
      <c r="F9" s="22" t="str"/>
      <c r="G9" s="22" t="inlineStr">
        <is>
          <t>实体不一致</t>
        </is>
      </c>
      <c r="H9" s="22" t="str"/>
    </row>
    <row r="10">
      <c r="A10" s="22" t="str"/>
      <c r="B10" s="22" t="str"/>
      <c r="C10" s="22" t="str"/>
      <c r="D10" s="22" t="str"/>
      <c r="E10" s="22" t="str"/>
      <c r="F10" s="22" t="str"/>
      <c r="G10" s="22" t="inlineStr">
        <is>
          <t>对象不一致</t>
        </is>
      </c>
      <c r="H10" s="22" t="str"/>
    </row>
    <row r="11">
      <c r="A11" s="22" t="str"/>
      <c r="B11" s="22" t="str"/>
      <c r="C11" s="22" t="str"/>
      <c r="D11" s="22" t="str"/>
      <c r="E11" s="22" t="str"/>
      <c r="F11" s="22" t="str"/>
      <c r="G11" s="22" t="inlineStr">
        <is>
          <t>人工无法判断</t>
        </is>
      </c>
      <c r="H11" s="22" t="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16" customWidth="1" min="2" max="2"/>
  </cols>
  <sheetData>
    <row r="1">
      <c r="A1" s="7" t="inlineStr">
        <is>
          <t>R3a-v2.2 记忆冲突人工审计汇总</t>
        </is>
      </c>
      <c r="B1" s="1" t="n"/>
    </row>
    <row r="2">
      <c r="A2" t="inlineStr">
        <is>
          <t>说明</t>
        </is>
      </c>
      <c r="B2" t="inlineStr">
        <is>
          <t>下面公式会在你填写人工字段后自动统计。</t>
        </is>
      </c>
    </row>
    <row r="3">
      <c r="A3" s="34" t="inlineStr">
        <is>
          <t>指标</t>
        </is>
      </c>
      <c r="B3" s="34" t="inlineStr">
        <is>
          <t>数量</t>
        </is>
      </c>
    </row>
    <row r="4">
      <c r="A4" t="inlineStr">
        <is>
          <t>候选记忆总行数</t>
        </is>
      </c>
      <c r="B4">
        <f>COUNTA('人工审计表'!A4:A105)</f>
        <v/>
      </c>
    </row>
    <row r="5">
      <c r="A5" t="inlineStr">
        <is>
          <t>已填写反证字段</t>
        </is>
      </c>
      <c r="B5">
        <f>COUNTA('人工审计表'!Q4:Q105)</f>
        <v/>
      </c>
    </row>
    <row r="6">
      <c r="A6" t="inlineStr">
        <is>
          <t>明确有已检索反证</t>
        </is>
      </c>
      <c r="B6">
        <f>COUNTIF('人工审计表'!Q4:Q105,"明确有")</f>
        <v/>
      </c>
    </row>
    <row r="7">
      <c r="A7" t="inlineStr">
        <is>
          <t>没有已检索反证</t>
        </is>
      </c>
      <c r="B7">
        <f>COUNTIF('人工审计表'!Q4:Q105,"没有")</f>
        <v/>
      </c>
    </row>
    <row r="8">
      <c r="A8" t="inlineStr">
        <is>
          <t>不确定是否有反证</t>
        </is>
      </c>
      <c r="B8">
        <f>COUNTIF('人工审计表'!Q4:Q105,"不确定")</f>
        <v/>
      </c>
    </row>
    <row r="9">
      <c r="A9" t="inlineStr">
        <is>
          <t>真反证</t>
        </is>
      </c>
      <c r="B9">
        <f>COUNTIF('人工审计表'!T4:T105,"真反证")</f>
        <v/>
      </c>
    </row>
    <row r="10">
      <c r="A10" t="inlineStr">
        <is>
          <t>模糊反证</t>
        </is>
      </c>
      <c r="B10">
        <f>COUNTIF('人工审计表'!T4:T105,"模糊反证")</f>
        <v/>
      </c>
    </row>
    <row r="11">
      <c r="A11" t="inlineStr">
        <is>
          <t>不是反证但有用</t>
        </is>
      </c>
      <c r="B11">
        <f>COUNTIF('人工审计表'!T4:T105,"不是反证但有用")</f>
        <v/>
      </c>
    </row>
    <row r="12">
      <c r="A12" t="inlineStr">
        <is>
          <t>不是反证</t>
        </is>
      </c>
      <c r="B12">
        <f>COUNTIF('人工审计表'!T4:T105,"不是反证")</f>
        <v/>
      </c>
    </row>
    <row r="13">
      <c r="A13" t="inlineStr">
        <is>
          <t>人工认为应该触发R3a</t>
        </is>
      </c>
      <c r="B13">
        <f>COUNTIF('人工审计表'!U4:U105,"应该触发")</f>
        <v/>
      </c>
    </row>
    <row r="14">
      <c r="A14" t="inlineStr">
        <is>
          <t>人工认为不该触发</t>
        </is>
      </c>
      <c r="B14">
        <f>COUNTIF('人工审计表'!U4:U105,"不该触发")</f>
        <v/>
      </c>
    </row>
    <row r="15">
      <c r="A15" t="inlineStr">
        <is>
          <t>自动拒绝不合理</t>
        </is>
      </c>
      <c r="B15">
        <f>COUNTIF('人工审计表'!V4:V105,"不合理")</f>
        <v/>
      </c>
    </row>
    <row r="16">
      <c r="A16" t="inlineStr">
        <is>
          <t>问题前提抽取错误</t>
        </is>
      </c>
      <c r="B16">
        <f>COUNTIF('人工审计表'!W4:W105,"问题前提抽取错误")</f>
        <v/>
      </c>
    </row>
    <row r="17">
      <c r="A17" t="inlineStr">
        <is>
          <t>槽位归类错误</t>
        </is>
      </c>
      <c r="B17">
        <f>COUNTIF('人工审计表'!W4:W105,"槽位归类错误")</f>
        <v/>
      </c>
    </row>
    <row r="18">
      <c r="A18" t="inlineStr">
        <is>
          <t>时间判断过严</t>
        </is>
      </c>
      <c r="B18">
        <f>COUNTIF('人工审计表'!W4:W105,"时间判断过严")</f>
        <v/>
      </c>
    </row>
    <row r="19">
      <c r="A19" t="inlineStr">
        <is>
          <t>明确反驳判断过严</t>
        </is>
      </c>
      <c r="B19">
        <f>COUNTIF('人工审计表'!W4:W105,"明确反驳判断过严")</f>
        <v/>
      </c>
    </row>
    <row r="20">
      <c r="A20" t="inlineStr">
        <is>
          <t>检索记忆中没有反证</t>
        </is>
      </c>
      <c r="B20">
        <f>COUNTIF('人工审计表'!W4:W105,"检索记忆中没有反证")</f>
        <v/>
      </c>
    </row>
  </sheetData>
  <mergeCells count="1">
    <mergeCell ref="A1:B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ht="28" customHeight="1">
      <c r="A1" s="36" t="inlineStr">
        <is>
          <t>填写说明</t>
        </is>
      </c>
    </row>
    <row r="2" ht="28" customHeight="1">
      <c r="A2" s="22" t="inlineStr">
        <is>
          <t>1. A-P 列是从 GitHub 的 mc_manual_audit_candidates.csv 填入的固定信息，不要修改。</t>
        </is>
      </c>
    </row>
    <row r="3" ht="28" customHeight="1">
      <c r="A3" s="22" t="inlineStr">
        <is>
          <t>2. Q-AA 列是人工填写区，优先填写 Q-W；X 写简短理由，Y-AA 用于审计者和复核。</t>
        </is>
      </c>
    </row>
    <row r="4" ht="28" customHeight="1">
      <c r="A4" s="22" t="inlineStr">
        <is>
          <t>3. 判断真反证时至少满足：同一主体、同一事件或属性、方向相反、时间不冲突、足以让问题前提不成立。</t>
        </is>
      </c>
    </row>
    <row r="5" ht="28" customHeight="1">
      <c r="A5" s="22" t="inlineStr">
        <is>
          <t>4. 相关不等于反证；没有提到也不等于反证。别让 v1 的坑复活，世界已经够累。</t>
        </is>
      </c>
    </row>
    <row r="6" ht="28" customHeight="1">
      <c r="A6" s="22" t="inlineStr">
        <is>
          <t>5. 优先审计：R0标签为 omission 或 hallucination 且 R3a未触发的行。</t>
        </is>
      </c>
    </row>
    <row r="7" ht="28" customHeight="1">
      <c r="A7" s="22" t="inlineStr">
        <is>
          <t>6. 源文件 URL：</t>
        </is>
      </c>
    </row>
    <row r="8" ht="28" customHeight="1">
      <c r="A8" s="22" t="inlineStr">
        <is>
          <t>https://github.com/lyh1436062004/r3a-exec-log/blob/main/runs/round_0009/outputs/r3a_v2_2_mc_stratified_coverage_audit/mc_manual_audit_candidates.csv</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2026-06-25T11:45:38Z</dcterms:created>
  <dcterms:modified xmlns:dcterms="http://purl.org/dc/terms/" xmlns:xsi="http://www.w3.org/2001/XMLSchema-instance" xsi:type="dcterms:W3CDTF">2026-06-25T11:45:38Z</dcterms:modified>
</cp:coreProperties>
</file>